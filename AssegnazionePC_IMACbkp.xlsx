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giovanni_balbi_partner_italdesign_it/Documents/Download/"/>
    </mc:Choice>
  </mc:AlternateContent>
  <xr:revisionPtr revIDLastSave="15" documentId="8_{A69F67F2-B41C-4581-A428-74F9D94D95A2}" xr6:coauthVersionLast="47" xr6:coauthVersionMax="47" xr10:uidLastSave="{6BEDF5FA-A7C6-47B7-8DBE-3AA8CF3B4EB1}"/>
  <bookViews>
    <workbookView xWindow="-120" yWindow="-120" windowWidth="29040" windowHeight="17520" tabRatio="795" xr2:uid="{00000000-000D-0000-FFFF-FFFF00000000}"/>
  </bookViews>
  <sheets>
    <sheet name="Completati dal 2014" sheetId="31" r:id="rId1"/>
  </sheets>
  <definedNames>
    <definedName name="_xlnm._FilterDatabase" localSheetId="0" hidden="1">'Completati dal 2014'!$A$1:$CA$3293</definedName>
    <definedName name="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67" i="31" l="1"/>
  <c r="Q3265" i="31"/>
  <c r="Q3266" i="31"/>
  <c r="Q3264" i="31"/>
  <c r="Q3260" i="31"/>
  <c r="Q3261" i="31"/>
  <c r="Q3262" i="31"/>
  <c r="Q3263" i="31"/>
  <c r="Q3259" i="31" l="1"/>
  <c r="Q3250" i="31" l="1"/>
  <c r="Q3249" i="31"/>
  <c r="Q3246" i="31" l="1"/>
  <c r="Q3242" i="31"/>
  <c r="Q3241" i="31"/>
  <c r="Q3239" i="31" l="1"/>
  <c r="Q3237" i="31" l="1"/>
  <c r="Q3236" i="31"/>
  <c r="Q3235" i="31"/>
  <c r="Q3234" i="31"/>
  <c r="Q3233" i="31" l="1"/>
  <c r="Q3232" i="31"/>
  <c r="Q3231" i="31" l="1"/>
  <c r="Q3230" i="31"/>
  <c r="Q3228" i="31"/>
  <c r="Q3227" i="31"/>
  <c r="Q3226" i="31" l="1"/>
  <c r="Q3225" i="31"/>
  <c r="Q3224" i="31"/>
  <c r="Q3223" i="31"/>
  <c r="Q3222" i="31"/>
  <c r="Q3221" i="31"/>
  <c r="S3214" i="31" l="1"/>
  <c r="Q3205" i="31" l="1"/>
  <c r="R3157" i="31" l="1"/>
  <c r="S3157" i="31"/>
  <c r="R3158" i="31"/>
  <c r="S3158" i="31"/>
  <c r="R3164" i="31"/>
  <c r="S3164" i="31"/>
  <c r="R3170" i="31"/>
  <c r="R3171" i="31"/>
  <c r="S3171" i="31"/>
  <c r="R3174" i="31"/>
  <c r="S3175" i="31"/>
  <c r="R3178" i="31"/>
  <c r="R3180" i="31"/>
  <c r="S3180" i="31"/>
  <c r="S3184" i="31"/>
  <c r="R3185" i="31"/>
  <c r="S3186" i="31"/>
  <c r="R3187" i="31"/>
  <c r="Q3203" i="31"/>
  <c r="Q3204" i="31"/>
  <c r="Q3201" i="31"/>
  <c r="Q3200" i="31"/>
  <c r="Q3199" i="31" l="1"/>
  <c r="Q3198" i="31"/>
  <c r="Q3196" i="31" l="1"/>
  <c r="Q3197" i="31"/>
  <c r="Q3187" i="31"/>
  <c r="Q3164" i="31" l="1"/>
  <c r="Q3158" i="31"/>
  <c r="T3" i="31"/>
  <c r="T4" i="31"/>
  <c r="T5" i="31"/>
  <c r="T6" i="31"/>
  <c r="T7" i="31"/>
  <c r="T8" i="31"/>
  <c r="T9" i="31"/>
  <c r="T10" i="31"/>
  <c r="T11" i="31"/>
  <c r="T12" i="31"/>
  <c r="T13" i="31"/>
  <c r="T14" i="31"/>
  <c r="T15" i="31"/>
  <c r="T16" i="31"/>
  <c r="T17" i="31"/>
  <c r="T18" i="31"/>
  <c r="T19" i="31"/>
  <c r="T20" i="31"/>
  <c r="T21" i="31"/>
  <c r="T22" i="31"/>
  <c r="T23" i="31"/>
  <c r="T24" i="31"/>
  <c r="T25" i="31"/>
  <c r="T26" i="31"/>
  <c r="T27" i="31"/>
  <c r="T28" i="31"/>
  <c r="T29" i="31"/>
  <c r="T30" i="31"/>
  <c r="T31" i="31"/>
  <c r="T32" i="31"/>
  <c r="T33" i="31"/>
  <c r="T34" i="31"/>
  <c r="T35" i="31"/>
  <c r="T36" i="31"/>
  <c r="T37" i="31"/>
  <c r="T38" i="31"/>
  <c r="T39" i="31"/>
  <c r="T40" i="31"/>
  <c r="T41" i="31"/>
  <c r="T42" i="31"/>
  <c r="T43" i="31"/>
  <c r="T44" i="31"/>
  <c r="T45" i="31"/>
  <c r="T46" i="31"/>
  <c r="T47" i="31"/>
  <c r="T48" i="31"/>
  <c r="T49" i="31"/>
  <c r="T50" i="31"/>
  <c r="T51" i="31"/>
  <c r="T52" i="31"/>
  <c r="T53" i="31"/>
  <c r="T54" i="31"/>
  <c r="T55" i="31"/>
  <c r="T56" i="31"/>
  <c r="T57" i="31"/>
  <c r="T58" i="31"/>
  <c r="T59" i="31"/>
  <c r="T60" i="31"/>
  <c r="T61" i="31"/>
  <c r="T62" i="31"/>
  <c r="T63" i="31"/>
  <c r="T64" i="31"/>
  <c r="T65" i="31"/>
  <c r="T66" i="31"/>
  <c r="T67" i="31"/>
  <c r="T68" i="31"/>
  <c r="T69" i="31"/>
  <c r="T70" i="31"/>
  <c r="T71" i="31"/>
  <c r="T72" i="31"/>
  <c r="T73" i="31"/>
  <c r="T74" i="31"/>
  <c r="T75" i="31"/>
  <c r="T76" i="31"/>
  <c r="T77" i="31"/>
  <c r="T78" i="31"/>
  <c r="T79" i="31"/>
  <c r="T80" i="31"/>
  <c r="T81" i="31"/>
  <c r="T82" i="31"/>
  <c r="T83" i="31"/>
  <c r="T84" i="31"/>
  <c r="T85" i="31"/>
  <c r="T86" i="31"/>
  <c r="T87" i="31"/>
  <c r="T88" i="31"/>
  <c r="T89" i="31"/>
  <c r="T90" i="31"/>
  <c r="T91" i="31"/>
  <c r="T92" i="31"/>
  <c r="T93" i="31"/>
  <c r="T94" i="31"/>
  <c r="T95" i="31"/>
  <c r="T96" i="31"/>
  <c r="T97" i="31"/>
  <c r="T98" i="31"/>
  <c r="T99" i="31"/>
  <c r="T100" i="31"/>
  <c r="T101" i="31"/>
  <c r="T102" i="31"/>
  <c r="T103" i="31"/>
  <c r="T104" i="31"/>
  <c r="T105" i="31"/>
  <c r="T106" i="31"/>
  <c r="T107" i="31"/>
  <c r="T108" i="31"/>
  <c r="T109" i="31"/>
  <c r="T110" i="31"/>
  <c r="T111" i="31"/>
  <c r="T112" i="31"/>
  <c r="T113" i="31"/>
  <c r="T114" i="31"/>
  <c r="T115" i="31"/>
  <c r="T116" i="31"/>
  <c r="T117" i="31"/>
  <c r="T118" i="31"/>
  <c r="T119" i="31"/>
  <c r="T120" i="31"/>
  <c r="T121" i="31"/>
  <c r="T122" i="31"/>
  <c r="T123" i="31"/>
  <c r="T124" i="31"/>
  <c r="T125" i="31"/>
  <c r="T126" i="31"/>
  <c r="T127" i="31"/>
  <c r="T128" i="31"/>
  <c r="T129" i="31"/>
  <c r="T130" i="31"/>
  <c r="T131" i="31"/>
  <c r="T132" i="31"/>
  <c r="T133" i="31"/>
  <c r="T134" i="31"/>
  <c r="T135" i="31"/>
  <c r="T136" i="31"/>
  <c r="T137" i="31"/>
  <c r="T138" i="31"/>
  <c r="T139" i="31"/>
  <c r="T140" i="31"/>
  <c r="T141" i="31"/>
  <c r="T142" i="31"/>
  <c r="T143" i="31"/>
  <c r="T144" i="31"/>
  <c r="T145" i="31"/>
  <c r="T146" i="31"/>
  <c r="T147" i="31"/>
  <c r="T148" i="31"/>
  <c r="T149" i="31"/>
  <c r="T150" i="31"/>
  <c r="T151" i="31"/>
  <c r="T152" i="31"/>
  <c r="T153" i="31"/>
  <c r="T154" i="31"/>
  <c r="T155" i="31"/>
  <c r="T156" i="31"/>
  <c r="T157" i="31"/>
  <c r="T158" i="31"/>
  <c r="T159" i="31"/>
  <c r="T160" i="31"/>
  <c r="T161" i="31"/>
  <c r="T162" i="31"/>
  <c r="T163" i="31"/>
  <c r="T164" i="31"/>
  <c r="T165" i="31"/>
  <c r="T166" i="31"/>
  <c r="T167" i="31"/>
  <c r="T168" i="31"/>
  <c r="T169" i="31"/>
  <c r="T170" i="31"/>
  <c r="T171" i="31"/>
  <c r="T172" i="31"/>
  <c r="T173" i="31"/>
  <c r="T174" i="31"/>
  <c r="T175" i="31"/>
  <c r="T176" i="31"/>
  <c r="T177" i="31"/>
  <c r="T178" i="31"/>
  <c r="T179" i="31"/>
  <c r="T180" i="31"/>
  <c r="T181" i="31"/>
  <c r="T182" i="31"/>
  <c r="T183" i="31"/>
  <c r="T184" i="31"/>
  <c r="T185" i="31"/>
  <c r="T186" i="31"/>
  <c r="T187" i="31"/>
  <c r="T188" i="31"/>
  <c r="T189" i="31"/>
  <c r="T190" i="31"/>
  <c r="T191" i="31"/>
  <c r="T192" i="31"/>
  <c r="T193" i="31"/>
  <c r="T194" i="31"/>
  <c r="T195" i="31"/>
  <c r="T196" i="31"/>
  <c r="T197" i="31"/>
  <c r="T198" i="31"/>
  <c r="T199" i="31"/>
  <c r="T200" i="31"/>
  <c r="T201" i="31"/>
  <c r="T202" i="31"/>
  <c r="T203" i="31"/>
  <c r="T204" i="31"/>
  <c r="T205" i="31"/>
  <c r="T206" i="31"/>
  <c r="T207" i="31"/>
  <c r="T208" i="31"/>
  <c r="T209" i="31"/>
  <c r="T210" i="31"/>
  <c r="T211" i="31"/>
  <c r="T212" i="31"/>
  <c r="T213" i="31"/>
  <c r="T214" i="31"/>
  <c r="T215" i="31"/>
  <c r="T216" i="31"/>
  <c r="T217" i="31"/>
  <c r="T218" i="31"/>
  <c r="T219" i="31"/>
  <c r="T220" i="31"/>
  <c r="T221" i="31"/>
  <c r="T222" i="31"/>
  <c r="T223" i="31"/>
  <c r="T224" i="31"/>
  <c r="T225" i="31"/>
  <c r="T226" i="31"/>
  <c r="T227" i="31"/>
  <c r="T228" i="31"/>
  <c r="T229" i="31"/>
  <c r="T230" i="31"/>
  <c r="T231" i="31"/>
  <c r="T232" i="31"/>
  <c r="T233" i="31"/>
  <c r="T234" i="31"/>
  <c r="T235" i="31"/>
  <c r="T236" i="31"/>
  <c r="T237" i="31"/>
  <c r="T238" i="31"/>
  <c r="T239" i="31"/>
  <c r="T240" i="31"/>
  <c r="T241" i="31"/>
  <c r="T242" i="31"/>
  <c r="T243" i="31"/>
  <c r="T244" i="31"/>
  <c r="T245" i="31"/>
  <c r="T246" i="31"/>
  <c r="T247" i="31"/>
  <c r="T248" i="31"/>
  <c r="T249" i="31"/>
  <c r="T250" i="31"/>
  <c r="T251" i="31"/>
  <c r="T252" i="31"/>
  <c r="T253" i="31"/>
  <c r="T254" i="31"/>
  <c r="T255" i="31"/>
  <c r="T256" i="31"/>
  <c r="T257" i="31"/>
  <c r="T258" i="31"/>
  <c r="T259" i="31"/>
  <c r="T260" i="31"/>
  <c r="T261" i="31"/>
  <c r="T262" i="31"/>
  <c r="T263" i="31"/>
  <c r="T264" i="31"/>
  <c r="T265" i="31"/>
  <c r="T266" i="31"/>
  <c r="T267" i="31"/>
  <c r="T268" i="31"/>
  <c r="T269" i="31"/>
  <c r="T270" i="31"/>
  <c r="T271" i="31"/>
  <c r="T272" i="31"/>
  <c r="T273" i="31"/>
  <c r="T274" i="31"/>
  <c r="T275" i="31"/>
  <c r="T276" i="31"/>
  <c r="T277" i="31"/>
  <c r="T278" i="31"/>
  <c r="T279" i="31"/>
  <c r="T280" i="31"/>
  <c r="T281" i="31"/>
  <c r="T282" i="31"/>
  <c r="T283" i="31"/>
  <c r="T284" i="31"/>
  <c r="T285" i="31"/>
  <c r="T286" i="31"/>
  <c r="T287" i="31"/>
  <c r="T288" i="31"/>
  <c r="T289" i="31"/>
  <c r="T290" i="31"/>
  <c r="T291" i="31"/>
  <c r="T292" i="31"/>
  <c r="T293" i="31"/>
  <c r="T294" i="31"/>
  <c r="T295" i="31"/>
  <c r="T296" i="31"/>
  <c r="T297" i="31"/>
  <c r="T298" i="31"/>
  <c r="T299" i="31"/>
  <c r="T300" i="31"/>
  <c r="T301" i="31"/>
  <c r="T302" i="31"/>
  <c r="T303" i="31"/>
  <c r="T304" i="31"/>
  <c r="T305" i="31"/>
  <c r="T306" i="31"/>
  <c r="T307" i="31"/>
  <c r="T308" i="31"/>
  <c r="T309" i="31"/>
  <c r="T310" i="31"/>
  <c r="T311" i="31"/>
  <c r="T312" i="31"/>
  <c r="T313" i="31"/>
  <c r="T314" i="31"/>
  <c r="T315" i="31"/>
  <c r="T316" i="31"/>
  <c r="T317" i="31"/>
  <c r="T318" i="31"/>
  <c r="T319" i="31"/>
  <c r="T320" i="31"/>
  <c r="T321" i="31"/>
  <c r="T322" i="31"/>
  <c r="T323" i="31"/>
  <c r="T324" i="31"/>
  <c r="T325" i="31"/>
  <c r="T326" i="31"/>
  <c r="T327" i="31"/>
  <c r="T328" i="31"/>
  <c r="T329" i="31"/>
  <c r="T330" i="31"/>
  <c r="T331" i="31"/>
  <c r="T332" i="31"/>
  <c r="T333" i="31"/>
  <c r="T334" i="31"/>
  <c r="T335" i="31"/>
  <c r="T336" i="31"/>
  <c r="T337" i="31"/>
  <c r="T338" i="31"/>
  <c r="T339" i="31"/>
  <c r="T340" i="31"/>
  <c r="T341" i="31"/>
  <c r="T342" i="31"/>
  <c r="T343" i="31"/>
  <c r="T344" i="31"/>
  <c r="T345" i="31"/>
  <c r="T346" i="31"/>
  <c r="T347" i="31"/>
  <c r="T348" i="31"/>
  <c r="T349" i="31"/>
  <c r="T350" i="31"/>
  <c r="T351" i="31"/>
  <c r="T352" i="31"/>
  <c r="T353" i="31"/>
  <c r="T354" i="31"/>
  <c r="T355" i="31"/>
  <c r="T356" i="31"/>
  <c r="T357" i="31"/>
  <c r="T358" i="31"/>
  <c r="T359" i="31"/>
  <c r="T360" i="31"/>
  <c r="T361" i="31"/>
  <c r="T362" i="31"/>
  <c r="T363" i="31"/>
  <c r="T364" i="31"/>
  <c r="T365" i="31"/>
  <c r="T366" i="31"/>
  <c r="T367" i="31"/>
  <c r="T368" i="31"/>
  <c r="T369" i="31"/>
  <c r="T370" i="31"/>
  <c r="T371" i="31"/>
  <c r="T372" i="31"/>
  <c r="T373" i="31"/>
  <c r="T374" i="31"/>
  <c r="T375" i="31"/>
  <c r="T376" i="31"/>
  <c r="T377" i="31"/>
  <c r="T378" i="31"/>
  <c r="T379" i="31"/>
  <c r="T380" i="31"/>
  <c r="T381" i="31"/>
  <c r="T382" i="31"/>
  <c r="T383" i="31"/>
  <c r="T384" i="31"/>
  <c r="T385" i="31"/>
  <c r="T386" i="31"/>
  <c r="T387" i="31"/>
  <c r="T388" i="31"/>
  <c r="T389" i="31"/>
  <c r="T390" i="31"/>
  <c r="T391" i="31"/>
  <c r="T392" i="31"/>
  <c r="T393" i="31"/>
  <c r="T394" i="31"/>
  <c r="T395" i="31"/>
  <c r="T396" i="31"/>
  <c r="T397" i="31"/>
  <c r="T398" i="31"/>
  <c r="T399" i="31"/>
  <c r="T400" i="31"/>
  <c r="T401" i="31"/>
  <c r="T402" i="31"/>
  <c r="T403" i="31"/>
  <c r="T404" i="31"/>
  <c r="T405" i="31"/>
  <c r="T406" i="31"/>
  <c r="T407" i="31"/>
  <c r="T408" i="31"/>
  <c r="T409" i="31"/>
  <c r="T410" i="31"/>
  <c r="T411" i="31"/>
  <c r="T412" i="31"/>
  <c r="T413" i="31"/>
  <c r="T414" i="31"/>
  <c r="T415" i="31"/>
  <c r="T416" i="31"/>
  <c r="T417" i="31"/>
  <c r="T418" i="31"/>
  <c r="T419" i="31"/>
  <c r="T420" i="31"/>
  <c r="T421" i="31"/>
  <c r="T422" i="31"/>
  <c r="T423" i="31"/>
  <c r="T424" i="31"/>
  <c r="T425" i="31"/>
  <c r="T426" i="31"/>
  <c r="T427" i="31"/>
  <c r="T428" i="31"/>
  <c r="T429" i="31"/>
  <c r="T430" i="31"/>
  <c r="T431" i="31"/>
  <c r="T432" i="31"/>
  <c r="T433" i="31"/>
  <c r="T434" i="31"/>
  <c r="T435" i="31"/>
  <c r="T436" i="31"/>
  <c r="T437" i="31"/>
  <c r="T438" i="31"/>
  <c r="T439" i="31"/>
  <c r="T440" i="31"/>
  <c r="T441" i="31"/>
  <c r="T442" i="31"/>
  <c r="T443" i="31"/>
  <c r="T444" i="31"/>
  <c r="T445" i="31"/>
  <c r="T446" i="31"/>
  <c r="T447" i="31"/>
  <c r="T448" i="31"/>
  <c r="T449" i="31"/>
  <c r="T450" i="31"/>
  <c r="T451" i="31"/>
  <c r="T452" i="31"/>
  <c r="T453" i="31"/>
  <c r="T454" i="31"/>
  <c r="T455" i="31"/>
  <c r="T456" i="31"/>
  <c r="T457" i="31"/>
  <c r="T458" i="31"/>
  <c r="T459" i="31"/>
  <c r="T460" i="31"/>
  <c r="T461" i="31"/>
  <c r="T462" i="31"/>
  <c r="T463" i="31"/>
  <c r="T464" i="31"/>
  <c r="T465" i="31"/>
  <c r="T466" i="31"/>
  <c r="T467" i="31"/>
  <c r="T468" i="31"/>
  <c r="T469" i="31"/>
  <c r="T470" i="31"/>
  <c r="T471" i="31"/>
  <c r="T472" i="31"/>
  <c r="T473" i="31"/>
  <c r="T474" i="31"/>
  <c r="T475" i="31"/>
  <c r="T476" i="31"/>
  <c r="T477" i="31"/>
  <c r="T478" i="31"/>
  <c r="T479" i="31"/>
  <c r="T480" i="31"/>
  <c r="T481" i="31"/>
  <c r="T482" i="31"/>
  <c r="T483" i="31"/>
  <c r="T484" i="31"/>
  <c r="T485" i="31"/>
  <c r="T486" i="31"/>
  <c r="T487" i="31"/>
  <c r="T488" i="31"/>
  <c r="T489" i="31"/>
  <c r="T490" i="31"/>
  <c r="T491" i="31"/>
  <c r="T492" i="31"/>
  <c r="T493" i="31"/>
  <c r="T494" i="31"/>
  <c r="T495" i="31"/>
  <c r="T496" i="31"/>
  <c r="T497" i="31"/>
  <c r="T498" i="31"/>
  <c r="T499" i="31"/>
  <c r="T500" i="31"/>
  <c r="T501" i="31"/>
  <c r="T502" i="31"/>
  <c r="T503" i="31"/>
  <c r="T504" i="31"/>
  <c r="T505" i="31"/>
  <c r="T506" i="31"/>
  <c r="T507" i="31"/>
  <c r="T508" i="31"/>
  <c r="T509" i="31"/>
  <c r="T510" i="31"/>
  <c r="T511" i="31"/>
  <c r="T512" i="31"/>
  <c r="T513" i="31"/>
  <c r="T514" i="31"/>
  <c r="T515" i="31"/>
  <c r="T516" i="31"/>
  <c r="T517" i="31"/>
  <c r="T518" i="31"/>
  <c r="T519" i="31"/>
  <c r="T520" i="31"/>
  <c r="T521" i="31"/>
  <c r="T522" i="31"/>
  <c r="T523" i="31"/>
  <c r="T524" i="31"/>
  <c r="T525" i="31"/>
  <c r="T526" i="31"/>
  <c r="T527" i="31"/>
  <c r="T528" i="31"/>
  <c r="T529" i="31"/>
  <c r="T530" i="31"/>
  <c r="T531" i="31"/>
  <c r="T532" i="31"/>
  <c r="T533" i="31"/>
  <c r="T534" i="31"/>
  <c r="T535" i="31"/>
  <c r="T536" i="31"/>
  <c r="T537" i="31"/>
  <c r="T538" i="31"/>
  <c r="T539" i="31"/>
  <c r="T540" i="31"/>
  <c r="T541" i="31"/>
  <c r="T542" i="31"/>
  <c r="T543" i="31"/>
  <c r="T544" i="31"/>
  <c r="T545" i="31"/>
  <c r="T546" i="31"/>
  <c r="T547" i="31"/>
  <c r="T548" i="31"/>
  <c r="T549" i="31"/>
  <c r="T550" i="31"/>
  <c r="T551" i="31"/>
  <c r="T552" i="31"/>
  <c r="T553" i="31"/>
  <c r="T554" i="31"/>
  <c r="T555" i="31"/>
  <c r="T556" i="31"/>
  <c r="T557" i="31"/>
  <c r="T558" i="31"/>
  <c r="T559" i="31"/>
  <c r="T560" i="31"/>
  <c r="T561" i="31"/>
  <c r="T562" i="31"/>
  <c r="T563" i="31"/>
  <c r="T564" i="31"/>
  <c r="T565" i="31"/>
  <c r="T566" i="31"/>
  <c r="T567" i="31"/>
  <c r="T568" i="31"/>
  <c r="T569" i="31"/>
  <c r="T570" i="31"/>
  <c r="T571" i="31"/>
  <c r="T572" i="31"/>
  <c r="T573" i="31"/>
  <c r="T574" i="31"/>
  <c r="T575" i="31"/>
  <c r="T576" i="31"/>
  <c r="T577" i="31"/>
  <c r="T578" i="31"/>
  <c r="T579" i="31"/>
  <c r="T580" i="31"/>
  <c r="T581" i="31"/>
  <c r="T582" i="31"/>
  <c r="T583" i="31"/>
  <c r="T584" i="31"/>
  <c r="T585" i="31"/>
  <c r="T586" i="31"/>
  <c r="T587" i="31"/>
  <c r="T588" i="31"/>
  <c r="T589" i="31"/>
  <c r="T590" i="31"/>
  <c r="T591" i="31"/>
  <c r="T592" i="31"/>
  <c r="T593" i="31"/>
  <c r="T594" i="31"/>
  <c r="T595" i="31"/>
  <c r="T596" i="31"/>
  <c r="T597" i="31"/>
  <c r="T598" i="31"/>
  <c r="T599" i="31"/>
  <c r="T600" i="31"/>
  <c r="T601" i="31"/>
  <c r="T602" i="31"/>
  <c r="T603" i="31"/>
  <c r="T604" i="31"/>
  <c r="T605" i="31"/>
  <c r="T606" i="31"/>
  <c r="T607" i="31"/>
  <c r="T608" i="31"/>
  <c r="T609" i="31"/>
  <c r="T610" i="31"/>
  <c r="T611" i="31"/>
  <c r="T612" i="31"/>
  <c r="T613" i="31"/>
  <c r="T614" i="31"/>
  <c r="T615" i="31"/>
  <c r="T616" i="31"/>
  <c r="T617" i="31"/>
  <c r="T618" i="31"/>
  <c r="T619" i="31"/>
  <c r="T620" i="31"/>
  <c r="T621" i="31"/>
  <c r="T622" i="31"/>
  <c r="T623" i="31"/>
  <c r="T624" i="31"/>
  <c r="T625" i="31"/>
  <c r="T626" i="31"/>
  <c r="T627" i="31"/>
  <c r="T628" i="31"/>
  <c r="T629" i="31"/>
  <c r="T630" i="31"/>
  <c r="T631" i="31"/>
  <c r="T632" i="31"/>
  <c r="T633" i="31"/>
  <c r="T634" i="31"/>
  <c r="T635" i="31"/>
  <c r="T636" i="31"/>
  <c r="T637" i="31"/>
  <c r="T638" i="31"/>
  <c r="T639" i="31"/>
  <c r="T640" i="31"/>
  <c r="T641" i="31"/>
  <c r="T642" i="31"/>
  <c r="T643" i="31"/>
  <c r="T644" i="31"/>
  <c r="T645" i="31"/>
  <c r="T646" i="31"/>
  <c r="T647" i="31"/>
  <c r="T648" i="31"/>
  <c r="T649" i="31"/>
  <c r="T650" i="31"/>
  <c r="T651" i="31"/>
  <c r="T652" i="31"/>
  <c r="T653" i="31"/>
  <c r="T654" i="31"/>
  <c r="T655" i="31"/>
  <c r="T656" i="31"/>
  <c r="T657" i="31"/>
  <c r="T658" i="31"/>
  <c r="T659" i="31"/>
  <c r="T660" i="31"/>
  <c r="T661" i="31"/>
  <c r="T662" i="31"/>
  <c r="T663" i="31"/>
  <c r="T664" i="31"/>
  <c r="T665" i="31"/>
  <c r="T666" i="31"/>
  <c r="T667" i="31"/>
  <c r="T668" i="31"/>
  <c r="T669" i="31"/>
  <c r="T670" i="31"/>
  <c r="T671" i="31"/>
  <c r="T672" i="31"/>
  <c r="T673" i="31"/>
  <c r="T674" i="31"/>
  <c r="T675" i="31"/>
  <c r="T676" i="31"/>
  <c r="T677" i="31"/>
  <c r="T678" i="31"/>
  <c r="T679" i="31"/>
  <c r="T680" i="31"/>
  <c r="T681" i="31"/>
  <c r="T682" i="31"/>
  <c r="T683" i="31"/>
  <c r="T684" i="31"/>
  <c r="T685" i="31"/>
  <c r="T686" i="31"/>
  <c r="T687" i="31"/>
  <c r="T688" i="31"/>
  <c r="T689" i="31"/>
  <c r="T690" i="31"/>
  <c r="T691" i="31"/>
  <c r="T692" i="31"/>
  <c r="T693" i="31"/>
  <c r="T694" i="31"/>
  <c r="T695" i="31"/>
  <c r="T696" i="31"/>
  <c r="T697" i="31"/>
  <c r="T698" i="31"/>
  <c r="T699" i="31"/>
  <c r="T700" i="31"/>
  <c r="T701" i="31"/>
  <c r="T702" i="31"/>
  <c r="T703" i="31"/>
  <c r="T704" i="31"/>
  <c r="T705" i="31"/>
  <c r="T706" i="31"/>
  <c r="T707" i="31"/>
  <c r="T708" i="31"/>
  <c r="T709" i="31"/>
  <c r="T710" i="31"/>
  <c r="T711" i="31"/>
  <c r="T712" i="31"/>
  <c r="T713" i="31"/>
  <c r="T714" i="31"/>
  <c r="T715" i="31"/>
  <c r="T716" i="31"/>
  <c r="T717" i="31"/>
  <c r="T718" i="31"/>
  <c r="T719" i="31"/>
  <c r="T720" i="31"/>
  <c r="T721" i="31"/>
  <c r="T722" i="31"/>
  <c r="T723" i="31"/>
  <c r="T724" i="31"/>
  <c r="T725" i="31"/>
  <c r="T726" i="31"/>
  <c r="T727" i="31"/>
  <c r="T728" i="31"/>
  <c r="T729" i="31"/>
  <c r="T730" i="31"/>
  <c r="T731" i="31"/>
  <c r="T732" i="31"/>
  <c r="T733" i="31"/>
  <c r="T734" i="31"/>
  <c r="T735" i="31"/>
  <c r="T736" i="31"/>
  <c r="T737" i="31"/>
  <c r="T738" i="31"/>
  <c r="T739" i="31"/>
  <c r="T740" i="31"/>
  <c r="T741" i="31"/>
  <c r="T742" i="31"/>
  <c r="T743" i="31"/>
  <c r="T744" i="31"/>
  <c r="T745" i="31"/>
  <c r="T746" i="31"/>
  <c r="T747" i="31"/>
  <c r="T748" i="31"/>
  <c r="T749" i="31"/>
  <c r="T750" i="31"/>
  <c r="T751" i="31"/>
  <c r="T752" i="31"/>
  <c r="T753" i="31"/>
  <c r="T754" i="31"/>
  <c r="T755" i="31"/>
  <c r="T756" i="31"/>
  <c r="T757" i="31"/>
  <c r="T758" i="31"/>
  <c r="T759" i="31"/>
  <c r="T760" i="31"/>
  <c r="T761" i="31"/>
  <c r="T762" i="31"/>
  <c r="T763" i="31"/>
  <c r="T764" i="31"/>
  <c r="T765" i="31"/>
  <c r="T766" i="31"/>
  <c r="T767" i="31"/>
  <c r="T768" i="31"/>
  <c r="T769" i="31"/>
  <c r="T770" i="31"/>
  <c r="T771" i="31"/>
  <c r="T772" i="31"/>
  <c r="T773" i="31"/>
  <c r="T774" i="31"/>
  <c r="T775" i="31"/>
  <c r="T776" i="31"/>
  <c r="T777" i="31"/>
  <c r="T778" i="31"/>
  <c r="T779" i="31"/>
  <c r="T780" i="31"/>
  <c r="T781" i="31"/>
  <c r="T782" i="31"/>
  <c r="T783" i="31"/>
  <c r="T784" i="31"/>
  <c r="T785" i="31"/>
  <c r="T786" i="31"/>
  <c r="T787" i="31"/>
  <c r="T788" i="31"/>
  <c r="T789" i="31"/>
  <c r="T790" i="31"/>
  <c r="T791" i="31"/>
  <c r="T792" i="31"/>
  <c r="T793" i="31"/>
  <c r="T794" i="31"/>
  <c r="T795" i="31"/>
  <c r="T796" i="31"/>
  <c r="T797" i="31"/>
  <c r="T798" i="31"/>
  <c r="T799" i="31"/>
  <c r="T800" i="31"/>
  <c r="T801" i="31"/>
  <c r="T802" i="31"/>
  <c r="T803" i="31"/>
  <c r="T804" i="31"/>
  <c r="T805" i="31"/>
  <c r="T806" i="31"/>
  <c r="T807" i="31"/>
  <c r="T808" i="31"/>
  <c r="T809" i="31"/>
  <c r="T810" i="31"/>
  <c r="T811" i="31"/>
  <c r="T812" i="31"/>
  <c r="T813" i="31"/>
  <c r="T814" i="31"/>
  <c r="T815" i="31"/>
  <c r="T816" i="31"/>
  <c r="T817" i="31"/>
  <c r="T818" i="31"/>
  <c r="T819" i="31"/>
  <c r="T820" i="31"/>
  <c r="T821" i="31"/>
  <c r="T822" i="31"/>
  <c r="T823" i="31"/>
  <c r="T824" i="31"/>
  <c r="T825" i="31"/>
  <c r="T826" i="31"/>
  <c r="T827" i="31"/>
  <c r="T828" i="31"/>
  <c r="T829" i="31"/>
  <c r="T830" i="31"/>
  <c r="T831" i="31"/>
  <c r="T832" i="31"/>
  <c r="T833" i="31"/>
  <c r="T834" i="31"/>
  <c r="T835" i="31"/>
  <c r="T836" i="31"/>
  <c r="T837" i="31"/>
  <c r="T838" i="31"/>
  <c r="T839" i="31"/>
  <c r="T840" i="31"/>
  <c r="T841" i="31"/>
  <c r="T842" i="31"/>
  <c r="T843" i="31"/>
  <c r="T844" i="31"/>
  <c r="T845" i="31"/>
  <c r="T846" i="31"/>
  <c r="T847" i="31"/>
  <c r="T848" i="31"/>
  <c r="T849" i="31"/>
  <c r="T850" i="31"/>
  <c r="T851" i="31"/>
  <c r="T852" i="31"/>
  <c r="T853" i="31"/>
  <c r="T854" i="31"/>
  <c r="T855" i="31"/>
  <c r="T856" i="31"/>
  <c r="T857" i="31"/>
  <c r="T858" i="31"/>
  <c r="T859" i="31"/>
  <c r="T860" i="31"/>
  <c r="T861" i="31"/>
  <c r="T862" i="31"/>
  <c r="T863" i="31"/>
  <c r="T864" i="31"/>
  <c r="T865" i="31"/>
  <c r="T866" i="31"/>
  <c r="T867" i="31"/>
  <c r="T868" i="31"/>
  <c r="T869" i="31"/>
  <c r="T870" i="31"/>
  <c r="T871" i="31"/>
  <c r="T872" i="31"/>
  <c r="T873" i="31"/>
  <c r="T874" i="31"/>
  <c r="T875" i="31"/>
  <c r="T876" i="31"/>
  <c r="T877" i="31"/>
  <c r="T878" i="31"/>
  <c r="T879" i="31"/>
  <c r="T880" i="31"/>
  <c r="T881" i="31"/>
  <c r="T882" i="31"/>
  <c r="T883" i="31"/>
  <c r="T884" i="31"/>
  <c r="T885" i="31"/>
  <c r="T886" i="31"/>
  <c r="T887" i="31"/>
  <c r="T888" i="31"/>
  <c r="T889" i="31"/>
  <c r="T890" i="31"/>
  <c r="T891" i="31"/>
  <c r="T892" i="31"/>
  <c r="T893" i="31"/>
  <c r="T894" i="31"/>
  <c r="T895" i="31"/>
  <c r="T896" i="31"/>
  <c r="T897" i="31"/>
  <c r="T898" i="31"/>
  <c r="T899" i="31"/>
  <c r="T900" i="31"/>
  <c r="T901" i="31"/>
  <c r="T902" i="31"/>
  <c r="T903" i="31"/>
  <c r="T904" i="31"/>
  <c r="T905" i="31"/>
  <c r="T906" i="31"/>
  <c r="T907" i="31"/>
  <c r="T908" i="31"/>
  <c r="T909" i="31"/>
  <c r="T910" i="31"/>
  <c r="T911" i="31"/>
  <c r="T912" i="31"/>
  <c r="T913" i="31"/>
  <c r="T914" i="31"/>
  <c r="T915" i="31"/>
  <c r="T916" i="31"/>
  <c r="T917" i="31"/>
  <c r="T918" i="31"/>
  <c r="T919" i="31"/>
  <c r="T920" i="31"/>
  <c r="T921" i="31"/>
  <c r="T922" i="31"/>
  <c r="T923" i="31"/>
  <c r="T924" i="31"/>
  <c r="T925" i="31"/>
  <c r="T926" i="31"/>
  <c r="T927" i="31"/>
  <c r="T928" i="31"/>
  <c r="T929" i="31"/>
  <c r="T930" i="31"/>
  <c r="T931" i="31"/>
  <c r="T932" i="31"/>
  <c r="T933" i="31"/>
  <c r="T934" i="31"/>
  <c r="T935" i="31"/>
  <c r="T936" i="31"/>
  <c r="T937" i="31"/>
  <c r="T938" i="31"/>
  <c r="T939" i="31"/>
  <c r="T940" i="31"/>
  <c r="T941" i="31"/>
  <c r="T942" i="31"/>
  <c r="T943" i="31"/>
  <c r="T944" i="31"/>
  <c r="T945" i="31"/>
  <c r="T946" i="31"/>
  <c r="T947" i="31"/>
  <c r="T948" i="31"/>
  <c r="T949" i="31"/>
  <c r="T950" i="31"/>
  <c r="T951" i="31"/>
  <c r="T952" i="31"/>
  <c r="T953" i="31"/>
  <c r="T954" i="31"/>
  <c r="T955" i="31"/>
  <c r="T956" i="31"/>
  <c r="T957" i="31"/>
  <c r="T958" i="31"/>
  <c r="T959" i="31"/>
  <c r="T960" i="31"/>
  <c r="T961" i="31"/>
  <c r="T962" i="31"/>
  <c r="T963" i="31"/>
  <c r="T964" i="31"/>
  <c r="T965" i="31"/>
  <c r="T966" i="31"/>
  <c r="T967" i="31"/>
  <c r="T968" i="31"/>
  <c r="T969" i="31"/>
  <c r="T970" i="31"/>
  <c r="T971" i="31"/>
  <c r="T972" i="31"/>
  <c r="T973" i="31"/>
  <c r="T974" i="31"/>
  <c r="T975" i="31"/>
  <c r="T976" i="31"/>
  <c r="T977" i="31"/>
  <c r="T978" i="31"/>
  <c r="T979" i="31"/>
  <c r="T980" i="31"/>
  <c r="T981" i="31"/>
  <c r="T982" i="31"/>
  <c r="T983" i="31"/>
  <c r="T984" i="31"/>
  <c r="T985" i="31"/>
  <c r="T986" i="31"/>
  <c r="T987" i="31"/>
  <c r="T988" i="31"/>
  <c r="T989" i="31"/>
  <c r="T990" i="31"/>
  <c r="T991" i="31"/>
  <c r="T992" i="31"/>
  <c r="T993" i="31"/>
  <c r="T994" i="31"/>
  <c r="T995" i="31"/>
  <c r="T996" i="31"/>
  <c r="T997" i="31"/>
  <c r="T998" i="31"/>
  <c r="T999" i="31"/>
  <c r="T1000" i="31"/>
  <c r="T1001" i="31"/>
  <c r="T1002" i="31"/>
  <c r="T1003" i="31"/>
  <c r="T1004" i="31"/>
  <c r="T1005" i="31"/>
  <c r="T1006" i="31"/>
  <c r="T1007" i="31"/>
  <c r="T1008" i="31"/>
  <c r="T1009" i="31"/>
  <c r="T1010" i="31"/>
  <c r="T1011" i="31"/>
  <c r="T1012" i="31"/>
  <c r="T1013" i="31"/>
  <c r="T1014" i="31"/>
  <c r="T1015" i="31"/>
  <c r="T1016" i="31"/>
  <c r="T1017" i="31"/>
  <c r="T1018" i="31"/>
  <c r="T1019" i="31"/>
  <c r="T1020" i="31"/>
  <c r="T1021" i="31"/>
  <c r="T1022" i="31"/>
  <c r="T1023" i="31"/>
  <c r="T1024" i="31"/>
  <c r="T1025" i="31"/>
  <c r="T1026" i="31"/>
  <c r="T1027" i="31"/>
  <c r="T1028" i="31"/>
  <c r="T1029" i="31"/>
  <c r="T1030" i="31"/>
  <c r="T1031" i="31"/>
  <c r="T1032" i="31"/>
  <c r="T1033" i="31"/>
  <c r="T1034" i="31"/>
  <c r="T1035" i="31"/>
  <c r="T1036" i="31"/>
  <c r="T1037" i="31"/>
  <c r="T1038" i="31"/>
  <c r="T1039" i="31"/>
  <c r="T1040" i="31"/>
  <c r="T1041" i="31"/>
  <c r="T1042" i="31"/>
  <c r="T1043" i="31"/>
  <c r="T1044" i="31"/>
  <c r="T1045" i="31"/>
  <c r="T1046" i="31"/>
  <c r="T1047" i="31"/>
  <c r="T1048" i="31"/>
  <c r="T1049" i="31"/>
  <c r="T1050" i="31"/>
  <c r="T1051" i="31"/>
  <c r="T1052" i="31"/>
  <c r="T1053" i="31"/>
  <c r="T1054" i="31"/>
  <c r="T1055" i="31"/>
  <c r="T1056" i="31"/>
  <c r="T1057" i="31"/>
  <c r="T1058" i="31"/>
  <c r="T1059" i="31"/>
  <c r="T1060" i="31"/>
  <c r="T1061" i="31"/>
  <c r="T1062" i="31"/>
  <c r="T1063" i="31"/>
  <c r="T1064" i="31"/>
  <c r="T1065" i="31"/>
  <c r="T1066" i="31"/>
  <c r="T1067" i="31"/>
  <c r="T1068" i="31"/>
  <c r="T1069" i="31"/>
  <c r="T1070" i="31"/>
  <c r="T1071" i="31"/>
  <c r="T1072" i="31"/>
  <c r="T1073" i="31"/>
  <c r="T1074" i="31"/>
  <c r="T1075" i="31"/>
  <c r="T1076" i="31"/>
  <c r="T1077" i="31"/>
  <c r="T1078" i="31"/>
  <c r="T1079" i="31"/>
  <c r="T1080" i="31"/>
  <c r="T1081" i="31"/>
  <c r="T1082" i="31"/>
  <c r="T1083" i="31"/>
  <c r="T1084" i="31"/>
  <c r="T1085" i="31"/>
  <c r="T1086" i="31"/>
  <c r="T1087" i="31"/>
  <c r="T1088" i="31"/>
  <c r="T1089" i="31"/>
  <c r="T1090" i="31"/>
  <c r="T1091" i="31"/>
  <c r="T1092" i="31"/>
  <c r="T1093" i="31"/>
  <c r="T1094" i="31"/>
  <c r="T1095" i="31"/>
  <c r="T1096" i="31"/>
  <c r="T1097" i="31"/>
  <c r="T1098" i="31"/>
  <c r="T1099" i="31"/>
  <c r="T1100" i="31"/>
  <c r="T1101" i="31"/>
  <c r="T1102" i="31"/>
  <c r="T1103" i="31"/>
  <c r="T1104" i="31"/>
  <c r="T1105" i="31"/>
  <c r="T1106" i="31"/>
  <c r="T1107" i="31"/>
  <c r="T1108" i="31"/>
  <c r="T1109" i="31"/>
  <c r="T1110" i="31"/>
  <c r="T1111" i="31"/>
  <c r="T1112" i="31"/>
  <c r="T1113" i="31"/>
  <c r="T1114" i="31"/>
  <c r="T1115" i="31"/>
  <c r="T1116" i="31"/>
  <c r="T1117" i="31"/>
  <c r="T1118" i="31"/>
  <c r="T1119" i="31"/>
  <c r="T1120" i="31"/>
  <c r="T1121" i="31"/>
  <c r="T1122" i="31"/>
  <c r="T1123" i="31"/>
  <c r="T1124" i="31"/>
  <c r="T1125" i="31"/>
  <c r="T1126" i="31"/>
  <c r="T1127" i="31"/>
  <c r="T1128" i="31"/>
  <c r="T1129" i="31"/>
  <c r="T1130" i="31"/>
  <c r="T1131" i="31"/>
  <c r="T1132" i="31"/>
  <c r="T1133" i="31"/>
  <c r="T1134" i="31"/>
  <c r="T1135" i="31"/>
  <c r="T1136" i="31"/>
  <c r="T1137" i="31"/>
  <c r="T1138" i="31"/>
  <c r="T1139" i="31"/>
  <c r="T1140" i="31"/>
  <c r="T1141" i="31"/>
  <c r="T1142" i="31"/>
  <c r="T1143" i="31"/>
  <c r="T1144" i="31"/>
  <c r="T1145" i="31"/>
  <c r="T1146" i="31"/>
  <c r="T1147" i="31"/>
  <c r="T1148" i="31"/>
  <c r="T1149" i="31"/>
  <c r="T1150" i="31"/>
  <c r="T1151" i="31"/>
  <c r="T1152" i="31"/>
  <c r="T1153" i="31"/>
  <c r="T1154" i="31"/>
  <c r="T1155" i="31"/>
  <c r="T1156" i="31"/>
  <c r="T1157" i="31"/>
  <c r="T1158" i="31"/>
  <c r="T1159" i="31"/>
  <c r="T1160" i="31"/>
  <c r="T1161" i="31"/>
  <c r="T1162" i="31"/>
  <c r="T1163" i="31"/>
  <c r="T1164" i="31"/>
  <c r="T1165" i="31"/>
  <c r="T1166" i="31"/>
  <c r="T1167" i="31"/>
  <c r="T1168" i="31"/>
  <c r="T1169" i="31"/>
  <c r="T1170" i="31"/>
  <c r="T1171" i="31"/>
  <c r="T1172" i="31"/>
  <c r="T1173" i="31"/>
  <c r="T1174" i="31"/>
  <c r="T1175" i="31"/>
  <c r="T1176" i="31"/>
  <c r="T1177" i="31"/>
  <c r="T1178" i="31"/>
  <c r="T1179" i="31"/>
  <c r="T1180" i="31"/>
  <c r="T1181" i="31"/>
  <c r="T1182" i="31"/>
  <c r="T1183" i="31"/>
  <c r="T1184" i="31"/>
  <c r="T1185" i="31"/>
  <c r="T1186" i="31"/>
  <c r="T1187" i="31"/>
  <c r="T1188" i="31"/>
  <c r="T1189" i="31"/>
  <c r="T1190" i="31"/>
  <c r="T1191" i="31"/>
  <c r="T1192" i="31"/>
  <c r="T1193" i="31"/>
  <c r="T1194" i="31"/>
  <c r="T1195" i="31"/>
  <c r="T1196" i="31"/>
  <c r="T1197" i="31"/>
  <c r="T1198" i="31"/>
  <c r="T1199" i="31"/>
  <c r="T1200" i="31"/>
  <c r="T1201" i="31"/>
  <c r="T1202" i="31"/>
  <c r="T1203" i="31"/>
  <c r="T1204" i="31"/>
  <c r="T1205" i="31"/>
  <c r="T1206" i="31"/>
  <c r="T1207" i="31"/>
  <c r="T1208" i="31"/>
  <c r="T1209" i="31"/>
  <c r="T1210" i="31"/>
  <c r="T1211" i="31"/>
  <c r="T1212" i="31"/>
  <c r="T1213" i="31"/>
  <c r="T1214" i="31"/>
  <c r="T1215" i="31"/>
  <c r="T1216" i="31"/>
  <c r="T1217" i="31"/>
  <c r="T1218" i="31"/>
  <c r="T1219" i="31"/>
  <c r="T1220" i="31"/>
  <c r="T1221" i="31"/>
  <c r="T1222" i="31"/>
  <c r="T1223" i="31"/>
  <c r="T1224" i="31"/>
  <c r="T1225" i="31"/>
  <c r="T1226" i="31"/>
  <c r="T1227" i="31"/>
  <c r="T1228" i="31"/>
  <c r="T1229" i="31"/>
  <c r="T1230" i="31"/>
  <c r="T1231" i="31"/>
  <c r="T1232" i="31"/>
  <c r="T1233" i="31"/>
  <c r="T1234" i="31"/>
  <c r="T1235" i="31"/>
  <c r="T1236" i="31"/>
  <c r="T1237" i="31"/>
  <c r="T1238" i="31"/>
  <c r="T1239" i="31"/>
  <c r="T1240" i="31"/>
  <c r="T1241" i="31"/>
  <c r="T1242" i="31"/>
  <c r="T1243" i="31"/>
  <c r="T1244" i="31"/>
  <c r="T1245" i="31"/>
  <c r="T1246" i="31"/>
  <c r="T1247" i="31"/>
  <c r="T1248" i="31"/>
  <c r="T1249" i="31"/>
  <c r="T1250" i="31"/>
  <c r="T1251" i="31"/>
  <c r="T1252" i="31"/>
  <c r="T1253" i="31"/>
  <c r="T1254" i="31"/>
  <c r="T1255" i="31"/>
  <c r="T1256" i="31"/>
  <c r="T1257" i="31"/>
  <c r="T1258" i="31"/>
  <c r="T1259" i="31"/>
  <c r="T1260" i="31"/>
  <c r="T1261" i="31"/>
  <c r="T1262" i="31"/>
  <c r="T1263" i="31"/>
  <c r="T1264" i="31"/>
  <c r="T1265" i="31"/>
  <c r="T1266" i="31"/>
  <c r="T1267" i="31"/>
  <c r="T1268" i="31"/>
  <c r="T1269" i="31"/>
  <c r="T1270" i="31"/>
  <c r="T1271" i="31"/>
  <c r="T1272" i="31"/>
  <c r="T1273" i="31"/>
  <c r="T1274" i="31"/>
  <c r="T1275" i="31"/>
  <c r="T1276" i="31"/>
  <c r="T1277" i="31"/>
  <c r="T1278" i="31"/>
  <c r="T1279" i="31"/>
  <c r="T1280" i="31"/>
  <c r="T1281" i="31"/>
  <c r="T1282" i="31"/>
  <c r="T1283" i="31"/>
  <c r="T1284" i="31"/>
  <c r="T1285" i="31"/>
  <c r="T1286" i="31"/>
  <c r="T1287" i="31"/>
  <c r="T1288" i="31"/>
  <c r="T1289" i="31"/>
  <c r="T1290" i="31"/>
  <c r="T1291" i="31"/>
  <c r="T1292" i="31"/>
  <c r="T1293" i="31"/>
  <c r="T1294" i="31"/>
  <c r="T1295" i="31"/>
  <c r="T1296" i="31"/>
  <c r="T1297" i="31"/>
  <c r="T1298" i="31"/>
  <c r="T1299" i="31"/>
  <c r="T1300" i="31"/>
  <c r="T1301" i="31"/>
  <c r="T1302" i="31"/>
  <c r="T1303" i="31"/>
  <c r="T1304" i="31"/>
  <c r="T1305" i="31"/>
  <c r="T1306" i="31"/>
  <c r="T1307" i="31"/>
  <c r="T1308" i="31"/>
  <c r="T1309" i="31"/>
  <c r="T1310" i="31"/>
  <c r="T1311" i="31"/>
  <c r="T1312" i="31"/>
  <c r="T1313" i="31"/>
  <c r="T1314" i="31"/>
  <c r="T1315" i="31"/>
  <c r="T1316" i="31"/>
  <c r="T1317" i="31"/>
  <c r="T1318" i="31"/>
  <c r="T1319" i="31"/>
  <c r="T1320" i="31"/>
  <c r="T1321" i="31"/>
  <c r="T1322" i="31"/>
  <c r="T1323" i="31"/>
  <c r="T1324" i="31"/>
  <c r="T1325" i="31"/>
  <c r="T1326" i="31"/>
  <c r="T1327" i="31"/>
  <c r="T1328" i="31"/>
  <c r="T1329" i="31"/>
  <c r="T1330" i="31"/>
  <c r="T1331" i="31"/>
  <c r="T1332" i="31"/>
  <c r="T1333" i="31"/>
  <c r="T1334" i="31"/>
  <c r="T1335" i="31"/>
  <c r="T1336" i="31"/>
  <c r="T1337" i="31"/>
  <c r="T1338" i="31"/>
  <c r="T1339" i="31"/>
  <c r="T1340" i="31"/>
  <c r="T1341" i="31"/>
  <c r="T1342" i="31"/>
  <c r="T1343" i="31"/>
  <c r="T1344" i="31"/>
  <c r="T1345" i="31"/>
  <c r="T1346" i="31"/>
  <c r="T1347" i="31"/>
  <c r="T1348" i="31"/>
  <c r="T1349" i="31"/>
  <c r="T1350" i="31"/>
  <c r="T1351" i="31"/>
  <c r="T1352" i="31"/>
  <c r="T1353" i="31"/>
  <c r="T1354" i="31"/>
  <c r="T1355" i="31"/>
  <c r="T1356" i="31"/>
  <c r="T1357" i="31"/>
  <c r="T1358" i="31"/>
  <c r="T1359" i="31"/>
  <c r="T1360" i="31"/>
  <c r="T1361" i="31"/>
  <c r="T1362" i="31"/>
  <c r="T1363" i="31"/>
  <c r="T1364" i="31"/>
  <c r="T1365" i="31"/>
  <c r="T1366" i="31"/>
  <c r="T1367" i="31"/>
  <c r="T1368" i="31"/>
  <c r="T1369" i="31"/>
  <c r="T1370" i="31"/>
  <c r="T1371" i="31"/>
  <c r="T1372" i="31"/>
  <c r="T1373" i="31"/>
  <c r="T1374" i="31"/>
  <c r="T1375" i="31"/>
  <c r="T1376" i="31"/>
  <c r="T1377" i="31"/>
  <c r="T1378" i="31"/>
  <c r="T1379" i="31"/>
  <c r="T1380" i="31"/>
  <c r="T1381" i="31"/>
  <c r="T1382" i="31"/>
  <c r="T1383" i="31"/>
  <c r="T1384" i="31"/>
  <c r="T1385" i="31"/>
  <c r="T1386" i="31"/>
  <c r="T1387" i="31"/>
  <c r="T1388" i="31"/>
  <c r="T1389" i="31"/>
  <c r="T1390" i="31"/>
  <c r="T1391" i="31"/>
  <c r="T1392" i="31"/>
  <c r="T1393" i="31"/>
  <c r="T1394" i="31"/>
  <c r="T1395" i="31"/>
  <c r="T1396" i="31"/>
  <c r="T1397" i="31"/>
  <c r="T1398" i="31"/>
  <c r="T1399" i="31"/>
  <c r="T1400" i="31"/>
  <c r="T1401" i="31"/>
  <c r="T1402" i="31"/>
  <c r="T1403" i="31"/>
  <c r="T1404" i="31"/>
  <c r="T1405" i="31"/>
  <c r="T1406" i="31"/>
  <c r="T1407" i="31"/>
  <c r="T1408" i="31"/>
  <c r="T1409" i="31"/>
  <c r="T1410" i="31"/>
  <c r="T1411" i="31"/>
  <c r="T1412" i="31"/>
  <c r="T1413" i="31"/>
  <c r="T1414" i="31"/>
  <c r="T1415" i="31"/>
  <c r="T1416" i="31"/>
  <c r="T1417" i="31"/>
  <c r="T1418" i="31"/>
  <c r="T1419" i="31"/>
  <c r="T1420" i="31"/>
  <c r="T1421" i="31"/>
  <c r="T1422" i="31"/>
  <c r="T1423" i="31"/>
  <c r="T1424" i="31"/>
  <c r="T1425" i="31"/>
  <c r="T1426" i="31"/>
  <c r="T1427" i="31"/>
  <c r="T1428" i="31"/>
  <c r="T1429" i="31"/>
  <c r="T1430" i="31"/>
  <c r="T1431" i="31"/>
  <c r="T1432" i="31"/>
  <c r="T1433" i="31"/>
  <c r="T1434" i="31"/>
  <c r="T1435" i="31"/>
  <c r="T1436" i="31"/>
  <c r="T1437" i="31"/>
  <c r="T1438" i="31"/>
  <c r="T1439" i="31"/>
  <c r="T1440" i="31"/>
  <c r="T1441" i="31"/>
  <c r="T1442" i="31"/>
  <c r="T1443" i="31"/>
  <c r="T1444" i="31"/>
  <c r="T1445" i="31"/>
  <c r="T1446" i="31"/>
  <c r="T1447" i="31"/>
  <c r="T1448" i="31"/>
  <c r="T1449" i="31"/>
  <c r="T1450" i="31"/>
  <c r="T1451" i="31"/>
  <c r="T1452" i="31"/>
  <c r="T1453" i="31"/>
  <c r="T1454" i="31"/>
  <c r="T1455" i="31"/>
  <c r="T1456" i="31"/>
  <c r="T1457" i="31"/>
  <c r="T1458" i="31"/>
  <c r="T1459" i="31"/>
  <c r="T1460" i="31"/>
  <c r="T1461" i="31"/>
  <c r="T1462" i="31"/>
  <c r="T1463" i="31"/>
  <c r="T1464" i="31"/>
  <c r="T1465" i="31"/>
  <c r="T1466" i="31"/>
  <c r="T1467" i="31"/>
  <c r="T1468" i="31"/>
  <c r="T1469" i="31"/>
  <c r="T1470" i="31"/>
  <c r="T1471" i="31"/>
  <c r="T1472" i="31"/>
  <c r="T1473" i="31"/>
  <c r="T1474" i="31"/>
  <c r="T1475" i="31"/>
  <c r="T1476" i="31"/>
  <c r="T1477" i="31"/>
  <c r="T1478" i="31"/>
  <c r="T1479" i="31"/>
  <c r="T1480" i="31"/>
  <c r="T1481" i="31"/>
  <c r="T1482" i="31"/>
  <c r="T1483" i="31"/>
  <c r="T1484" i="31"/>
  <c r="T1485" i="31"/>
  <c r="T1486" i="31"/>
  <c r="T1487" i="31"/>
  <c r="T1488" i="31"/>
  <c r="T1489" i="31"/>
  <c r="T1490" i="31"/>
  <c r="T1491" i="31"/>
  <c r="T1492" i="31"/>
  <c r="T1493" i="31"/>
  <c r="T1494" i="31"/>
  <c r="T1495" i="31"/>
  <c r="T1496" i="31"/>
  <c r="T1497" i="31"/>
  <c r="T1498" i="31"/>
  <c r="T1499" i="31"/>
  <c r="T1500" i="31"/>
  <c r="T1501" i="31"/>
  <c r="T1502" i="31"/>
  <c r="T1503" i="31"/>
  <c r="T1504" i="31"/>
  <c r="T1505" i="31"/>
  <c r="T1506" i="31"/>
  <c r="T1507" i="31"/>
  <c r="T1508" i="31"/>
  <c r="T1509" i="31"/>
  <c r="T1510" i="31"/>
  <c r="T1511" i="31"/>
  <c r="T1512" i="31"/>
  <c r="T1513" i="31"/>
  <c r="T1514" i="31"/>
  <c r="T1515" i="31"/>
  <c r="T1516" i="31"/>
  <c r="T1517" i="31"/>
  <c r="T1518" i="31"/>
  <c r="T1519" i="31"/>
  <c r="T1520" i="31"/>
  <c r="T1521" i="31"/>
  <c r="T1522" i="31"/>
  <c r="T1523" i="31"/>
  <c r="T1524" i="31"/>
  <c r="T1525" i="31"/>
  <c r="T1526" i="31"/>
  <c r="T1527" i="31"/>
  <c r="T1528" i="31"/>
  <c r="T1529" i="31"/>
  <c r="T1530" i="31"/>
  <c r="T1531" i="31"/>
  <c r="T1532" i="31"/>
  <c r="T1533" i="31"/>
  <c r="T1534" i="31"/>
  <c r="T1535" i="31"/>
  <c r="T1536" i="31"/>
  <c r="T1537" i="31"/>
  <c r="T1538" i="31"/>
  <c r="T1539" i="31"/>
  <c r="T1540" i="31"/>
  <c r="T1541" i="31"/>
  <c r="T1542" i="31"/>
  <c r="T1543" i="31"/>
  <c r="T1544" i="31"/>
  <c r="T1545" i="31"/>
  <c r="T1546" i="31"/>
  <c r="T1547" i="31"/>
  <c r="T1548" i="31"/>
  <c r="T1549" i="31"/>
  <c r="T1550" i="31"/>
  <c r="T1551" i="31"/>
  <c r="T1552" i="31"/>
  <c r="T1553" i="31"/>
  <c r="T1554" i="31"/>
  <c r="T1555" i="31"/>
  <c r="T1556" i="31"/>
  <c r="T1557" i="31"/>
  <c r="T1558" i="31"/>
  <c r="T1559" i="31"/>
  <c r="T1560" i="31"/>
  <c r="T1561" i="31"/>
  <c r="T1562" i="31"/>
  <c r="T1563" i="31"/>
  <c r="T1564" i="31"/>
  <c r="T1565" i="31"/>
  <c r="T1566" i="31"/>
  <c r="T1567" i="31"/>
  <c r="T1568" i="31"/>
  <c r="T1569" i="31"/>
  <c r="T1570" i="31"/>
  <c r="T1571" i="31"/>
  <c r="T1572" i="31"/>
  <c r="T1573" i="31"/>
  <c r="T1574" i="31"/>
  <c r="T1575" i="31"/>
  <c r="T1576" i="31"/>
  <c r="T1577" i="31"/>
  <c r="T1578" i="31"/>
  <c r="T1579" i="31"/>
  <c r="T1580" i="31"/>
  <c r="T1581" i="31"/>
  <c r="T1582" i="31"/>
  <c r="T1583" i="31"/>
  <c r="T1584" i="31"/>
  <c r="T1585" i="31"/>
  <c r="T1586" i="31"/>
  <c r="T1587" i="31"/>
  <c r="T1588" i="31"/>
  <c r="T1589" i="31"/>
  <c r="T1590" i="31"/>
  <c r="T1591" i="31"/>
  <c r="T1592" i="31"/>
  <c r="T1593" i="31"/>
  <c r="T1594" i="31"/>
  <c r="T1595" i="31"/>
  <c r="T1596" i="31"/>
  <c r="T1597" i="31"/>
  <c r="T1598" i="31"/>
  <c r="T1599" i="31"/>
  <c r="T1600" i="31"/>
  <c r="T1601" i="31"/>
  <c r="T1602" i="31"/>
  <c r="T1603" i="31"/>
  <c r="T1604" i="31"/>
  <c r="T1605" i="31"/>
  <c r="T1606" i="31"/>
  <c r="T1607" i="31"/>
  <c r="T1608" i="31"/>
  <c r="T1609" i="31"/>
  <c r="T1610" i="31"/>
  <c r="T1611" i="31"/>
  <c r="T1612" i="31"/>
  <c r="T1613" i="31"/>
  <c r="T1614" i="31"/>
  <c r="T1615" i="31"/>
  <c r="T1616" i="31"/>
  <c r="T1617" i="31"/>
  <c r="T1618" i="31"/>
  <c r="T1619" i="31"/>
  <c r="T1620" i="31"/>
  <c r="T1621" i="31"/>
  <c r="T1622" i="31"/>
  <c r="T1623" i="31"/>
  <c r="T1624" i="31"/>
  <c r="T1625" i="31"/>
  <c r="T1626" i="31"/>
  <c r="T1627" i="31"/>
  <c r="T1628" i="31"/>
  <c r="T1629" i="31"/>
  <c r="T1630" i="31"/>
  <c r="T1631" i="31"/>
  <c r="T1632" i="31"/>
  <c r="T1633" i="31"/>
  <c r="T1634" i="31"/>
  <c r="T1635" i="31"/>
  <c r="T1636" i="31"/>
  <c r="T1637" i="31"/>
  <c r="T1638" i="31"/>
  <c r="T1639" i="31"/>
  <c r="T1640" i="31"/>
  <c r="T1641" i="31"/>
  <c r="T1642" i="31"/>
  <c r="T1643" i="31"/>
  <c r="T1644" i="31"/>
  <c r="T1645" i="31"/>
  <c r="T1646" i="31"/>
  <c r="T1647" i="31"/>
  <c r="T1648" i="31"/>
  <c r="T1649" i="31"/>
  <c r="T1650" i="31"/>
  <c r="T1651" i="31"/>
  <c r="T1652" i="31"/>
  <c r="T1653" i="31"/>
  <c r="T1654" i="31"/>
  <c r="T1655" i="31"/>
  <c r="T1656" i="31"/>
  <c r="T1657" i="31"/>
  <c r="T1658" i="31"/>
  <c r="T1659" i="31"/>
  <c r="T1660" i="31"/>
  <c r="T1661" i="31"/>
  <c r="T1662" i="31"/>
  <c r="T1663" i="31"/>
  <c r="T1664" i="31"/>
  <c r="T1665" i="31"/>
  <c r="T1666" i="31"/>
  <c r="T1667" i="31"/>
  <c r="T1668" i="31"/>
  <c r="T1669" i="31"/>
  <c r="T1670" i="31"/>
  <c r="T1671" i="31"/>
  <c r="T1672" i="31"/>
  <c r="T1673" i="31"/>
  <c r="T1674" i="31"/>
  <c r="T1675" i="31"/>
  <c r="T1676" i="31"/>
  <c r="T1677" i="31"/>
  <c r="T1678" i="31"/>
  <c r="T1679" i="31"/>
  <c r="T1680" i="31"/>
  <c r="T1681" i="31"/>
  <c r="T1682" i="31"/>
  <c r="T1683" i="31"/>
  <c r="T1684" i="31"/>
  <c r="T1685" i="31"/>
  <c r="T1686" i="31"/>
  <c r="T1687" i="31"/>
  <c r="T1688" i="31"/>
  <c r="T1689" i="31"/>
  <c r="T1690" i="31"/>
  <c r="T1691" i="31"/>
  <c r="T1692" i="31"/>
  <c r="T1693" i="31"/>
  <c r="T1694" i="31"/>
  <c r="T1695" i="31"/>
  <c r="T1696" i="31"/>
  <c r="T1697" i="31"/>
  <c r="T1698" i="31"/>
  <c r="T1699" i="31"/>
  <c r="T1700" i="31"/>
  <c r="T1701" i="31"/>
  <c r="T1702" i="31"/>
  <c r="T1703" i="31"/>
  <c r="T1704" i="31"/>
  <c r="T1705" i="31"/>
  <c r="T1706" i="31"/>
  <c r="T1707" i="31"/>
  <c r="T1708" i="31"/>
  <c r="T1709" i="31"/>
  <c r="T1710" i="31"/>
  <c r="T1711" i="31"/>
  <c r="T1712" i="31"/>
  <c r="T1713" i="31"/>
  <c r="T1714" i="31"/>
  <c r="T1715" i="31"/>
  <c r="T1716" i="31"/>
  <c r="T1717" i="31"/>
  <c r="T1718" i="31"/>
  <c r="T1719" i="31"/>
  <c r="T1720" i="31"/>
  <c r="T1721" i="31"/>
  <c r="T1722" i="31"/>
  <c r="T1723" i="31"/>
  <c r="T1724" i="31"/>
  <c r="T1725" i="31"/>
  <c r="T1726" i="31"/>
  <c r="T1727" i="31"/>
  <c r="T1728" i="31"/>
  <c r="T1729" i="31"/>
  <c r="T1730" i="31"/>
  <c r="T1731" i="31"/>
  <c r="T1732" i="31"/>
  <c r="T1733" i="31"/>
  <c r="T1734" i="31"/>
  <c r="T1735" i="31"/>
  <c r="T1736" i="31"/>
  <c r="T1737" i="31"/>
  <c r="T1738" i="31"/>
  <c r="T1739" i="31"/>
  <c r="T1740" i="31"/>
  <c r="T1741" i="31"/>
  <c r="T1742" i="31"/>
  <c r="T1743" i="31"/>
  <c r="T1744" i="31"/>
  <c r="T1745" i="31"/>
  <c r="T1746" i="31"/>
  <c r="T1747" i="31"/>
  <c r="T1748" i="31"/>
  <c r="T1749" i="31"/>
  <c r="T1750" i="31"/>
  <c r="T1751" i="31"/>
  <c r="T1752" i="31"/>
  <c r="T1753" i="31"/>
  <c r="T1754" i="31"/>
  <c r="T1755" i="31"/>
  <c r="T1756" i="31"/>
  <c r="T1757" i="31"/>
  <c r="T1758" i="31"/>
  <c r="T1759" i="31"/>
  <c r="T1760" i="31"/>
  <c r="T1761" i="31"/>
  <c r="T1762" i="31"/>
  <c r="T1763" i="31"/>
  <c r="T1764" i="31"/>
  <c r="T1765" i="31"/>
  <c r="T1766" i="31"/>
  <c r="T1767" i="31"/>
  <c r="T1768" i="31"/>
  <c r="T1769" i="31"/>
  <c r="T1770" i="31"/>
  <c r="T1771" i="31"/>
  <c r="T1772" i="31"/>
  <c r="T1773" i="31"/>
  <c r="T1774" i="31"/>
  <c r="T1775" i="31"/>
  <c r="T1776" i="31"/>
  <c r="T1777" i="31"/>
  <c r="T1778" i="31"/>
  <c r="T1779" i="31"/>
  <c r="T1780" i="31"/>
  <c r="T1781" i="31"/>
  <c r="T1782" i="31"/>
  <c r="T1783" i="31"/>
  <c r="T1784" i="31"/>
  <c r="T1785" i="31"/>
  <c r="T1786" i="31"/>
  <c r="T1787" i="31"/>
  <c r="T1788" i="31"/>
  <c r="T1789" i="31"/>
  <c r="T1790" i="31"/>
  <c r="T1791" i="31"/>
  <c r="T1792" i="31"/>
  <c r="T1793" i="31"/>
  <c r="T1794" i="31"/>
  <c r="T1795" i="31"/>
  <c r="T1796" i="31"/>
  <c r="T1797" i="31"/>
  <c r="T1798" i="31"/>
  <c r="T1799" i="31"/>
  <c r="T1800" i="31"/>
  <c r="T1801" i="31"/>
  <c r="T1802" i="31"/>
  <c r="T1803" i="31"/>
  <c r="T1804" i="31"/>
  <c r="T1805" i="31"/>
  <c r="T1806" i="31"/>
  <c r="T1807" i="31"/>
  <c r="T1808" i="31"/>
  <c r="T1809" i="31"/>
  <c r="T1810" i="31"/>
  <c r="T1811" i="31"/>
  <c r="T1812" i="31"/>
  <c r="T1813" i="31"/>
  <c r="T1814" i="31"/>
  <c r="T1815" i="31"/>
  <c r="T1816" i="31"/>
  <c r="T1817" i="31"/>
  <c r="T1818" i="31"/>
  <c r="T1819" i="31"/>
  <c r="T1820" i="31"/>
  <c r="T1821" i="31"/>
  <c r="T1822" i="31"/>
  <c r="T1823" i="31"/>
  <c r="T1824" i="31"/>
  <c r="T1825" i="31"/>
  <c r="T1826" i="31"/>
  <c r="T1827" i="31"/>
  <c r="T1828" i="31"/>
  <c r="T1829" i="31"/>
  <c r="T1830" i="31"/>
  <c r="T1831" i="31"/>
  <c r="T1832" i="31"/>
  <c r="T1833" i="31"/>
  <c r="T1834" i="31"/>
  <c r="T1835" i="31"/>
  <c r="T1836" i="31"/>
  <c r="T1837" i="31"/>
  <c r="T1838" i="31"/>
  <c r="T1839" i="31"/>
  <c r="T1840" i="31"/>
  <c r="T1841" i="31"/>
  <c r="T1842" i="31"/>
  <c r="T1843" i="31"/>
  <c r="T1844" i="31"/>
  <c r="T1845" i="31"/>
  <c r="T1846" i="31"/>
  <c r="T1847" i="31"/>
  <c r="T1848" i="31"/>
  <c r="T1849" i="31"/>
  <c r="T1850" i="31"/>
  <c r="T1851" i="31"/>
  <c r="T1852" i="31"/>
  <c r="T1853" i="31"/>
  <c r="T1854" i="31"/>
  <c r="T1855" i="31"/>
  <c r="T1856" i="31"/>
  <c r="T1857" i="31"/>
  <c r="T1858" i="31"/>
  <c r="T1859" i="31"/>
  <c r="T1860" i="31"/>
  <c r="T1861" i="31"/>
  <c r="T1862" i="31"/>
  <c r="T1863" i="31"/>
  <c r="T1864" i="31"/>
  <c r="T1865" i="31"/>
  <c r="T1866" i="31"/>
  <c r="T1867" i="31"/>
  <c r="T1868" i="31"/>
  <c r="T1869" i="31"/>
  <c r="T1870" i="31"/>
  <c r="T1871" i="31"/>
  <c r="T1872" i="31"/>
  <c r="T1873" i="31"/>
  <c r="T1874" i="31"/>
  <c r="T1875" i="31"/>
  <c r="T1876" i="31"/>
  <c r="T1877" i="31"/>
  <c r="T1878" i="31"/>
  <c r="T1879" i="31"/>
  <c r="T1880" i="31"/>
  <c r="T1881" i="31"/>
  <c r="T1882" i="31"/>
  <c r="T1883" i="31"/>
  <c r="T1884" i="31"/>
  <c r="T1885" i="31"/>
  <c r="T1886" i="31"/>
  <c r="T1887" i="31"/>
  <c r="T1888" i="31"/>
  <c r="T1889" i="31"/>
  <c r="T1890" i="31"/>
  <c r="T1891" i="31"/>
  <c r="T1892" i="31"/>
  <c r="T1893" i="31"/>
  <c r="T1894" i="31"/>
  <c r="T1895" i="31"/>
  <c r="T1896" i="31"/>
  <c r="T1897" i="31"/>
  <c r="T1898" i="31"/>
  <c r="T1899" i="31"/>
  <c r="T1900" i="31"/>
  <c r="T1901" i="31"/>
  <c r="T1902" i="31"/>
  <c r="T1903" i="31"/>
  <c r="T1904" i="31"/>
  <c r="T1905" i="31"/>
  <c r="T1906" i="31"/>
  <c r="T1907" i="31"/>
  <c r="T1908" i="31"/>
  <c r="T1909" i="31"/>
  <c r="T1910" i="31"/>
  <c r="T1911" i="31"/>
  <c r="T1912" i="31"/>
  <c r="T1913" i="31"/>
  <c r="T1914" i="31"/>
  <c r="T1915" i="31"/>
  <c r="T1916" i="31"/>
  <c r="T1917" i="31"/>
  <c r="T1918" i="31"/>
  <c r="T1919" i="31"/>
  <c r="T1920" i="31"/>
  <c r="T1921" i="31"/>
  <c r="T1922" i="31"/>
  <c r="T1923" i="31"/>
  <c r="T1924" i="31"/>
  <c r="T1925" i="31"/>
  <c r="T1926" i="31"/>
  <c r="T1927" i="31"/>
  <c r="T1928" i="31"/>
  <c r="T1929" i="31"/>
  <c r="T1930" i="31"/>
  <c r="T1931" i="31"/>
  <c r="T1932" i="31"/>
  <c r="T1933" i="31"/>
  <c r="T1934" i="31"/>
  <c r="T1935" i="31"/>
  <c r="T1936" i="31"/>
  <c r="T1937" i="31"/>
  <c r="T1938" i="31"/>
  <c r="T1939" i="31"/>
  <c r="T1940" i="31"/>
  <c r="T1941" i="31"/>
  <c r="T1942" i="31"/>
  <c r="T1943" i="31"/>
  <c r="T1944" i="31"/>
  <c r="T1945" i="31"/>
  <c r="T1946" i="31"/>
  <c r="T1947" i="31"/>
  <c r="T1948" i="31"/>
  <c r="T1949" i="31"/>
  <c r="T1950" i="31"/>
  <c r="T1951" i="31"/>
  <c r="T1952" i="31"/>
  <c r="T1953" i="31"/>
  <c r="T1954" i="31"/>
  <c r="T1955" i="31"/>
  <c r="T1956" i="31"/>
  <c r="T1957" i="31"/>
  <c r="T1958" i="31"/>
  <c r="T1959" i="31"/>
  <c r="T1960" i="31"/>
  <c r="T1961" i="31"/>
  <c r="T1962" i="31"/>
  <c r="T1963" i="31"/>
  <c r="T1964" i="31"/>
  <c r="T1965" i="31"/>
  <c r="T1966" i="31"/>
  <c r="T1967" i="31"/>
  <c r="T1968" i="31"/>
  <c r="T1969" i="31"/>
  <c r="T1970" i="31"/>
  <c r="T1971" i="31"/>
  <c r="T1972" i="31"/>
  <c r="T1973" i="31"/>
  <c r="T1974" i="31"/>
  <c r="T1975" i="31"/>
  <c r="T1976" i="31"/>
  <c r="T1977" i="31"/>
  <c r="T1978" i="31"/>
  <c r="T1979" i="31"/>
  <c r="T1980" i="31"/>
  <c r="T1981" i="31"/>
  <c r="T1982" i="31"/>
  <c r="T1983" i="31"/>
  <c r="T1984" i="31"/>
  <c r="T1985" i="31"/>
  <c r="T1986" i="31"/>
  <c r="T1987" i="31"/>
  <c r="T1988" i="31"/>
  <c r="T1989" i="31"/>
  <c r="T1990" i="31"/>
  <c r="T1991" i="31"/>
  <c r="T1992" i="31"/>
  <c r="T1993" i="31"/>
  <c r="T1994" i="31"/>
  <c r="T1995" i="31"/>
  <c r="T1996" i="31"/>
  <c r="T1997" i="31"/>
  <c r="T1998" i="31"/>
  <c r="T1999" i="31"/>
  <c r="T2000" i="31"/>
  <c r="T2001" i="31"/>
  <c r="T2002" i="31"/>
  <c r="T2003" i="31"/>
  <c r="T2004" i="31"/>
  <c r="T2005" i="31"/>
  <c r="T2006" i="31"/>
  <c r="T2007" i="31"/>
  <c r="T2008" i="31"/>
  <c r="T2009" i="31"/>
  <c r="T2010" i="31"/>
  <c r="T2011" i="31"/>
  <c r="T2012" i="31"/>
  <c r="T2013" i="31"/>
  <c r="T2014" i="31"/>
  <c r="T2015" i="31"/>
  <c r="T2016" i="31"/>
  <c r="T2017" i="31"/>
  <c r="T2018" i="31"/>
  <c r="T2019" i="31"/>
  <c r="T2020" i="31"/>
  <c r="T2021" i="31"/>
  <c r="T2022" i="31"/>
  <c r="T2023" i="31"/>
  <c r="T2024" i="31"/>
  <c r="T2025" i="31"/>
  <c r="T2026" i="31"/>
  <c r="T2027" i="31"/>
  <c r="T2028" i="31"/>
  <c r="T2029" i="31"/>
  <c r="T2030" i="31"/>
  <c r="T2031" i="31"/>
  <c r="T2032" i="31"/>
  <c r="T2033" i="31"/>
  <c r="T2034" i="31"/>
  <c r="T2035" i="31"/>
  <c r="T2036" i="31"/>
  <c r="T2037" i="31"/>
  <c r="T2038" i="31"/>
  <c r="T2039" i="31"/>
  <c r="T2040" i="31"/>
  <c r="T2041" i="31"/>
  <c r="T2042" i="31"/>
  <c r="T2043" i="31"/>
  <c r="T2044" i="31"/>
  <c r="T2045" i="31"/>
  <c r="T2046" i="31"/>
  <c r="T2047" i="31"/>
  <c r="T2048" i="31"/>
  <c r="T2049" i="31"/>
  <c r="T2050" i="31"/>
  <c r="T2051" i="31"/>
  <c r="T2052" i="31"/>
  <c r="T2053" i="31"/>
  <c r="T2054" i="31"/>
  <c r="T2055" i="31"/>
  <c r="T2056" i="31"/>
  <c r="T2057" i="31"/>
  <c r="T2058" i="31"/>
  <c r="T2059" i="31"/>
  <c r="T2060" i="31"/>
  <c r="T2061" i="31"/>
  <c r="T2062" i="31"/>
  <c r="T2063" i="31"/>
  <c r="T2064" i="31"/>
  <c r="T2065" i="31"/>
  <c r="T2066" i="31"/>
  <c r="T2067" i="31"/>
  <c r="T2068" i="31"/>
  <c r="T2069" i="31"/>
  <c r="T2070" i="31"/>
  <c r="T2071" i="31"/>
  <c r="T2072" i="31"/>
  <c r="T2073" i="31"/>
  <c r="T2074" i="31"/>
  <c r="T2075" i="31"/>
  <c r="T2076" i="31"/>
  <c r="T2077" i="31"/>
  <c r="T2078" i="31"/>
  <c r="T2079" i="31"/>
  <c r="T2080" i="31"/>
  <c r="T2081" i="31"/>
  <c r="T2082" i="31"/>
  <c r="T2083" i="31"/>
  <c r="T2084" i="31"/>
  <c r="T2085" i="31"/>
  <c r="T2086" i="31"/>
  <c r="T2087" i="31"/>
  <c r="T2088" i="31"/>
  <c r="T2089" i="31"/>
  <c r="T2090" i="31"/>
  <c r="T2091" i="31"/>
  <c r="T2092" i="31"/>
  <c r="T2093" i="31"/>
  <c r="T2094" i="31"/>
  <c r="T2095" i="31"/>
  <c r="T2096" i="31"/>
  <c r="T2097" i="31"/>
  <c r="T2098" i="31"/>
  <c r="T2099" i="31"/>
  <c r="T2100" i="31"/>
  <c r="T2101" i="31"/>
  <c r="T2102" i="31"/>
  <c r="T2103" i="31"/>
  <c r="T2104" i="31"/>
  <c r="T2105" i="31"/>
  <c r="T2106" i="31"/>
  <c r="T2107" i="31"/>
  <c r="T2108" i="31"/>
  <c r="T2109" i="31"/>
  <c r="T2110" i="31"/>
  <c r="T2111" i="31"/>
  <c r="T2112" i="31"/>
  <c r="T2113" i="31"/>
  <c r="T2114" i="31"/>
  <c r="T2115" i="31"/>
  <c r="T2116" i="31"/>
  <c r="T2117" i="31"/>
  <c r="T2118" i="31"/>
  <c r="T2119" i="31"/>
  <c r="T2120" i="31"/>
  <c r="T2121" i="31"/>
  <c r="T2122" i="31"/>
  <c r="T2123" i="31"/>
  <c r="T2124" i="31"/>
  <c r="T2125" i="31"/>
  <c r="T2126" i="31"/>
  <c r="T2127" i="31"/>
  <c r="T2128" i="31"/>
  <c r="T2129" i="31"/>
  <c r="T2130" i="31"/>
  <c r="T2131" i="31"/>
  <c r="T2132" i="31"/>
  <c r="T2133" i="31"/>
  <c r="T2134" i="31"/>
  <c r="T2135" i="31"/>
  <c r="T2136" i="31"/>
  <c r="T2137" i="31"/>
  <c r="T2138" i="31"/>
  <c r="T2139" i="31"/>
  <c r="T2140" i="31"/>
  <c r="T2141" i="31"/>
  <c r="T2142" i="31"/>
  <c r="T2143" i="31"/>
  <c r="T2144" i="31"/>
  <c r="T2145" i="31"/>
  <c r="T2146" i="31"/>
  <c r="T2147" i="31"/>
  <c r="T2148" i="31"/>
  <c r="T2149" i="31"/>
  <c r="T2150" i="31"/>
  <c r="T2151" i="31"/>
  <c r="T2152" i="31"/>
  <c r="T2153" i="31"/>
  <c r="T2154" i="31"/>
  <c r="T2155" i="31"/>
  <c r="T2156" i="31"/>
  <c r="T2157" i="31"/>
  <c r="T2158" i="31"/>
  <c r="T2159" i="31"/>
  <c r="T2160" i="31"/>
  <c r="T2161" i="31"/>
  <c r="T2162" i="31"/>
  <c r="T2163" i="31"/>
  <c r="T2164" i="31"/>
  <c r="T2165" i="31"/>
  <c r="T2166" i="31"/>
  <c r="T2167" i="31"/>
  <c r="T2168" i="31"/>
  <c r="T2169" i="31"/>
  <c r="T2170" i="31"/>
  <c r="T2171" i="31"/>
  <c r="T2172" i="31"/>
  <c r="T2173" i="31"/>
  <c r="T2174" i="31"/>
  <c r="T2175" i="31"/>
  <c r="T2176" i="31"/>
  <c r="T2177" i="31"/>
  <c r="T2178" i="31"/>
  <c r="T2179" i="31"/>
  <c r="T2180" i="31"/>
  <c r="T2181" i="31"/>
  <c r="T2182" i="31"/>
  <c r="T2183" i="31"/>
  <c r="T2184" i="31"/>
  <c r="T2185" i="31"/>
  <c r="T2186" i="31"/>
  <c r="T2187" i="31"/>
  <c r="T2188" i="31"/>
  <c r="T2189" i="31"/>
  <c r="T2190" i="31"/>
  <c r="T2191" i="31"/>
  <c r="T2192" i="31"/>
  <c r="T2193" i="31"/>
  <c r="T2194" i="31"/>
  <c r="T2195" i="31"/>
  <c r="T2196" i="31"/>
  <c r="T2197" i="31"/>
  <c r="T2198" i="31"/>
  <c r="T2199" i="31"/>
  <c r="T2200" i="31"/>
  <c r="T2201" i="31"/>
  <c r="T2202" i="31"/>
  <c r="T2203" i="31"/>
  <c r="T2204" i="31"/>
  <c r="T2205" i="31"/>
  <c r="T2206" i="31"/>
  <c r="T2207" i="31"/>
  <c r="T2208" i="31"/>
  <c r="T2209" i="31"/>
  <c r="T2210" i="31"/>
  <c r="T2211" i="31"/>
  <c r="T2212" i="31"/>
  <c r="T2213" i="31"/>
  <c r="T2214" i="31"/>
  <c r="T2215" i="31"/>
  <c r="T2216" i="31"/>
  <c r="T2217" i="31"/>
  <c r="T2218" i="31"/>
  <c r="T2219" i="31"/>
  <c r="T2220" i="31"/>
  <c r="T2221" i="31"/>
  <c r="T2222" i="31"/>
  <c r="T2223" i="31"/>
  <c r="T2224" i="31"/>
  <c r="T2225" i="31"/>
  <c r="T2226" i="31"/>
  <c r="T2227" i="31"/>
  <c r="T2228" i="31"/>
  <c r="T2229" i="31"/>
  <c r="T2230" i="31"/>
  <c r="T2231" i="31"/>
  <c r="T2232" i="31"/>
  <c r="T2233" i="31"/>
  <c r="T2234" i="31"/>
  <c r="T2235" i="31"/>
  <c r="T2236" i="31"/>
  <c r="T2237" i="31"/>
  <c r="T2238" i="31"/>
  <c r="T2239" i="31"/>
  <c r="T2240" i="31"/>
  <c r="T2241" i="31"/>
  <c r="T2242" i="31"/>
  <c r="T2243" i="31"/>
  <c r="T2244" i="31"/>
  <c r="T2245" i="31"/>
  <c r="T2246" i="31"/>
  <c r="T2247" i="31"/>
  <c r="T2248" i="31"/>
  <c r="T2249" i="31"/>
  <c r="T2250" i="31"/>
  <c r="T2251" i="31"/>
  <c r="T2252" i="31"/>
  <c r="T2253" i="31"/>
  <c r="T2254" i="31"/>
  <c r="T2255" i="31"/>
  <c r="T2256" i="31"/>
  <c r="T2257" i="31"/>
  <c r="T2258" i="31"/>
  <c r="T2259" i="31"/>
  <c r="T2260" i="31"/>
  <c r="T2261" i="31"/>
  <c r="T2262" i="31"/>
  <c r="T2263" i="31"/>
  <c r="T2264" i="31"/>
  <c r="T2265" i="31"/>
  <c r="T2266" i="31"/>
  <c r="T2267" i="31"/>
  <c r="T2268" i="31"/>
  <c r="T2269" i="31"/>
  <c r="T2270" i="31"/>
  <c r="T2271" i="31"/>
  <c r="T2272" i="31"/>
  <c r="T2273" i="31"/>
  <c r="T2274" i="31"/>
  <c r="T2275" i="31"/>
  <c r="T2276" i="31"/>
  <c r="T2277" i="31"/>
  <c r="T2278" i="31"/>
  <c r="T2279" i="31"/>
  <c r="T2280" i="31"/>
  <c r="T2281" i="31"/>
  <c r="T2282" i="31"/>
  <c r="T2283" i="31"/>
  <c r="T2284" i="31"/>
  <c r="T2285" i="31"/>
  <c r="T2286" i="31"/>
  <c r="T2287" i="31"/>
  <c r="T2288" i="31"/>
  <c r="T2289" i="31"/>
  <c r="T2290" i="31"/>
  <c r="T2291" i="31"/>
  <c r="T2292" i="31"/>
  <c r="T2293" i="31"/>
  <c r="T2294" i="31"/>
  <c r="T2295" i="31"/>
  <c r="T2296" i="31"/>
  <c r="T2297" i="31"/>
  <c r="T2298" i="31"/>
  <c r="T2299" i="31"/>
  <c r="T2300" i="31"/>
  <c r="T2301" i="31"/>
  <c r="T2302" i="31"/>
  <c r="T2303" i="31"/>
  <c r="T2304" i="31"/>
  <c r="T2305" i="31"/>
  <c r="T2306" i="31"/>
  <c r="T2307" i="31"/>
  <c r="T2308" i="31"/>
  <c r="T2309" i="31"/>
  <c r="T2310" i="31"/>
  <c r="T2311" i="31"/>
  <c r="T2312" i="31"/>
  <c r="T2313" i="31"/>
  <c r="T2314" i="31"/>
  <c r="T2315" i="31"/>
  <c r="T2316" i="31"/>
  <c r="T2317" i="31"/>
  <c r="T2318" i="31"/>
  <c r="T2319" i="31"/>
  <c r="T2320" i="31"/>
  <c r="T2321" i="31"/>
  <c r="T2322" i="31"/>
  <c r="T2323" i="31"/>
  <c r="T2324" i="31"/>
  <c r="T2325" i="31"/>
  <c r="T2326" i="31"/>
  <c r="T2327" i="31"/>
  <c r="T2328" i="31"/>
  <c r="T2329" i="31"/>
  <c r="T2330" i="31"/>
  <c r="T2331" i="31"/>
  <c r="T2332" i="31"/>
  <c r="T2333" i="31"/>
  <c r="T2334" i="31"/>
  <c r="T2335" i="31"/>
  <c r="T2336" i="31"/>
  <c r="T2337" i="31"/>
  <c r="T2338" i="31"/>
  <c r="T2339" i="31"/>
  <c r="T2340" i="31"/>
  <c r="T2341" i="31"/>
  <c r="T2342" i="31"/>
  <c r="T2343" i="31"/>
  <c r="T2344" i="31"/>
  <c r="T2345" i="31"/>
  <c r="T2346" i="31"/>
  <c r="T2347" i="31"/>
  <c r="T2348" i="31"/>
  <c r="T2349" i="31"/>
  <c r="T2350" i="31"/>
  <c r="T2351" i="31"/>
  <c r="T2352" i="31"/>
  <c r="T2353" i="31"/>
  <c r="T2354" i="31"/>
  <c r="T2355" i="31"/>
  <c r="T2356" i="31"/>
  <c r="T2357" i="31"/>
  <c r="T2358" i="31"/>
  <c r="T2359" i="31"/>
  <c r="T2360" i="31"/>
  <c r="T2361" i="31"/>
  <c r="T2362" i="31"/>
  <c r="T2363" i="31"/>
  <c r="T2364" i="31"/>
  <c r="T2365" i="31"/>
  <c r="T2366" i="31"/>
  <c r="T2367" i="31"/>
  <c r="T2368" i="31"/>
  <c r="T2369" i="31"/>
  <c r="T2370" i="31"/>
  <c r="T2371" i="31"/>
  <c r="T2372" i="31"/>
  <c r="T2373" i="31"/>
  <c r="T2374" i="31"/>
  <c r="T2375" i="31"/>
  <c r="T2376" i="31"/>
  <c r="T2377" i="31"/>
  <c r="T2378" i="31"/>
  <c r="T2379" i="31"/>
  <c r="T2380" i="31"/>
  <c r="T2381" i="31"/>
  <c r="T2382" i="31"/>
  <c r="T2383" i="31"/>
  <c r="T2384" i="31"/>
  <c r="T2385" i="31"/>
  <c r="T2386" i="31"/>
  <c r="T2387" i="31"/>
  <c r="T2388" i="31"/>
  <c r="T2389" i="31"/>
  <c r="T2390" i="31"/>
  <c r="T2391" i="31"/>
  <c r="T2392" i="31"/>
  <c r="T2393" i="31"/>
  <c r="T2394" i="31"/>
  <c r="T2395" i="31"/>
  <c r="T2396" i="31"/>
  <c r="T2397" i="31"/>
  <c r="T2398" i="31"/>
  <c r="T2399" i="31"/>
  <c r="T2400" i="31"/>
  <c r="T2401" i="31"/>
  <c r="T2402" i="31"/>
  <c r="T2403" i="31"/>
  <c r="T2404" i="31"/>
  <c r="T2405" i="31"/>
  <c r="T2406" i="31"/>
  <c r="T2407" i="31"/>
  <c r="T2408" i="31"/>
  <c r="T2409" i="31"/>
  <c r="T2410" i="31"/>
  <c r="T2411" i="31"/>
  <c r="T2412" i="31"/>
  <c r="T2413" i="31"/>
  <c r="T2414" i="31"/>
  <c r="T2415" i="31"/>
  <c r="T2416" i="31"/>
  <c r="T2417" i="31"/>
  <c r="T2418" i="31"/>
  <c r="T2419" i="31"/>
  <c r="T2420" i="31"/>
  <c r="T2421" i="31"/>
  <c r="T2422" i="31"/>
  <c r="T2423" i="31"/>
  <c r="T2424" i="31"/>
  <c r="T2425" i="31"/>
  <c r="T2426" i="31"/>
  <c r="T2427" i="31"/>
  <c r="T2428" i="31"/>
  <c r="T2429" i="31"/>
  <c r="T2430" i="31"/>
  <c r="T2431" i="31"/>
  <c r="T2432" i="31"/>
  <c r="T2433" i="31"/>
  <c r="T2434" i="31"/>
  <c r="T2435" i="31"/>
  <c r="T2436" i="31"/>
  <c r="T2437" i="31"/>
  <c r="T2438" i="31"/>
  <c r="T2439" i="31"/>
  <c r="T2440" i="31"/>
  <c r="T2441" i="31"/>
  <c r="T2442" i="31"/>
  <c r="T2443" i="31"/>
  <c r="T2444" i="31"/>
  <c r="T2445" i="31"/>
  <c r="T2446" i="31"/>
  <c r="T2447" i="31"/>
  <c r="T2448" i="31"/>
  <c r="T2449" i="31"/>
  <c r="T2450" i="31"/>
  <c r="T2451" i="31"/>
  <c r="T2452" i="31"/>
  <c r="T2453" i="31"/>
  <c r="T2454" i="31"/>
  <c r="T2455" i="31"/>
  <c r="T2456" i="31"/>
  <c r="T2457" i="31"/>
  <c r="T2458" i="31"/>
  <c r="T2459" i="31"/>
  <c r="T2460" i="31"/>
  <c r="T2461" i="31"/>
  <c r="T2462" i="31"/>
  <c r="T2463" i="31"/>
  <c r="T2464" i="31"/>
  <c r="T2465" i="31"/>
  <c r="T2466" i="31"/>
  <c r="T2467" i="31"/>
  <c r="T2468" i="31"/>
  <c r="T2469" i="31"/>
  <c r="T2470" i="31"/>
  <c r="T2471" i="31"/>
  <c r="T2472" i="31"/>
  <c r="T2473" i="31"/>
  <c r="T2474" i="31"/>
  <c r="T2475" i="31"/>
  <c r="T2476" i="31"/>
  <c r="T2477" i="31"/>
  <c r="T2478" i="31"/>
  <c r="T2479" i="31"/>
  <c r="T2480" i="31"/>
  <c r="T2481" i="31"/>
  <c r="T2482" i="31"/>
  <c r="T2483" i="31"/>
  <c r="T2484" i="31"/>
  <c r="T2485" i="31"/>
  <c r="T2486" i="31"/>
  <c r="T2487" i="31"/>
  <c r="T2488" i="31"/>
  <c r="T2489" i="31"/>
  <c r="T2490" i="31"/>
  <c r="T2491" i="31"/>
  <c r="T2492" i="31"/>
  <c r="T2493" i="31"/>
  <c r="T2494" i="31"/>
  <c r="T2495" i="31"/>
  <c r="T2496" i="31"/>
  <c r="T2497" i="31"/>
  <c r="T2498" i="31"/>
  <c r="T2499" i="31"/>
  <c r="T2500" i="31"/>
  <c r="T2501" i="31"/>
  <c r="T2502" i="31"/>
  <c r="T2503" i="31"/>
  <c r="T2504" i="31"/>
  <c r="T2505" i="31"/>
  <c r="T2506" i="31"/>
  <c r="T2507" i="31"/>
  <c r="T2508" i="31"/>
  <c r="T2509" i="31"/>
  <c r="T2510" i="31"/>
  <c r="T2511" i="31"/>
  <c r="T2512" i="31"/>
  <c r="T2513" i="31"/>
  <c r="T2514" i="31"/>
  <c r="T2515" i="31"/>
  <c r="T2516" i="31"/>
  <c r="T2517" i="31"/>
  <c r="T2518" i="31"/>
  <c r="T2519" i="31"/>
  <c r="T2520" i="31"/>
  <c r="T2521" i="31"/>
  <c r="T2522" i="31"/>
  <c r="T2523" i="31"/>
  <c r="T2524" i="31"/>
  <c r="T2525" i="31"/>
  <c r="T2526" i="31"/>
  <c r="T2527" i="31"/>
  <c r="T2528" i="31"/>
  <c r="T2529" i="31"/>
  <c r="T2530" i="31"/>
  <c r="T2531" i="31"/>
  <c r="T2532" i="31"/>
  <c r="T2533" i="31"/>
  <c r="T2534" i="31"/>
  <c r="T2535" i="31"/>
  <c r="T2536" i="31"/>
  <c r="T2537" i="31"/>
  <c r="T2538" i="31"/>
  <c r="T2539" i="31"/>
  <c r="T2540" i="31"/>
  <c r="T2541" i="31"/>
  <c r="T2542" i="31"/>
  <c r="T2543" i="31"/>
  <c r="T2544" i="31"/>
  <c r="T2545" i="31"/>
  <c r="T2546" i="31"/>
  <c r="T2547" i="31"/>
  <c r="T2548" i="31"/>
  <c r="T2549" i="31"/>
  <c r="T2550" i="31"/>
  <c r="T2551" i="31"/>
  <c r="T2552" i="31"/>
  <c r="T2553" i="31"/>
  <c r="T2554" i="31"/>
  <c r="T2555" i="31"/>
  <c r="T2556" i="31"/>
  <c r="T2557" i="31"/>
  <c r="T2558" i="31"/>
  <c r="T2559" i="31"/>
  <c r="T2560" i="31"/>
  <c r="T2561" i="31"/>
  <c r="T2562" i="31"/>
  <c r="T2563" i="31"/>
  <c r="T2564" i="31"/>
  <c r="T2565" i="31"/>
  <c r="T2566" i="31"/>
  <c r="T2567" i="31"/>
  <c r="T2568" i="31"/>
  <c r="T2569" i="31"/>
  <c r="T2570" i="31"/>
  <c r="T2571" i="31"/>
  <c r="T2572" i="31"/>
  <c r="T2573" i="31"/>
  <c r="T2574" i="31"/>
  <c r="T2575" i="31"/>
  <c r="T2576" i="31"/>
  <c r="T2577" i="31"/>
  <c r="T2578" i="31"/>
  <c r="T2579" i="31"/>
  <c r="T2580" i="31"/>
  <c r="T2581" i="31"/>
  <c r="T2582" i="31"/>
  <c r="T2583" i="31"/>
  <c r="T2584" i="31"/>
  <c r="T2585" i="31"/>
  <c r="T2586" i="31"/>
  <c r="T2587" i="31"/>
  <c r="T2588" i="31"/>
  <c r="T2589" i="31"/>
  <c r="T2590" i="31"/>
  <c r="T2591" i="31"/>
  <c r="T2592" i="31"/>
  <c r="T2593" i="31"/>
  <c r="T2594" i="31"/>
  <c r="T2595" i="31"/>
  <c r="T2596" i="31"/>
  <c r="T2597" i="31"/>
  <c r="T2598" i="31"/>
  <c r="T2599" i="31"/>
  <c r="T2600" i="31"/>
  <c r="T2601" i="31"/>
  <c r="T2602" i="31"/>
  <c r="T2603" i="31"/>
  <c r="T2604" i="31"/>
  <c r="T2605" i="31"/>
  <c r="T2606" i="31"/>
  <c r="T2607" i="31"/>
  <c r="T2608" i="31"/>
  <c r="T2609" i="31"/>
  <c r="T2610" i="31"/>
  <c r="T2611" i="31"/>
  <c r="T2612" i="31"/>
  <c r="T2613" i="31"/>
  <c r="T2614" i="31"/>
  <c r="T2615" i="31"/>
  <c r="T2616" i="31"/>
  <c r="T2617" i="31"/>
  <c r="T2618" i="31"/>
  <c r="T2619" i="31"/>
  <c r="T2620" i="31"/>
  <c r="T2621" i="31"/>
  <c r="T2622" i="31"/>
  <c r="T2623" i="31"/>
  <c r="T2624" i="31"/>
  <c r="T2625" i="31"/>
  <c r="T2626" i="31"/>
  <c r="T2627" i="31"/>
  <c r="T2628" i="31"/>
  <c r="T2629" i="31"/>
  <c r="T2630" i="31"/>
  <c r="T2631" i="31"/>
  <c r="T2632" i="31"/>
  <c r="T2633" i="31"/>
  <c r="T2634" i="31"/>
  <c r="T2635" i="31"/>
  <c r="T2636" i="31"/>
  <c r="T2637" i="31"/>
  <c r="T2638" i="31"/>
  <c r="T2639" i="31"/>
  <c r="T2640" i="31"/>
  <c r="T2641" i="31"/>
  <c r="T2642" i="31"/>
  <c r="T2643" i="31"/>
  <c r="T2644" i="31"/>
  <c r="T2645" i="31"/>
  <c r="T2646" i="31"/>
  <c r="T2647" i="31"/>
  <c r="T2648" i="31"/>
  <c r="T2649" i="31"/>
  <c r="T2650" i="31"/>
  <c r="T2651" i="31"/>
  <c r="T2652" i="31"/>
  <c r="T2653" i="31"/>
  <c r="T2654" i="31"/>
  <c r="T2655" i="31"/>
  <c r="T2656" i="31"/>
  <c r="T2657" i="31"/>
  <c r="T2658" i="31"/>
  <c r="T2659" i="31"/>
  <c r="T2660" i="31"/>
  <c r="T2661" i="31"/>
  <c r="T2662" i="31"/>
  <c r="T2663" i="31"/>
  <c r="T2664" i="31"/>
  <c r="T2665" i="31"/>
  <c r="T2666" i="31"/>
  <c r="T2667" i="31"/>
  <c r="T2668" i="31"/>
  <c r="T2669" i="31"/>
  <c r="T2670" i="31"/>
  <c r="T2671" i="31"/>
  <c r="T2672" i="31"/>
  <c r="T2673" i="31"/>
  <c r="T2674" i="31"/>
  <c r="T2675" i="31"/>
  <c r="T2676" i="31"/>
  <c r="T2677" i="31"/>
  <c r="T2678" i="31"/>
  <c r="T2679" i="31"/>
  <c r="T2680" i="31"/>
  <c r="T2681" i="31"/>
  <c r="T2682" i="31"/>
  <c r="T2683" i="31"/>
  <c r="T2684" i="31"/>
  <c r="T2685" i="31"/>
  <c r="T2686" i="31"/>
  <c r="T2687" i="31"/>
  <c r="T2688" i="31"/>
  <c r="T2689" i="31"/>
  <c r="T2690" i="31"/>
  <c r="T2691" i="31"/>
  <c r="T2692" i="31"/>
  <c r="T2693" i="31"/>
  <c r="T2694" i="31"/>
  <c r="T2695" i="31"/>
  <c r="T2696" i="31"/>
  <c r="T2697" i="31"/>
  <c r="T2698" i="31"/>
  <c r="T2699" i="31"/>
  <c r="T2700" i="31"/>
  <c r="T2701" i="31"/>
  <c r="T2702" i="31"/>
  <c r="T2703" i="31"/>
  <c r="T2704" i="31"/>
  <c r="T2705" i="31"/>
  <c r="T2706" i="31"/>
  <c r="T2707" i="31"/>
  <c r="T2708" i="31"/>
  <c r="T2709" i="31"/>
  <c r="T2710" i="31"/>
  <c r="T2711" i="31"/>
  <c r="T2712" i="31"/>
  <c r="T2713" i="31"/>
  <c r="T2714" i="31"/>
  <c r="T2715" i="31"/>
  <c r="T2716" i="31"/>
  <c r="T2717" i="31"/>
  <c r="T2718" i="31"/>
  <c r="T2719" i="31"/>
  <c r="T2720" i="31"/>
  <c r="T2721" i="31"/>
  <c r="T2722" i="31"/>
  <c r="T2723" i="31"/>
  <c r="T2724" i="31"/>
  <c r="T2725" i="31"/>
  <c r="T2726" i="31"/>
  <c r="T2727" i="31"/>
  <c r="T2728" i="31"/>
  <c r="T2729" i="31"/>
  <c r="T2730" i="31"/>
  <c r="T2731" i="31"/>
  <c r="T2732" i="31"/>
  <c r="T2733" i="31"/>
  <c r="T2734" i="31"/>
  <c r="T2735" i="31"/>
  <c r="T2736" i="31"/>
  <c r="T2737" i="31"/>
  <c r="T2738" i="31"/>
  <c r="T2739" i="31"/>
  <c r="T2740" i="31"/>
  <c r="T2741" i="31"/>
  <c r="T2742" i="31"/>
  <c r="T2743" i="31"/>
  <c r="T2744" i="31"/>
  <c r="T2745" i="31"/>
  <c r="T2746" i="31"/>
  <c r="T2747" i="31"/>
  <c r="T2748" i="31"/>
  <c r="T2749" i="31"/>
  <c r="T2750" i="31"/>
  <c r="T2751" i="31"/>
  <c r="T2752" i="31"/>
  <c r="T2753" i="31"/>
  <c r="T2754" i="31"/>
  <c r="T2755" i="31"/>
  <c r="T2756" i="31"/>
  <c r="T2757" i="31"/>
  <c r="T2758" i="31"/>
  <c r="T2759" i="31"/>
  <c r="T2760" i="31"/>
  <c r="T2761" i="31"/>
  <c r="T2762" i="31"/>
  <c r="T2763" i="31"/>
  <c r="T2764" i="31"/>
  <c r="T2765" i="31"/>
  <c r="T2766" i="31"/>
  <c r="T2767" i="31"/>
  <c r="T2768" i="31"/>
  <c r="T2769" i="31"/>
  <c r="T2770" i="31"/>
  <c r="T2771" i="31"/>
  <c r="T2772" i="31"/>
  <c r="T2773" i="31"/>
  <c r="T2774" i="31"/>
  <c r="T2775" i="31"/>
  <c r="T2776" i="31"/>
  <c r="T2777" i="31"/>
  <c r="T2778" i="31"/>
  <c r="T2779" i="31"/>
  <c r="T2780" i="31"/>
  <c r="T2781" i="31"/>
  <c r="T2782" i="31"/>
  <c r="T2783" i="31"/>
  <c r="T2784" i="31"/>
  <c r="T2785" i="31"/>
  <c r="T2786" i="31"/>
  <c r="T2787" i="31"/>
  <c r="T2788" i="31"/>
  <c r="T2789" i="31"/>
  <c r="T2790" i="31"/>
  <c r="T2791" i="31"/>
  <c r="T2792" i="31"/>
  <c r="T2793" i="31"/>
  <c r="T2794" i="31"/>
  <c r="T2795" i="31"/>
  <c r="T2796" i="31"/>
  <c r="T2797" i="31"/>
  <c r="T2798" i="31"/>
  <c r="T2799" i="31"/>
  <c r="T2800" i="31"/>
  <c r="T2801" i="31"/>
  <c r="T2802" i="31"/>
  <c r="T2803" i="31"/>
  <c r="T2804" i="31"/>
  <c r="T2805" i="31"/>
  <c r="T2806" i="31"/>
  <c r="T2807" i="31"/>
  <c r="T2808" i="31"/>
  <c r="T2809" i="31"/>
  <c r="T2810" i="31"/>
  <c r="T2811" i="31"/>
  <c r="T2812" i="31"/>
  <c r="T2813" i="31"/>
  <c r="T2814" i="31"/>
  <c r="T2815" i="31"/>
  <c r="T2816" i="31"/>
  <c r="T2817" i="31"/>
  <c r="T2818" i="31"/>
  <c r="T2819" i="31"/>
  <c r="T2820" i="31"/>
  <c r="T2821" i="31"/>
  <c r="T2822" i="31"/>
  <c r="T2823" i="31"/>
  <c r="T2824" i="31"/>
  <c r="T2825" i="31"/>
  <c r="T2826" i="31"/>
  <c r="T2827" i="31"/>
  <c r="T2828" i="31"/>
  <c r="T2829" i="31"/>
  <c r="T2830" i="31"/>
  <c r="T2831" i="31"/>
  <c r="T2832" i="31"/>
  <c r="T2833" i="31"/>
  <c r="T2834" i="31"/>
  <c r="T2835" i="31"/>
  <c r="T2836" i="31"/>
  <c r="T2837" i="31"/>
  <c r="T2838" i="31"/>
  <c r="T2839" i="31"/>
  <c r="T2840" i="31"/>
  <c r="T2841" i="31"/>
  <c r="T2842" i="31"/>
  <c r="T2843" i="31"/>
  <c r="T2844" i="31"/>
  <c r="T2845" i="31"/>
  <c r="T2846" i="31"/>
  <c r="T2847" i="31"/>
  <c r="T2848" i="31"/>
  <c r="T2849" i="31"/>
  <c r="T2850" i="31"/>
  <c r="T2851" i="31"/>
  <c r="T2852" i="31"/>
  <c r="T2853" i="31"/>
  <c r="T2854" i="31"/>
  <c r="T2855" i="31"/>
  <c r="T2856" i="31"/>
  <c r="T2857" i="31"/>
  <c r="T2858" i="31"/>
  <c r="T2859" i="31"/>
  <c r="T2860" i="31"/>
  <c r="T2861" i="31"/>
  <c r="T2862" i="31"/>
  <c r="T2863" i="31"/>
  <c r="T2864" i="31"/>
  <c r="T2865" i="31"/>
  <c r="T2866" i="31"/>
  <c r="T2867" i="31"/>
  <c r="T2868" i="31"/>
  <c r="T2869" i="31"/>
  <c r="T2870" i="31"/>
  <c r="T2871" i="31"/>
  <c r="T2872" i="31"/>
  <c r="T2873" i="31"/>
  <c r="T2874" i="31"/>
  <c r="T2875" i="31"/>
  <c r="T2876" i="31"/>
  <c r="T2877" i="31"/>
  <c r="T2878" i="31"/>
  <c r="T2879" i="31"/>
  <c r="T2880" i="31"/>
  <c r="T2881" i="31"/>
  <c r="T2882" i="31"/>
  <c r="T2883" i="31"/>
  <c r="T2884" i="31"/>
  <c r="T2885" i="31"/>
  <c r="T2886" i="31"/>
  <c r="T2887" i="31"/>
  <c r="T2888" i="31"/>
  <c r="T2889" i="31"/>
  <c r="T2890" i="31"/>
  <c r="T2891" i="31"/>
  <c r="T2892" i="31"/>
  <c r="T2893" i="31"/>
  <c r="T2894" i="31"/>
  <c r="T2895" i="31"/>
  <c r="T2896" i="31"/>
  <c r="T2897" i="31"/>
  <c r="T2898" i="31"/>
  <c r="T2899" i="31"/>
  <c r="T2900" i="31"/>
  <c r="T2901" i="31"/>
  <c r="T2902" i="31"/>
  <c r="T2903" i="31"/>
  <c r="T2904" i="31"/>
  <c r="T2905" i="31"/>
  <c r="T2906" i="31"/>
  <c r="T2907" i="31"/>
  <c r="T2908" i="31"/>
  <c r="T2909" i="31"/>
  <c r="T2910" i="31"/>
  <c r="T2911" i="31"/>
  <c r="T2912" i="31"/>
  <c r="T2913" i="31"/>
  <c r="T2914" i="31"/>
  <c r="T2915" i="31"/>
  <c r="T2916" i="31"/>
  <c r="T2917" i="31"/>
  <c r="T2918" i="31"/>
  <c r="T2919" i="31"/>
  <c r="T2920" i="31"/>
  <c r="T2921" i="31"/>
  <c r="T2922" i="31"/>
  <c r="T2923" i="31"/>
  <c r="T2924" i="31"/>
  <c r="T2925" i="31"/>
  <c r="T2926" i="31"/>
  <c r="T2927" i="31"/>
  <c r="T2928" i="31"/>
  <c r="T2929" i="31"/>
  <c r="T2930" i="31"/>
  <c r="T2931" i="31"/>
  <c r="T2932" i="31"/>
  <c r="T2933" i="31"/>
  <c r="T2934" i="31"/>
  <c r="T2935" i="31"/>
  <c r="T2936" i="31"/>
  <c r="T2937" i="31"/>
  <c r="T2938" i="31"/>
  <c r="T2939" i="31"/>
  <c r="T2940" i="31"/>
  <c r="T2941" i="31"/>
  <c r="T2942" i="31"/>
  <c r="T2943" i="31"/>
  <c r="T2944" i="31"/>
  <c r="T2945" i="31"/>
  <c r="T2946" i="31"/>
  <c r="T2947" i="31"/>
  <c r="T2948" i="31"/>
  <c r="T2949" i="31"/>
  <c r="T2950" i="31"/>
  <c r="T2951" i="31"/>
  <c r="T2952" i="31"/>
  <c r="T2953" i="31"/>
  <c r="T2954" i="31"/>
  <c r="T2955" i="31"/>
  <c r="T2956" i="31"/>
  <c r="T2957" i="31"/>
  <c r="T2958" i="31"/>
  <c r="T2959" i="31"/>
  <c r="T2960" i="31"/>
  <c r="T2961" i="31"/>
  <c r="T2962" i="31"/>
  <c r="T2963" i="31"/>
  <c r="T2964" i="31"/>
  <c r="T2965" i="31"/>
  <c r="T2966" i="31"/>
  <c r="T2967" i="31"/>
  <c r="T2968" i="31"/>
  <c r="T2969" i="31"/>
  <c r="T2970" i="31"/>
  <c r="T2971" i="31"/>
  <c r="T2972" i="31"/>
  <c r="T2973" i="31"/>
  <c r="T2974" i="31"/>
  <c r="T2975" i="31"/>
  <c r="T2976" i="31"/>
  <c r="T2977" i="31"/>
  <c r="T2978" i="31"/>
  <c r="T2979" i="31"/>
  <c r="T2980" i="31"/>
  <c r="T2981" i="31"/>
  <c r="T2982" i="31"/>
  <c r="T2983" i="31"/>
  <c r="T2984" i="31"/>
  <c r="T2985" i="31"/>
  <c r="T2986" i="31"/>
  <c r="T2987" i="31"/>
  <c r="T2988" i="31"/>
  <c r="T2989" i="31"/>
  <c r="T2990" i="31"/>
  <c r="T2991" i="31"/>
  <c r="T2992" i="31"/>
  <c r="T2993" i="31"/>
  <c r="T2994" i="31"/>
  <c r="T2995" i="31"/>
  <c r="T2996" i="31"/>
  <c r="T2997" i="31"/>
  <c r="T2998" i="31"/>
  <c r="T2999" i="31"/>
  <c r="T3000" i="31"/>
  <c r="T3001" i="31"/>
  <c r="T3002" i="31"/>
  <c r="T3003" i="31"/>
  <c r="T3004" i="31"/>
  <c r="T3005" i="31"/>
  <c r="T3006" i="31"/>
  <c r="T3007" i="31"/>
  <c r="T3008" i="31"/>
  <c r="T3009" i="31"/>
  <c r="T3010" i="31"/>
  <c r="T3011" i="31"/>
  <c r="T3012" i="31"/>
  <c r="T3013" i="31"/>
  <c r="T3014" i="31"/>
  <c r="T3015" i="31"/>
  <c r="T3016" i="31"/>
  <c r="T3017" i="31"/>
  <c r="T3018" i="31"/>
  <c r="T3019" i="31"/>
  <c r="T3020" i="31"/>
  <c r="T3021" i="31"/>
  <c r="T3022" i="31"/>
  <c r="T3023" i="31"/>
  <c r="T3024" i="31"/>
  <c r="T3025" i="31"/>
  <c r="T3026" i="31"/>
  <c r="T3027" i="31"/>
  <c r="T3028" i="31"/>
  <c r="T3029" i="31"/>
  <c r="T3030" i="31"/>
  <c r="T3031" i="31"/>
  <c r="T3032" i="31"/>
  <c r="T3033" i="31"/>
  <c r="T3034" i="31"/>
  <c r="T3035" i="31"/>
  <c r="T3036" i="31"/>
  <c r="T3037" i="31"/>
  <c r="T3038" i="31"/>
  <c r="T3039" i="31"/>
  <c r="T3040" i="31"/>
  <c r="T3041" i="31"/>
  <c r="T3042" i="31"/>
  <c r="T3043" i="31"/>
  <c r="T3044" i="31"/>
  <c r="T3045" i="31"/>
  <c r="T3046" i="31"/>
  <c r="T3047" i="31"/>
  <c r="T3048" i="31"/>
  <c r="T3049" i="31"/>
  <c r="T3050" i="31"/>
  <c r="T3051" i="31"/>
  <c r="T3052" i="31"/>
  <c r="T3053" i="31"/>
  <c r="T3054" i="31"/>
  <c r="T3055" i="31"/>
  <c r="T3056" i="31"/>
  <c r="T3057" i="31"/>
  <c r="T3058" i="31"/>
  <c r="T3059" i="31"/>
  <c r="T3060" i="31"/>
  <c r="T3061" i="31"/>
  <c r="T3062" i="31"/>
  <c r="T3063" i="31"/>
  <c r="T3064" i="31"/>
  <c r="T3065" i="31"/>
  <c r="T3066" i="31"/>
  <c r="T3067" i="31"/>
  <c r="T3068" i="31"/>
  <c r="T3069" i="31"/>
  <c r="T3070" i="31"/>
  <c r="T3071" i="31"/>
  <c r="T3072" i="31"/>
  <c r="T3073" i="31"/>
  <c r="T3074" i="31"/>
  <c r="T3075" i="31"/>
  <c r="T3076" i="31"/>
  <c r="T3077" i="31"/>
  <c r="T3078" i="31"/>
  <c r="T3079" i="31"/>
  <c r="T3080" i="31"/>
  <c r="T3081" i="31"/>
  <c r="T3082" i="31"/>
  <c r="T3083" i="31"/>
  <c r="T3084" i="31"/>
  <c r="T3085" i="31"/>
  <c r="T3086" i="31"/>
  <c r="T3087" i="31"/>
  <c r="T3088" i="31"/>
  <c r="T3089" i="31"/>
  <c r="T3090" i="31"/>
  <c r="T3091" i="31"/>
  <c r="T3092" i="31"/>
  <c r="T3093" i="31"/>
  <c r="T3094" i="31"/>
  <c r="T3095" i="31"/>
  <c r="T3096" i="31"/>
  <c r="T3097" i="31"/>
  <c r="T3098" i="31"/>
  <c r="T3099" i="31"/>
  <c r="T3100" i="31"/>
  <c r="T3101" i="31"/>
  <c r="T3102" i="31"/>
  <c r="T3103" i="31"/>
  <c r="T3104" i="31"/>
  <c r="T3105" i="31"/>
  <c r="T3106" i="31"/>
  <c r="T3107" i="31"/>
  <c r="T3108" i="31"/>
  <c r="T3109" i="31"/>
  <c r="T3110" i="31"/>
  <c r="T3111" i="31"/>
  <c r="T3112" i="31"/>
  <c r="T3113" i="31"/>
  <c r="T3114" i="31"/>
  <c r="T3115" i="31"/>
  <c r="T3116" i="31"/>
  <c r="T3117" i="31"/>
  <c r="T3118" i="31"/>
  <c r="T3119" i="31"/>
  <c r="T3120" i="31"/>
  <c r="T3121" i="31"/>
  <c r="T3122" i="31"/>
  <c r="T3123" i="31"/>
  <c r="T3124" i="31"/>
  <c r="T3125" i="31"/>
  <c r="T3126" i="31"/>
  <c r="T3127" i="31"/>
  <c r="T3128" i="31"/>
  <c r="T3129" i="31"/>
  <c r="T3130" i="31"/>
  <c r="T3131" i="31"/>
  <c r="T3132" i="31"/>
  <c r="T3133" i="31"/>
  <c r="T3134" i="31"/>
  <c r="T3135" i="31"/>
  <c r="T3136" i="31"/>
  <c r="T3137" i="31"/>
  <c r="T3138" i="31"/>
  <c r="T3139" i="31"/>
  <c r="T3140" i="31"/>
  <c r="T3141" i="31"/>
  <c r="T3142" i="31"/>
  <c r="T3143" i="31"/>
  <c r="T3144" i="31"/>
  <c r="T3145" i="31"/>
  <c r="T3146" i="31"/>
  <c r="T3147" i="31"/>
  <c r="T3148" i="31"/>
  <c r="T3149" i="31"/>
  <c r="T3150" i="31"/>
  <c r="T3151" i="31"/>
  <c r="T3152" i="31"/>
  <c r="T3153" i="31"/>
  <c r="T3154" i="31"/>
  <c r="T3155" i="31"/>
  <c r="T3156" i="31"/>
  <c r="T3274" i="31"/>
  <c r="T3275" i="31"/>
  <c r="T3276" i="31"/>
  <c r="T3277" i="31"/>
  <c r="T3278" i="31"/>
  <c r="T3279" i="31"/>
  <c r="T3280" i="31"/>
  <c r="T3281" i="31"/>
  <c r="T3282" i="31"/>
  <c r="T3283" i="31"/>
  <c r="T3284" i="31"/>
  <c r="T3285" i="31"/>
  <c r="T3286" i="31"/>
  <c r="T3287" i="31"/>
  <c r="T3288" i="31"/>
  <c r="T3289" i="31"/>
  <c r="T3290" i="31"/>
  <c r="T3291" i="31"/>
  <c r="T3292" i="31"/>
  <c r="T3293" i="31"/>
  <c r="T2" i="31"/>
  <c r="Q3156" i="31"/>
  <c r="R3156" i="31"/>
  <c r="S3156" i="31"/>
  <c r="Q3142" i="31"/>
  <c r="R3142" i="31"/>
  <c r="S3142" i="31"/>
  <c r="S3140" i="31"/>
  <c r="Q3135" i="31"/>
  <c r="R3135" i="31"/>
  <c r="S3135" i="31"/>
  <c r="Q3127" i="31" l="1"/>
  <c r="R3127" i="31"/>
  <c r="S3127" i="31"/>
  <c r="S3126" i="31"/>
  <c r="Q3118" i="31"/>
  <c r="R3118" i="31"/>
  <c r="S3118" i="31"/>
  <c r="S3119" i="31"/>
  <c r="S3120" i="31"/>
  <c r="R3112" i="31" l="1"/>
  <c r="S3112" i="31"/>
  <c r="R3111" i="31"/>
  <c r="S3111" i="31"/>
  <c r="Q3103" i="31"/>
  <c r="R3103" i="31"/>
  <c r="S3103" i="31"/>
  <c r="Q3098" i="31"/>
  <c r="R3098" i="31"/>
  <c r="S3098" i="31"/>
  <c r="Q3088" i="31"/>
  <c r="R3088" i="31"/>
  <c r="S3088" i="31"/>
  <c r="Q3085" i="31"/>
  <c r="R3085" i="31"/>
  <c r="S3085" i="31"/>
  <c r="S3003" i="31"/>
  <c r="S3007" i="31"/>
  <c r="S3008" i="31"/>
  <c r="S3009" i="31"/>
  <c r="S3010" i="31"/>
  <c r="S3011" i="31"/>
  <c r="S3018" i="31"/>
  <c r="S3019" i="31"/>
  <c r="S3020" i="31"/>
  <c r="S3021" i="31"/>
  <c r="S3022" i="31"/>
  <c r="S3023" i="31"/>
  <c r="S3024" i="31"/>
  <c r="S3025" i="31"/>
  <c r="S3026" i="31"/>
  <c r="S3027" i="31"/>
  <c r="S3028" i="31"/>
  <c r="S3029" i="31"/>
  <c r="S3031" i="31"/>
  <c r="S3032" i="31"/>
  <c r="S3033" i="31"/>
  <c r="S3034" i="31"/>
  <c r="S3037" i="31"/>
  <c r="S3040" i="31"/>
  <c r="S3041" i="31"/>
  <c r="S3042" i="31"/>
  <c r="S3043" i="31"/>
  <c r="S3044" i="31"/>
  <c r="S3046" i="31"/>
  <c r="S3047" i="31"/>
  <c r="S3048" i="31"/>
  <c r="S3049" i="31"/>
  <c r="S3050" i="31"/>
  <c r="S3051" i="31"/>
  <c r="S3054" i="31"/>
  <c r="S3055" i="31"/>
  <c r="S3056" i="31"/>
  <c r="S3059" i="31"/>
  <c r="S3060" i="31"/>
  <c r="S3064" i="31"/>
  <c r="S3065" i="31"/>
  <c r="S3066" i="31"/>
  <c r="S3067" i="31"/>
  <c r="S3069" i="31"/>
  <c r="S3070" i="31"/>
  <c r="S3072" i="31"/>
  <c r="S3073" i="31"/>
  <c r="S3074" i="31"/>
  <c r="S3075" i="31"/>
  <c r="S3077" i="31"/>
  <c r="S3082" i="31"/>
  <c r="S3083" i="31"/>
  <c r="S2998" i="31"/>
  <c r="S3000" i="31"/>
  <c r="S3001" i="31"/>
  <c r="S2989" i="31"/>
  <c r="S2990" i="31"/>
  <c r="S2991" i="31"/>
  <c r="S2992" i="31"/>
  <c r="S2993" i="31"/>
  <c r="S2995" i="31"/>
  <c r="S2996" i="31"/>
  <c r="S2966" i="31"/>
  <c r="S2967" i="31"/>
  <c r="S2970" i="31"/>
  <c r="S2971" i="31"/>
  <c r="S2972" i="31"/>
  <c r="S2973" i="31"/>
  <c r="S2974" i="31"/>
  <c r="S2975" i="31"/>
  <c r="S2979" i="31"/>
  <c r="S2980" i="31"/>
  <c r="S2981" i="31"/>
  <c r="S2982" i="31"/>
  <c r="S2983" i="31"/>
  <c r="S2984" i="31"/>
  <c r="S2985" i="31"/>
  <c r="S2986" i="31"/>
  <c r="S2987" i="31"/>
  <c r="S2961" i="31"/>
  <c r="S2962" i="31"/>
  <c r="S2963" i="31"/>
  <c r="S2964" i="31"/>
  <c r="S2958" i="31"/>
  <c r="S2959" i="31"/>
  <c r="S2931" i="31"/>
  <c r="S2932" i="31"/>
  <c r="S2933" i="31"/>
  <c r="S2934" i="31"/>
  <c r="S2935" i="31"/>
  <c r="S2937" i="31"/>
  <c r="S2938" i="31"/>
  <c r="S2939" i="31"/>
  <c r="S2940" i="31"/>
  <c r="S2941" i="31"/>
  <c r="S2942" i="31"/>
  <c r="S2944" i="31"/>
  <c r="S2946" i="31"/>
  <c r="S2947" i="31"/>
  <c r="S2950" i="31"/>
  <c r="S2954" i="31"/>
  <c r="S2955" i="31"/>
  <c r="S2956" i="31"/>
  <c r="S2926" i="31"/>
  <c r="S2927" i="31"/>
  <c r="S2928" i="31"/>
  <c r="S2929" i="31"/>
  <c r="S2904" i="31"/>
  <c r="S2905" i="31"/>
  <c r="S2906" i="31"/>
  <c r="S2907" i="31"/>
  <c r="S2908" i="31"/>
  <c r="S2909" i="31"/>
  <c r="S2910" i="31"/>
  <c r="S2911" i="31"/>
  <c r="S2912" i="31"/>
  <c r="S2913" i="31"/>
  <c r="S2914" i="31"/>
  <c r="S2915" i="31"/>
  <c r="S2916" i="31"/>
  <c r="S2917" i="31"/>
  <c r="S2918" i="31"/>
  <c r="S2919" i="31"/>
  <c r="S2920" i="31"/>
  <c r="S2923" i="31"/>
  <c r="S2895" i="31"/>
  <c r="S2896" i="31"/>
  <c r="S2897" i="31"/>
  <c r="S2898" i="31"/>
  <c r="S2899" i="31"/>
  <c r="S2900" i="31"/>
  <c r="S2901" i="31"/>
  <c r="S2902" i="31"/>
  <c r="S2767" i="31"/>
  <c r="S2768" i="31"/>
  <c r="S2769" i="31"/>
  <c r="S2770" i="31"/>
  <c r="S2771" i="31"/>
  <c r="S2774" i="31"/>
  <c r="S2777" i="31"/>
  <c r="S2778" i="31"/>
  <c r="S2779" i="31"/>
  <c r="S2780" i="31"/>
  <c r="S2781" i="31"/>
  <c r="S2782" i="31"/>
  <c r="S2783" i="31"/>
  <c r="S2784" i="31"/>
  <c r="S2785" i="31"/>
  <c r="S2786" i="31"/>
  <c r="S2787" i="31"/>
  <c r="S2788" i="31"/>
  <c r="S2789" i="31"/>
  <c r="S2790" i="31"/>
  <c r="S2791" i="31"/>
  <c r="S2792" i="31"/>
  <c r="S2793" i="31"/>
  <c r="S2794" i="31"/>
  <c r="S2795" i="31"/>
  <c r="S2796" i="31"/>
  <c r="S2800" i="31"/>
  <c r="S2801" i="31"/>
  <c r="S2802" i="31"/>
  <c r="S2803" i="31"/>
  <c r="S2804" i="31"/>
  <c r="S2806" i="31"/>
  <c r="S2809" i="31"/>
  <c r="S2810" i="31"/>
  <c r="S2811" i="31"/>
  <c r="S2814" i="31"/>
  <c r="S2837" i="31"/>
  <c r="S2838" i="31"/>
  <c r="S2839" i="31"/>
  <c r="S2840" i="31"/>
  <c r="S2841" i="31"/>
  <c r="S2842" i="31"/>
  <c r="S2843" i="31"/>
  <c r="S2844" i="31"/>
  <c r="S2845" i="31"/>
  <c r="S2846" i="31"/>
  <c r="S2847" i="31"/>
  <c r="S2848" i="31"/>
  <c r="S2849" i="31"/>
  <c r="S2850" i="31"/>
  <c r="S2851" i="31"/>
  <c r="S2852" i="31"/>
  <c r="S2853" i="31"/>
  <c r="S2854" i="31"/>
  <c r="S2855" i="31"/>
  <c r="S2856" i="31"/>
  <c r="S2857" i="31"/>
  <c r="S2858" i="31"/>
  <c r="S2859" i="31"/>
  <c r="S2860" i="31"/>
  <c r="S2861" i="31"/>
  <c r="S2862" i="31"/>
  <c r="S2863" i="31"/>
  <c r="S2864" i="31"/>
  <c r="S2865" i="31"/>
  <c r="S2866" i="31"/>
  <c r="S2867" i="31"/>
  <c r="S2868" i="31"/>
  <c r="S2869" i="31"/>
  <c r="S2870" i="31"/>
  <c r="S2871" i="31"/>
  <c r="S2872" i="31"/>
  <c r="S2873" i="31"/>
  <c r="S2874" i="31"/>
  <c r="S2875" i="31"/>
  <c r="S2876" i="31"/>
  <c r="S2877" i="31"/>
  <c r="S2878" i="31"/>
  <c r="S2879" i="31"/>
  <c r="S2880" i="31"/>
  <c r="S2881" i="31"/>
  <c r="S2882" i="31"/>
  <c r="S2883" i="31"/>
  <c r="S2884" i="31"/>
  <c r="S2885" i="31"/>
  <c r="S2886" i="31"/>
  <c r="S2887" i="31"/>
  <c r="S2888" i="31"/>
  <c r="S2889" i="31"/>
  <c r="S2890" i="31"/>
  <c r="S2891" i="31"/>
  <c r="S2892" i="31"/>
  <c r="S2893" i="31"/>
  <c r="S2759" i="31"/>
  <c r="S2760" i="31"/>
  <c r="S2762" i="31"/>
  <c r="S2763" i="31"/>
  <c r="S2373" i="31"/>
  <c r="S2374" i="31"/>
  <c r="S2375" i="31"/>
  <c r="S2376" i="31"/>
  <c r="S2377" i="31"/>
  <c r="S2378" i="31"/>
  <c r="S2379" i="31"/>
  <c r="S2380" i="31"/>
  <c r="S2381" i="31"/>
  <c r="S2382" i="31"/>
  <c r="S2383" i="31"/>
  <c r="S2384" i="31"/>
  <c r="S2385" i="31"/>
  <c r="S2386" i="31"/>
  <c r="S2387" i="31"/>
  <c r="S2388" i="31"/>
  <c r="S2389" i="31"/>
  <c r="S2390" i="31"/>
  <c r="S2391" i="31"/>
  <c r="S2392" i="31"/>
  <c r="S2393" i="31"/>
  <c r="S2394" i="31"/>
  <c r="S2395" i="31"/>
  <c r="S2396" i="31"/>
  <c r="S2397" i="31"/>
  <c r="S2398" i="31"/>
  <c r="S2399" i="31"/>
  <c r="S2401" i="31"/>
  <c r="S2403" i="31"/>
  <c r="S2404" i="31"/>
  <c r="S2407" i="31"/>
  <c r="S2408" i="31"/>
  <c r="S2411" i="31"/>
  <c r="S2412" i="31"/>
  <c r="S2413" i="31"/>
  <c r="S2414" i="31"/>
  <c r="S2415" i="31"/>
  <c r="S2416" i="31"/>
  <c r="S2417" i="31"/>
  <c r="S2418" i="31"/>
  <c r="S2419" i="31"/>
  <c r="S2420" i="31"/>
  <c r="S2421" i="31"/>
  <c r="S2422" i="31"/>
  <c r="S2423" i="31"/>
  <c r="S2424" i="31"/>
  <c r="S2425" i="31"/>
  <c r="S2426" i="31"/>
  <c r="S2427" i="31"/>
  <c r="S2428" i="31"/>
  <c r="S2429" i="31"/>
  <c r="S2430" i="31"/>
  <c r="S2431" i="31"/>
  <c r="S2432" i="31"/>
  <c r="S2433" i="31"/>
  <c r="S2434" i="31"/>
  <c r="S2435" i="31"/>
  <c r="S2436" i="31"/>
  <c r="S2437" i="31"/>
  <c r="S2438" i="31"/>
  <c r="S2439" i="31"/>
  <c r="S2440" i="31"/>
  <c r="S2441" i="31"/>
  <c r="S2442" i="31"/>
  <c r="S2443" i="31"/>
  <c r="S2444" i="31"/>
  <c r="S2445" i="31"/>
  <c r="S2446" i="31"/>
  <c r="S2447" i="31"/>
  <c r="S2448" i="31"/>
  <c r="S2449" i="31"/>
  <c r="S2450" i="31"/>
  <c r="S2451" i="31"/>
  <c r="S2452" i="31"/>
  <c r="S2453" i="31"/>
  <c r="S2454" i="31"/>
  <c r="S2455" i="31"/>
  <c r="S2456" i="31"/>
  <c r="S2457" i="31"/>
  <c r="S2458" i="31"/>
  <c r="S2459" i="31"/>
  <c r="S2460" i="31"/>
  <c r="S2461" i="31"/>
  <c r="S2462" i="31"/>
  <c r="S2463" i="31"/>
  <c r="S2464" i="31"/>
  <c r="S2465" i="31"/>
  <c r="S2466" i="31"/>
  <c r="S2467" i="31"/>
  <c r="S2468" i="31"/>
  <c r="S2469" i="31"/>
  <c r="S2470" i="31"/>
  <c r="S2471" i="31"/>
  <c r="S2472" i="31"/>
  <c r="S2473" i="31"/>
  <c r="S2474" i="31"/>
  <c r="S2475" i="31"/>
  <c r="S2476" i="31"/>
  <c r="S2477" i="31"/>
  <c r="S2478" i="31"/>
  <c r="S2479" i="31"/>
  <c r="S2480" i="31"/>
  <c r="S2481" i="31"/>
  <c r="S2482" i="31"/>
  <c r="S2483" i="31"/>
  <c r="S2484" i="31"/>
  <c r="S2485" i="31"/>
  <c r="S2486" i="31"/>
  <c r="S2487" i="31"/>
  <c r="S2488" i="31"/>
  <c r="S2489" i="31"/>
  <c r="S2490" i="31"/>
  <c r="S2491" i="31"/>
  <c r="S2492" i="31"/>
  <c r="S2493" i="31"/>
  <c r="S2494" i="31"/>
  <c r="S2495" i="31"/>
  <c r="S2496" i="31"/>
  <c r="S2497" i="31"/>
  <c r="S2498" i="31"/>
  <c r="S2499" i="31"/>
  <c r="S2508" i="31"/>
  <c r="S2509" i="31"/>
  <c r="S2510" i="31"/>
  <c r="S2511" i="31"/>
  <c r="S2512" i="31"/>
  <c r="S2513" i="31"/>
  <c r="S2514" i="31"/>
  <c r="S2515" i="31"/>
  <c r="S2516" i="31"/>
  <c r="S2517" i="31"/>
  <c r="S2518" i="31"/>
  <c r="S2519" i="31"/>
  <c r="S2520" i="31"/>
  <c r="S2521" i="31"/>
  <c r="S2522" i="31"/>
  <c r="S2523" i="31"/>
  <c r="S2524" i="31"/>
  <c r="S2525" i="31"/>
  <c r="S2527" i="31"/>
  <c r="S2531" i="31"/>
  <c r="S2532" i="31"/>
  <c r="S2533" i="31"/>
  <c r="S2535" i="31"/>
  <c r="S2536" i="31"/>
  <c r="S2537" i="31"/>
  <c r="S2538" i="31"/>
  <c r="S2539" i="31"/>
  <c r="S2540" i="31"/>
  <c r="S2541" i="31"/>
  <c r="S2542" i="31"/>
  <c r="S2543" i="31"/>
  <c r="S2544" i="31"/>
  <c r="S2545" i="31"/>
  <c r="S2546" i="31"/>
  <c r="S2547" i="31"/>
  <c r="S2548" i="31"/>
  <c r="S2551" i="31"/>
  <c r="S2552" i="31"/>
  <c r="S2553" i="31"/>
  <c r="S2554" i="31"/>
  <c r="S2555" i="31"/>
  <c r="S2560" i="31"/>
  <c r="S2561" i="31"/>
  <c r="S2562" i="31"/>
  <c r="S2563" i="31"/>
  <c r="S2564" i="31"/>
  <c r="S2565" i="31"/>
  <c r="S2566" i="31"/>
  <c r="S2567" i="31"/>
  <c r="S2569" i="31"/>
  <c r="S2570" i="31"/>
  <c r="S2571" i="31"/>
  <c r="S2572" i="31"/>
  <c r="S2573" i="31"/>
  <c r="S2574" i="31"/>
  <c r="S2575" i="31"/>
  <c r="S2576" i="31"/>
  <c r="S2577" i="31"/>
  <c r="S2578" i="31"/>
  <c r="S2579" i="31"/>
  <c r="S2580" i="31"/>
  <c r="S2581" i="31"/>
  <c r="S2582" i="31"/>
  <c r="S2583" i="31"/>
  <c r="S2584" i="31"/>
  <c r="S2585" i="31"/>
  <c r="S2586" i="31"/>
  <c r="S2588" i="31"/>
  <c r="S2589" i="31"/>
  <c r="S2591" i="31"/>
  <c r="S2593" i="31"/>
  <c r="S2595" i="31"/>
  <c r="S2596" i="31"/>
  <c r="S2597" i="31"/>
  <c r="S2598" i="31"/>
  <c r="S2599" i="31"/>
  <c r="S2600" i="31"/>
  <c r="S2603" i="31"/>
  <c r="S2604" i="31"/>
  <c r="S2605" i="31"/>
  <c r="S2606" i="31"/>
  <c r="S2607" i="31"/>
  <c r="S2608" i="31"/>
  <c r="S2612" i="31"/>
  <c r="S2613" i="31"/>
  <c r="S2614" i="31"/>
  <c r="S2615" i="31"/>
  <c r="S2618" i="31"/>
  <c r="S2619" i="31"/>
  <c r="S2620" i="31"/>
  <c r="S2622" i="31"/>
  <c r="S2623" i="31"/>
  <c r="S2626" i="31"/>
  <c r="S2627" i="31"/>
  <c r="S2630" i="31"/>
  <c r="S2641" i="31"/>
  <c r="S2645" i="31"/>
  <c r="S2648" i="31"/>
  <c r="S2649" i="31"/>
  <c r="S2650" i="31"/>
  <c r="S2651" i="31"/>
  <c r="S2652" i="31"/>
  <c r="S2653" i="31"/>
  <c r="S2654" i="31"/>
  <c r="S2655" i="31"/>
  <c r="S2656" i="31"/>
  <c r="S2657" i="31"/>
  <c r="S2659" i="31"/>
  <c r="S2660" i="31"/>
  <c r="S2661" i="31"/>
  <c r="S2662" i="31"/>
  <c r="S2663" i="31"/>
  <c r="S2664" i="31"/>
  <c r="S2665" i="31"/>
  <c r="S2666" i="31"/>
  <c r="S2667" i="31"/>
  <c r="S2668" i="31"/>
  <c r="S2669" i="31"/>
  <c r="S2670" i="31"/>
  <c r="S2671" i="31"/>
  <c r="S2672" i="31"/>
  <c r="S2673" i="31"/>
  <c r="S2674" i="31"/>
  <c r="S2675" i="31"/>
  <c r="S2676" i="31"/>
  <c r="S2677" i="31"/>
  <c r="S2678" i="31"/>
  <c r="S2679" i="31"/>
  <c r="S2680" i="31"/>
  <c r="S2681" i="31"/>
  <c r="S2682" i="31"/>
  <c r="S2683" i="31"/>
  <c r="S2684" i="31"/>
  <c r="S2685" i="31"/>
  <c r="S2686" i="31"/>
  <c r="S2687" i="31"/>
  <c r="S2688" i="31"/>
  <c r="S2689" i="31"/>
  <c r="S2690" i="31"/>
  <c r="S2691" i="31"/>
  <c r="S2692" i="31"/>
  <c r="S2693" i="31"/>
  <c r="S2694" i="31"/>
  <c r="S2695" i="31"/>
  <c r="S2696" i="31"/>
  <c r="S2697" i="31"/>
  <c r="S2698" i="31"/>
  <c r="S2699" i="31"/>
  <c r="S2700" i="31"/>
  <c r="S2701" i="31"/>
  <c r="S2702" i="31"/>
  <c r="S2703" i="31"/>
  <c r="S2704" i="31"/>
  <c r="S2705" i="31"/>
  <c r="S2706" i="31"/>
  <c r="S2707" i="31"/>
  <c r="S2708" i="31"/>
  <c r="S2709" i="31"/>
  <c r="S2710" i="31"/>
  <c r="S2711" i="31"/>
  <c r="S2712" i="31"/>
  <c r="S2713" i="31"/>
  <c r="S2714" i="31"/>
  <c r="S2715" i="31"/>
  <c r="S2716" i="31"/>
  <c r="S2717" i="31"/>
  <c r="S2718" i="31"/>
  <c r="S2719" i="31"/>
  <c r="S2720" i="31"/>
  <c r="S2721" i="31"/>
  <c r="S2722" i="31"/>
  <c r="S2723" i="31"/>
  <c r="S2724" i="31"/>
  <c r="S2725" i="31"/>
  <c r="S2726" i="31"/>
  <c r="S2727" i="31"/>
  <c r="S2728" i="31"/>
  <c r="S2729" i="31"/>
  <c r="S2730" i="31"/>
  <c r="S2731" i="31"/>
  <c r="S2732" i="31"/>
  <c r="S2733" i="31"/>
  <c r="S2734" i="31"/>
  <c r="S2735" i="31"/>
  <c r="S2736" i="31"/>
  <c r="S2737" i="31"/>
  <c r="S2738" i="31"/>
  <c r="S2739" i="31"/>
  <c r="S2740" i="31"/>
  <c r="S2741" i="31"/>
  <c r="S2742" i="31"/>
  <c r="S2743" i="31"/>
  <c r="S2744" i="31"/>
  <c r="S2745" i="31"/>
  <c r="S2746" i="31"/>
  <c r="S2747" i="31"/>
  <c r="S2748" i="31"/>
  <c r="S2749" i="31"/>
  <c r="S2750" i="31"/>
  <c r="S2751" i="31"/>
  <c r="S2752" i="31"/>
  <c r="S2753" i="31"/>
  <c r="S2754" i="31"/>
  <c r="S2755" i="31"/>
  <c r="S2756" i="31"/>
  <c r="S2757" i="31"/>
  <c r="Q3083" i="31"/>
  <c r="R3083" i="31"/>
  <c r="Q3082" i="31"/>
  <c r="R3082" i="31"/>
  <c r="Q3077" i="31"/>
  <c r="R3077" i="31"/>
  <c r="Q3075" i="31"/>
  <c r="R3075" i="31"/>
  <c r="Q3074" i="31"/>
  <c r="R3074" i="31"/>
  <c r="Q3073" i="31"/>
  <c r="R3073" i="31"/>
  <c r="Q3072" i="31"/>
  <c r="R3072" i="31"/>
  <c r="Q3071" i="31"/>
  <c r="Q3070" i="31"/>
  <c r="R3070" i="31"/>
  <c r="Q3069" i="31"/>
  <c r="R3069" i="31"/>
  <c r="Q3065" i="31"/>
  <c r="R3065" i="31"/>
  <c r="Q3066" i="31"/>
  <c r="R3066" i="31"/>
  <c r="Q3067" i="31"/>
  <c r="R3067" i="31"/>
  <c r="Q3064" i="31"/>
  <c r="R3064" i="31"/>
  <c r="Q3061" i="31" l="1"/>
  <c r="Q3060" i="31"/>
  <c r="R3060" i="31"/>
  <c r="Q3059" i="31"/>
  <c r="R3059" i="31"/>
  <c r="Q3055" i="31"/>
  <c r="R3055" i="31"/>
  <c r="Q3056" i="31"/>
  <c r="R3056" i="31"/>
  <c r="Q3054" i="31" l="1"/>
  <c r="R3054" i="31"/>
  <c r="Q3051" i="31" l="1"/>
  <c r="R3051" i="31"/>
  <c r="Q3050" i="31"/>
  <c r="R3050" i="31"/>
  <c r="Q3049" i="31"/>
  <c r="R3049" i="31"/>
  <c r="Q3048" i="31"/>
  <c r="R3048" i="31"/>
  <c r="Q3047" i="31"/>
  <c r="R3047" i="31"/>
  <c r="Q3046" i="31"/>
  <c r="R3046" i="31"/>
  <c r="Q3043" i="31"/>
  <c r="R3043" i="31"/>
  <c r="Q3044" i="31"/>
  <c r="R3044" i="31"/>
  <c r="Q3042" i="31" l="1"/>
  <c r="R3042" i="31"/>
  <c r="Q3041" i="31"/>
  <c r="R3041" i="31"/>
  <c r="R3040" i="31"/>
  <c r="Q3037" i="31" l="1"/>
  <c r="R3037" i="31"/>
  <c r="Q3034" i="31"/>
  <c r="R3034" i="31"/>
  <c r="Q3033" i="31"/>
  <c r="R3033" i="31"/>
  <c r="R3032" i="31"/>
  <c r="Q3032" i="31"/>
  <c r="R3031" i="31"/>
  <c r="Q3031" i="31"/>
  <c r="Q3029" i="31"/>
  <c r="R3029" i="31"/>
  <c r="Q3028" i="31"/>
  <c r="R3028" i="31"/>
  <c r="Q3027" i="31"/>
  <c r="R3027" i="31"/>
  <c r="Q3026" i="31"/>
  <c r="R3026" i="31"/>
  <c r="R3025" i="31"/>
  <c r="Q3024" i="31"/>
  <c r="R3024" i="31"/>
  <c r="Q3023" i="31"/>
  <c r="R3023" i="31"/>
  <c r="Q3020" i="31"/>
  <c r="R3020" i="31"/>
  <c r="Q3021" i="31"/>
  <c r="R3021" i="31"/>
  <c r="Q3022" i="31"/>
  <c r="R3022" i="31"/>
  <c r="Q3018" i="31"/>
  <c r="R3018" i="31"/>
  <c r="Q3019" i="31"/>
  <c r="R3019" i="31"/>
  <c r="Q3010" i="31"/>
  <c r="R3010" i="31"/>
  <c r="Q3011" i="31"/>
  <c r="R3011" i="31"/>
  <c r="Q3009" i="31"/>
  <c r="R3009" i="31"/>
  <c r="Q3008" i="31"/>
  <c r="R3008" i="31"/>
  <c r="Q3007" i="31"/>
  <c r="R3007" i="31"/>
  <c r="Q3003" i="31"/>
  <c r="R3003" i="31"/>
  <c r="Q3001" i="31"/>
  <c r="R3001" i="31"/>
  <c r="Q3000" i="31"/>
  <c r="R3000" i="31"/>
  <c r="Q2998" i="31"/>
  <c r="R2998" i="31"/>
  <c r="Q2996" i="31" l="1"/>
  <c r="R2996" i="31"/>
  <c r="Q2995" i="31"/>
  <c r="R2995" i="31"/>
  <c r="Q2993" i="31"/>
  <c r="R2993" i="31"/>
  <c r="Q2992" i="31"/>
  <c r="R2992" i="31"/>
  <c r="Q2991" i="31"/>
  <c r="R2991" i="31"/>
  <c r="Q2990" i="31"/>
  <c r="R2990" i="31"/>
  <c r="Q2989" i="31"/>
  <c r="R2989" i="31"/>
  <c r="Q2987" i="31"/>
  <c r="R2987" i="31"/>
  <c r="Q2986" i="31"/>
  <c r="R2986" i="31"/>
  <c r="Q2985" i="31"/>
  <c r="R2985" i="31"/>
  <c r="Q2984" i="31"/>
  <c r="R2984" i="31"/>
  <c r="Q2983" i="31"/>
  <c r="R2983" i="31"/>
  <c r="Q2982" i="31"/>
  <c r="R2982" i="31"/>
  <c r="Q2981" i="31"/>
  <c r="R2981" i="31"/>
  <c r="Q2980" i="31"/>
  <c r="R2980" i="31"/>
  <c r="Q2979" i="31"/>
  <c r="R2979" i="31"/>
  <c r="Q2975" i="31"/>
  <c r="R2975" i="31"/>
  <c r="Q2974" i="31"/>
  <c r="R2974" i="31"/>
  <c r="Q2973" i="31"/>
  <c r="R2973" i="31"/>
  <c r="Q2972" i="31"/>
  <c r="R2972" i="31"/>
  <c r="Q2971" i="31"/>
  <c r="R2971" i="31"/>
  <c r="Q2970" i="31"/>
  <c r="R2970" i="31"/>
  <c r="Q2966" i="31"/>
  <c r="R2966" i="31"/>
  <c r="Q2967" i="31"/>
  <c r="R2967" i="31"/>
  <c r="Q2964" i="31" l="1"/>
  <c r="R2964" i="31"/>
  <c r="Q2963" i="31"/>
  <c r="R2963" i="31"/>
  <c r="Q2962" i="31"/>
  <c r="R2962" i="31"/>
  <c r="Q2961" i="31"/>
  <c r="R2961" i="31"/>
  <c r="Q2959" i="31"/>
  <c r="R2959" i="31"/>
  <c r="Q2958" i="31"/>
  <c r="R2958" i="31"/>
  <c r="Q2956" i="31" l="1"/>
  <c r="R2956" i="31"/>
  <c r="Q2955" i="31"/>
  <c r="R2955" i="31"/>
  <c r="Q2954" i="31"/>
  <c r="R2954" i="31"/>
  <c r="Q2951" i="31"/>
  <c r="Q2952" i="31"/>
  <c r="Q2953" i="31"/>
  <c r="Q2950" i="31"/>
  <c r="R2950" i="31"/>
  <c r="Q2949" i="31"/>
  <c r="Q2948" i="31"/>
  <c r="Q2947" i="31" l="1"/>
  <c r="R2947" i="31"/>
  <c r="Q2946" i="31" l="1"/>
  <c r="R2946" i="31"/>
  <c r="Q2945" i="31"/>
  <c r="Q2944" i="31"/>
  <c r="R2944" i="31"/>
  <c r="Q2943" i="31"/>
  <c r="Q2942" i="31"/>
  <c r="R2942" i="31"/>
  <c r="Q2941" i="31"/>
  <c r="R2941" i="31"/>
  <c r="Q2940" i="31"/>
  <c r="R2940" i="31"/>
  <c r="Q2939" i="31"/>
  <c r="R2939" i="31"/>
  <c r="Q2938" i="31"/>
  <c r="R2938" i="31"/>
  <c r="Q2937" i="31"/>
  <c r="R2937" i="31"/>
  <c r="Q2936" i="31"/>
  <c r="Q2935" i="31"/>
  <c r="R2935" i="31"/>
  <c r="Q2934" i="31" l="1"/>
  <c r="R2934" i="31"/>
  <c r="Q2933" i="31"/>
  <c r="R2933" i="31"/>
  <c r="Q2932" i="31" l="1"/>
  <c r="R2932" i="31"/>
  <c r="Q2931" i="31"/>
  <c r="R2931" i="31"/>
  <c r="Q2930" i="31"/>
  <c r="Q2929" i="31" l="1"/>
  <c r="R2929" i="31"/>
  <c r="Q2928" i="31"/>
  <c r="R2928" i="31"/>
  <c r="Q2927" i="31"/>
  <c r="R2927" i="31"/>
  <c r="Q2926" i="31"/>
  <c r="R2926" i="31"/>
  <c r="Q2924" i="31" l="1"/>
  <c r="Q2925" i="31"/>
  <c r="Q2923" i="31" l="1"/>
  <c r="R2923" i="31"/>
  <c r="Q2922" i="31"/>
  <c r="Q2921" i="31"/>
  <c r="Q2920" i="31"/>
  <c r="R2920" i="31"/>
  <c r="Q2919" i="31"/>
  <c r="R2919" i="31"/>
  <c r="Q2918" i="31"/>
  <c r="R2918" i="31"/>
  <c r="Q2916" i="31"/>
  <c r="R2916" i="31"/>
  <c r="Q2917" i="31"/>
  <c r="R2917" i="31"/>
  <c r="Q2915" i="31"/>
  <c r="R2915" i="31"/>
  <c r="Q2914" i="31"/>
  <c r="R2914" i="31"/>
  <c r="Q2908" i="31"/>
  <c r="R2908" i="31"/>
  <c r="Q2909" i="31"/>
  <c r="R2909" i="31"/>
  <c r="Q2910" i="31"/>
  <c r="R2910" i="31"/>
  <c r="Q2911" i="31"/>
  <c r="R2911" i="31"/>
  <c r="Q2912" i="31"/>
  <c r="R2912" i="31"/>
  <c r="Q2913" i="31"/>
  <c r="R2913" i="31"/>
  <c r="Q2907" i="31"/>
  <c r="R2907" i="31"/>
  <c r="Q2906" i="31"/>
  <c r="R2906" i="31"/>
  <c r="Q2905" i="31"/>
  <c r="R2905" i="31"/>
  <c r="Q2904" i="31"/>
  <c r="R2904" i="31"/>
  <c r="Q2903" i="31"/>
  <c r="Q2901" i="31"/>
  <c r="R2901" i="31"/>
  <c r="Q2902" i="31"/>
  <c r="R2902" i="31"/>
  <c r="Q2900" i="31"/>
  <c r="R2900" i="31"/>
  <c r="Q2899" i="31"/>
  <c r="R2899" i="31"/>
  <c r="Q2898" i="31" l="1"/>
  <c r="R2898" i="31"/>
  <c r="Q2897" i="31"/>
  <c r="R2897" i="31"/>
  <c r="Q2896" i="31"/>
  <c r="R2896" i="31"/>
  <c r="Q2895" i="31"/>
  <c r="R2895" i="31"/>
  <c r="Q2894" i="31"/>
  <c r="Q2893" i="31"/>
  <c r="R2893" i="31"/>
  <c r="Q2892" i="31"/>
  <c r="R2892" i="31"/>
  <c r="Q2891" i="31"/>
  <c r="R2891" i="31"/>
  <c r="Q2890" i="31" l="1"/>
  <c r="R2890" i="31"/>
  <c r="Q2889" i="31"/>
  <c r="R2889" i="31"/>
  <c r="Q2888" i="31"/>
  <c r="R2888" i="31"/>
  <c r="Q2887" i="31"/>
  <c r="R2887" i="31"/>
  <c r="Q2886" i="31"/>
  <c r="R2886" i="31"/>
  <c r="Q2885" i="31" l="1"/>
  <c r="R2885" i="31"/>
  <c r="Q2884" i="31"/>
  <c r="R2884" i="31"/>
  <c r="Q2883" i="31"/>
  <c r="R2883" i="31"/>
  <c r="Q2882" i="31" l="1"/>
  <c r="R2882" i="31"/>
  <c r="Q2881" i="31"/>
  <c r="R2881" i="31"/>
  <c r="Q2880" i="31"/>
  <c r="R2880" i="31"/>
  <c r="Q2879" i="31"/>
  <c r="R2879" i="31"/>
  <c r="Q2878" i="31" l="1"/>
  <c r="R2878" i="31"/>
  <c r="Q2877" i="31"/>
  <c r="R2877" i="31"/>
  <c r="Q2876" i="31"/>
  <c r="R2876" i="31"/>
  <c r="Q2875" i="31"/>
  <c r="R2875" i="31"/>
  <c r="Q2871" i="31"/>
  <c r="R2871" i="31"/>
  <c r="R2872" i="31"/>
  <c r="R2873" i="31"/>
  <c r="R2874" i="31"/>
  <c r="Q2869" i="31"/>
  <c r="R2869" i="31"/>
  <c r="Q2870" i="31"/>
  <c r="R2870" i="31"/>
  <c r="Q2868" i="31"/>
  <c r="R2868" i="31"/>
  <c r="Q2867" i="31"/>
  <c r="R2867" i="31"/>
  <c r="Q2866" i="31"/>
  <c r="R2866" i="31"/>
  <c r="Q2865" i="31"/>
  <c r="R2865" i="31"/>
  <c r="Q2864" i="31"/>
  <c r="R2864" i="31"/>
  <c r="Q2863" i="31"/>
  <c r="R2863" i="31"/>
  <c r="Q2862" i="31"/>
  <c r="R2862" i="31"/>
  <c r="Q2859" i="31"/>
  <c r="R2859" i="31"/>
  <c r="Q2860" i="31"/>
  <c r="R2860" i="31"/>
  <c r="Q2861" i="31"/>
  <c r="R2861" i="31"/>
  <c r="Q2858" i="31"/>
  <c r="R2858" i="31"/>
  <c r="Q2857" i="31"/>
  <c r="R2857" i="31"/>
  <c r="Q2856" i="31"/>
  <c r="R2856" i="31"/>
  <c r="Q2855" i="31"/>
  <c r="R2855" i="31"/>
  <c r="Q2854" i="31"/>
  <c r="R2854" i="31"/>
  <c r="Q2853" i="31"/>
  <c r="R2853" i="31"/>
  <c r="Q2852" i="31"/>
  <c r="R2852" i="31"/>
  <c r="Q2851" i="31"/>
  <c r="R2851" i="31"/>
  <c r="Q2850" i="31"/>
  <c r="R2850" i="31"/>
  <c r="Q2849" i="31"/>
  <c r="R2849" i="31"/>
  <c r="Q2848" i="31"/>
  <c r="R2848" i="31"/>
  <c r="Q2847" i="31"/>
  <c r="R2847" i="31"/>
  <c r="Q2846" i="31"/>
  <c r="R2846" i="31"/>
  <c r="Q2845" i="31"/>
  <c r="R2845" i="31"/>
  <c r="Q2844" i="31"/>
  <c r="R2844" i="31"/>
  <c r="Q2843" i="31"/>
  <c r="R2843" i="31"/>
  <c r="Q2842" i="31"/>
  <c r="R2842" i="31"/>
  <c r="Q2841" i="31"/>
  <c r="R2841" i="31"/>
  <c r="Q2840" i="31"/>
  <c r="R2840" i="31"/>
  <c r="Q2839" i="31"/>
  <c r="R2839" i="31"/>
  <c r="Q2838" i="31"/>
  <c r="R2838" i="31"/>
  <c r="Q2837" i="31"/>
  <c r="R2837" i="31"/>
  <c r="Q2835" i="31"/>
  <c r="Q2834" i="31"/>
  <c r="Q2831" i="31"/>
  <c r="Q2832" i="31"/>
  <c r="Q2830" i="31"/>
  <c r="Q2829" i="31"/>
  <c r="Q2828" i="31"/>
  <c r="Q2827" i="31"/>
  <c r="Q2826" i="31"/>
  <c r="Q2825" i="31"/>
  <c r="Q2824" i="31"/>
  <c r="Q2822" i="31"/>
  <c r="Q2821" i="31"/>
  <c r="Q2820" i="31"/>
  <c r="Q2818" i="31"/>
  <c r="Q2817" i="31"/>
  <c r="Q2816" i="31" l="1"/>
  <c r="Q2815" i="31" l="1"/>
  <c r="Q2814" i="31"/>
  <c r="R2814" i="31"/>
  <c r="Q2812" i="31"/>
  <c r="Q2811" i="31"/>
  <c r="R2811" i="31"/>
  <c r="Q2810" i="31" l="1"/>
  <c r="R2810" i="31"/>
  <c r="Q2809" i="31"/>
  <c r="R2809" i="31"/>
  <c r="Q2806" i="31"/>
  <c r="R2806" i="31"/>
  <c r="Q2804" i="31"/>
  <c r="R2804" i="31"/>
  <c r="Q2803" i="31"/>
  <c r="R2803" i="31"/>
  <c r="Q2802" i="31"/>
  <c r="R2802" i="31"/>
  <c r="Q2801" i="31"/>
  <c r="R2801" i="31"/>
  <c r="Q2800" i="31"/>
  <c r="R2800" i="31"/>
  <c r="Q2798" i="31"/>
  <c r="Q2799" i="31"/>
  <c r="Q2797" i="31"/>
  <c r="Q2796" i="31"/>
  <c r="R2796" i="31"/>
  <c r="Q2795" i="31"/>
  <c r="R2795" i="31"/>
  <c r="Q2794" i="31"/>
  <c r="R2794" i="31"/>
  <c r="Q2793" i="31"/>
  <c r="R2793" i="31"/>
  <c r="Q2792" i="31"/>
  <c r="R2792" i="31"/>
  <c r="Q2791" i="31"/>
  <c r="R2791" i="31"/>
  <c r="Q2789" i="31"/>
  <c r="R2789" i="31"/>
  <c r="Q2790" i="31"/>
  <c r="R2790" i="31"/>
  <c r="Q2788" i="31"/>
  <c r="R2788" i="31"/>
  <c r="Q2785" i="31"/>
  <c r="R2785" i="31"/>
  <c r="Q2786" i="31"/>
  <c r="R2786" i="31"/>
  <c r="Q2787" i="31"/>
  <c r="R2787" i="31"/>
  <c r="Q2783" i="31"/>
  <c r="R2783" i="31"/>
  <c r="Q2784" i="31"/>
  <c r="R2784" i="31"/>
  <c r="Q2777" i="31"/>
  <c r="R2777" i="31"/>
  <c r="Q2778" i="31"/>
  <c r="R2778" i="31"/>
  <c r="Q2779" i="31"/>
  <c r="R2779" i="31"/>
  <c r="Q2780" i="31"/>
  <c r="R2780" i="31"/>
  <c r="Q2781" i="31"/>
  <c r="R2781" i="31"/>
  <c r="Q2782" i="31"/>
  <c r="R2782" i="31"/>
  <c r="Q2775" i="31"/>
  <c r="Q2776" i="31"/>
  <c r="Q2774" i="31"/>
  <c r="R2774" i="31"/>
  <c r="Q2772" i="31"/>
  <c r="Q2773" i="31"/>
  <c r="Q2771" i="31"/>
  <c r="R2771" i="31"/>
  <c r="Q2770" i="31"/>
  <c r="R2770" i="31"/>
  <c r="Q2769" i="31"/>
  <c r="R2769" i="31"/>
  <c r="Q2768" i="31"/>
  <c r="R2768" i="31"/>
  <c r="Q2767" i="31"/>
  <c r="R2767" i="31"/>
  <c r="Q2763" i="31"/>
  <c r="R2763" i="31"/>
  <c r="Q2762" i="31"/>
  <c r="R2762" i="31"/>
  <c r="Q2760" i="31"/>
  <c r="R2760" i="31"/>
  <c r="Q2759" i="31"/>
  <c r="R2759" i="31"/>
  <c r="Q2757" i="31"/>
  <c r="R2757" i="31"/>
  <c r="Q2756" i="31"/>
  <c r="R2756" i="31"/>
  <c r="Q2755" i="31"/>
  <c r="R2755" i="31"/>
  <c r="Q2754" i="31"/>
  <c r="R2754" i="31"/>
  <c r="Q2753" i="31"/>
  <c r="R2753" i="31"/>
  <c r="Q2752" i="31"/>
  <c r="R2752" i="31"/>
  <c r="Q2751" i="31"/>
  <c r="R2751" i="31"/>
  <c r="Q2750" i="31"/>
  <c r="R2750" i="31"/>
  <c r="Q2749" i="31"/>
  <c r="R2749" i="31"/>
  <c r="Q2748" i="31"/>
  <c r="R2748" i="31"/>
  <c r="Q2747" i="31"/>
  <c r="R2747" i="31"/>
  <c r="Q2746" i="31" l="1"/>
  <c r="R2746" i="31"/>
  <c r="Q2744" i="31"/>
  <c r="R2744" i="31"/>
  <c r="Q2745" i="31"/>
  <c r="R2745" i="31"/>
  <c r="Q2743" i="31" l="1"/>
  <c r="R2743" i="31"/>
  <c r="Q2742" i="31" l="1"/>
  <c r="R2742" i="31"/>
  <c r="Q2741" i="31" l="1"/>
  <c r="R2741" i="31"/>
  <c r="Q2740" i="31"/>
  <c r="R2740" i="31"/>
  <c r="Q2739" i="31"/>
  <c r="R2739" i="31"/>
  <c r="Q2738" i="31"/>
  <c r="R2738" i="31"/>
  <c r="Q2737" i="31"/>
  <c r="R2737" i="31"/>
  <c r="Q2736" i="31"/>
  <c r="R2736" i="31"/>
  <c r="Q2735" i="31"/>
  <c r="R2735" i="31"/>
  <c r="Q2734" i="31"/>
  <c r="R2734" i="31"/>
  <c r="Q2733" i="31"/>
  <c r="R2733" i="31"/>
  <c r="Q2732" i="31"/>
  <c r="R2732" i="31"/>
  <c r="Q2731" i="31"/>
  <c r="R2731" i="31"/>
  <c r="Q2730" i="31"/>
  <c r="R2730" i="31"/>
  <c r="Q2729" i="31"/>
  <c r="R2729" i="31"/>
  <c r="Q2728" i="31"/>
  <c r="R2728" i="31"/>
  <c r="Q2727" i="31"/>
  <c r="R2727" i="31"/>
  <c r="Q2726" i="31" l="1"/>
  <c r="R2726" i="31"/>
  <c r="Q2725" i="31"/>
  <c r="R2725" i="31"/>
  <c r="Q2724" i="31"/>
  <c r="R2724" i="31"/>
  <c r="Q2723" i="31"/>
  <c r="R2723" i="31"/>
  <c r="Q2722" i="31"/>
  <c r="R2722" i="31"/>
  <c r="Q2712" i="31"/>
  <c r="R2712" i="31"/>
  <c r="Q2713" i="31"/>
  <c r="R2713" i="31"/>
  <c r="Q2714" i="31"/>
  <c r="R2714" i="31"/>
  <c r="Q2715" i="31"/>
  <c r="R2715" i="31"/>
  <c r="Q2716" i="31"/>
  <c r="R2716" i="31"/>
  <c r="Q2717" i="31"/>
  <c r="R2717" i="31"/>
  <c r="Q2718" i="31"/>
  <c r="R2718" i="31"/>
  <c r="Q2719" i="31"/>
  <c r="R2719" i="31"/>
  <c r="Q2720" i="31"/>
  <c r="R2720" i="31"/>
  <c r="Q2721" i="31"/>
  <c r="R2721" i="31"/>
  <c r="Q2709" i="31"/>
  <c r="R2709" i="31"/>
  <c r="Q2710" i="31"/>
  <c r="R2710" i="31"/>
  <c r="Q2711" i="31"/>
  <c r="R2711" i="31"/>
  <c r="Q2708" i="31"/>
  <c r="R2708" i="31"/>
  <c r="Q2707" i="31"/>
  <c r="R2707" i="31"/>
  <c r="Q2706" i="31"/>
  <c r="R2706" i="31"/>
  <c r="Q2705" i="31"/>
  <c r="R2705" i="31"/>
  <c r="Q2704" i="31"/>
  <c r="R2704" i="31"/>
  <c r="Q2700" i="31"/>
  <c r="R2700" i="31"/>
  <c r="Q2701" i="31"/>
  <c r="R2701" i="31"/>
  <c r="Q2702" i="31"/>
  <c r="R2702" i="31"/>
  <c r="Q2703" i="31"/>
  <c r="R2703" i="31"/>
  <c r="Q2695" i="31"/>
  <c r="R2695" i="31"/>
  <c r="Q2696" i="31"/>
  <c r="R2696" i="31"/>
  <c r="Q2697" i="31"/>
  <c r="R2697" i="31"/>
  <c r="Q2698" i="31"/>
  <c r="R2698" i="31"/>
  <c r="Q2699" i="31"/>
  <c r="R2699" i="31"/>
  <c r="Q2694" i="31"/>
  <c r="R2694" i="31"/>
  <c r="Q2693" i="31"/>
  <c r="R2693" i="31"/>
  <c r="Q2692" i="31"/>
  <c r="R2692" i="31"/>
  <c r="Q2691" i="31"/>
  <c r="R2691" i="31"/>
  <c r="Q2690" i="31"/>
  <c r="R2690" i="31"/>
  <c r="Q2689" i="31"/>
  <c r="R2689" i="31"/>
  <c r="Q2688" i="31"/>
  <c r="R2688" i="31"/>
  <c r="Q2687" i="31"/>
  <c r="R2687" i="31"/>
  <c r="Q2686" i="31"/>
  <c r="R2686" i="31"/>
  <c r="Q2685" i="31"/>
  <c r="R2685" i="31"/>
  <c r="Q2684" i="31"/>
  <c r="R2684" i="31"/>
  <c r="Q2683" i="31"/>
  <c r="R2683" i="31"/>
  <c r="Q2682" i="31"/>
  <c r="R2682" i="31"/>
  <c r="Q2681" i="31"/>
  <c r="R2681" i="31"/>
  <c r="R2373" i="31"/>
  <c r="R2374" i="31"/>
  <c r="R2375" i="31"/>
  <c r="R2376" i="31"/>
  <c r="R2377" i="31"/>
  <c r="R2378" i="31"/>
  <c r="R2379" i="31"/>
  <c r="R2380" i="31"/>
  <c r="R2381" i="31"/>
  <c r="R2382" i="31"/>
  <c r="R2383" i="31"/>
  <c r="R2384" i="31"/>
  <c r="R2385" i="31"/>
  <c r="R2386" i="31"/>
  <c r="R2387" i="31"/>
  <c r="R2388" i="31"/>
  <c r="R2389" i="31"/>
  <c r="R2390" i="31"/>
  <c r="R2391" i="31"/>
  <c r="R2392" i="31"/>
  <c r="R2393" i="31"/>
  <c r="R2394" i="31"/>
  <c r="R2395" i="31"/>
  <c r="R2396" i="31"/>
  <c r="R2397" i="31"/>
  <c r="R2398" i="31"/>
  <c r="R2399" i="31"/>
  <c r="R2401" i="31"/>
  <c r="R2403" i="31"/>
  <c r="R2404" i="31"/>
  <c r="R2407" i="31"/>
  <c r="R2408" i="31"/>
  <c r="R2411" i="31"/>
  <c r="R2412" i="31"/>
  <c r="R2413" i="31"/>
  <c r="R2414" i="31"/>
  <c r="R2415" i="31"/>
  <c r="R2416" i="31"/>
  <c r="R2417" i="31"/>
  <c r="R2418" i="31"/>
  <c r="R2419" i="31"/>
  <c r="R2420" i="31"/>
  <c r="R2421" i="31"/>
  <c r="R2422" i="31"/>
  <c r="R2423" i="31"/>
  <c r="R2424" i="31"/>
  <c r="R2425" i="31"/>
  <c r="R2426" i="31"/>
  <c r="R2427" i="31"/>
  <c r="R2428" i="31"/>
  <c r="R2429" i="31"/>
  <c r="R2430" i="31"/>
  <c r="R2431" i="31"/>
  <c r="R2432" i="31"/>
  <c r="R2433" i="31"/>
  <c r="R2434" i="31"/>
  <c r="R2435" i="31"/>
  <c r="R2436" i="31"/>
  <c r="R2437" i="31"/>
  <c r="R2438" i="31"/>
  <c r="R2439" i="31"/>
  <c r="R2440" i="31"/>
  <c r="R2441" i="31"/>
  <c r="R2442" i="31"/>
  <c r="R2443" i="31"/>
  <c r="R2444" i="31"/>
  <c r="R2445" i="31"/>
  <c r="R2446" i="31"/>
  <c r="R2447" i="31"/>
  <c r="R2448" i="31"/>
  <c r="R2449" i="31"/>
  <c r="R2450" i="31"/>
  <c r="R2451" i="31"/>
  <c r="R2452" i="31"/>
  <c r="R2453" i="31"/>
  <c r="R2454" i="31"/>
  <c r="R2455" i="31"/>
  <c r="R2456" i="31"/>
  <c r="R2457" i="31"/>
  <c r="R2458" i="31"/>
  <c r="R2459" i="31"/>
  <c r="R2460" i="31"/>
  <c r="R2461" i="31"/>
  <c r="R2462" i="31"/>
  <c r="R2463" i="31"/>
  <c r="R2464" i="31"/>
  <c r="R2465" i="31"/>
  <c r="R2466" i="31"/>
  <c r="R2467" i="31"/>
  <c r="R2468" i="31"/>
  <c r="R2469" i="31"/>
  <c r="R2470" i="31"/>
  <c r="R2471" i="31"/>
  <c r="R2472" i="31"/>
  <c r="R2473" i="31"/>
  <c r="R2474" i="31"/>
  <c r="R2475" i="31"/>
  <c r="R2476" i="31"/>
  <c r="R2477" i="31"/>
  <c r="R2478" i="31"/>
  <c r="R2479" i="31"/>
  <c r="R2480" i="31"/>
  <c r="R2481" i="31"/>
  <c r="R2482" i="31"/>
  <c r="R2483" i="31"/>
  <c r="R2484" i="31"/>
  <c r="R2485" i="31"/>
  <c r="R2486" i="31"/>
  <c r="R2487" i="31"/>
  <c r="R2488" i="31"/>
  <c r="R2489" i="31"/>
  <c r="R2490" i="31"/>
  <c r="R2491" i="31"/>
  <c r="R2492" i="31"/>
  <c r="R2493" i="31"/>
  <c r="R2494" i="31"/>
  <c r="R2495" i="31"/>
  <c r="R2496" i="31"/>
  <c r="R2497" i="31"/>
  <c r="R2498" i="31"/>
  <c r="R2499" i="31"/>
  <c r="R2508" i="31"/>
  <c r="R2509" i="31"/>
  <c r="R2510" i="31"/>
  <c r="R2511" i="31"/>
  <c r="R2512" i="31"/>
  <c r="R2513" i="31"/>
  <c r="R2514" i="31"/>
  <c r="R2515" i="31"/>
  <c r="R2516" i="31"/>
  <c r="R2517" i="31"/>
  <c r="R2518" i="31"/>
  <c r="R2519" i="31"/>
  <c r="R2520" i="31"/>
  <c r="R2521" i="31"/>
  <c r="R2522" i="31"/>
  <c r="R2523" i="31"/>
  <c r="R2524" i="31"/>
  <c r="R2525" i="31"/>
  <c r="R2527" i="31"/>
  <c r="R2531" i="31"/>
  <c r="R2532" i="31"/>
  <c r="R2533" i="31"/>
  <c r="R2535" i="31"/>
  <c r="R2536" i="31"/>
  <c r="R2537" i="31"/>
  <c r="R2538" i="31"/>
  <c r="R2539" i="31"/>
  <c r="R2540" i="31"/>
  <c r="R2541" i="31"/>
  <c r="R2542" i="31"/>
  <c r="R2543" i="31"/>
  <c r="R2544" i="31"/>
  <c r="R2545" i="31"/>
  <c r="R2546" i="31"/>
  <c r="R2547" i="31"/>
  <c r="R2548" i="31"/>
  <c r="R2551" i="31"/>
  <c r="R2552" i="31"/>
  <c r="R2553" i="31"/>
  <c r="R2554" i="31"/>
  <c r="R2555" i="31"/>
  <c r="R2560" i="31"/>
  <c r="R2561" i="31"/>
  <c r="R2562" i="31"/>
  <c r="R2563" i="31"/>
  <c r="R2564" i="31"/>
  <c r="R2565" i="31"/>
  <c r="R2566" i="31"/>
  <c r="R2567" i="31"/>
  <c r="R2569" i="31"/>
  <c r="R2570" i="31"/>
  <c r="R2571" i="31"/>
  <c r="R2572" i="31"/>
  <c r="R2573" i="31"/>
  <c r="R2574" i="31"/>
  <c r="R2575" i="31"/>
  <c r="R2576" i="31"/>
  <c r="R2577" i="31"/>
  <c r="R2578" i="31"/>
  <c r="R2579" i="31"/>
  <c r="R2580" i="31"/>
  <c r="R2581" i="31"/>
  <c r="R2582" i="31"/>
  <c r="R2583" i="31"/>
  <c r="R2584" i="31"/>
  <c r="R2585" i="31"/>
  <c r="R2586" i="31"/>
  <c r="R2588" i="31"/>
  <c r="R2589" i="31"/>
  <c r="R2591" i="31"/>
  <c r="R2593" i="31"/>
  <c r="R2595" i="31"/>
  <c r="R2596" i="31"/>
  <c r="R2597" i="31"/>
  <c r="R2598" i="31"/>
  <c r="R2599" i="31"/>
  <c r="R2600" i="31"/>
  <c r="R2603" i="31"/>
  <c r="R2604" i="31"/>
  <c r="R2605" i="31"/>
  <c r="R2606" i="31"/>
  <c r="R2607" i="31"/>
  <c r="R2608" i="31"/>
  <c r="R2612" i="31"/>
  <c r="R2613" i="31"/>
  <c r="R2614" i="31"/>
  <c r="R2615" i="31"/>
  <c r="R2618" i="31"/>
  <c r="R2619" i="31"/>
  <c r="R2620" i="31"/>
  <c r="R2622" i="31"/>
  <c r="R2623" i="31"/>
  <c r="R2626" i="31"/>
  <c r="R2627" i="31"/>
  <c r="R2630" i="31"/>
  <c r="R2641" i="31"/>
  <c r="R2654" i="31"/>
  <c r="R2655" i="31"/>
  <c r="R2656" i="31"/>
  <c r="R2657" i="31"/>
  <c r="R2659" i="31"/>
  <c r="R2660" i="31"/>
  <c r="R2661" i="31"/>
  <c r="R2662" i="31"/>
  <c r="R2663" i="31"/>
  <c r="R2664" i="31"/>
  <c r="R2665" i="31"/>
  <c r="R2666" i="31"/>
  <c r="R2667" i="31"/>
  <c r="R2668" i="31"/>
  <c r="R2669" i="31"/>
  <c r="R2670" i="31"/>
  <c r="R2671" i="31"/>
  <c r="R2672" i="31"/>
  <c r="R2673" i="31"/>
  <c r="R2674" i="31"/>
  <c r="R2675" i="31"/>
  <c r="R2676" i="31"/>
  <c r="R2677" i="31"/>
  <c r="S2136" i="31"/>
  <c r="S2137" i="31"/>
  <c r="S2138" i="31"/>
  <c r="S2139" i="31"/>
  <c r="S2140" i="31"/>
  <c r="S2141" i="31"/>
  <c r="S2142" i="31"/>
  <c r="S2143" i="31"/>
  <c r="S2144" i="31"/>
  <c r="S2145" i="31"/>
  <c r="S2146" i="31"/>
  <c r="S2147" i="31"/>
  <c r="S2148" i="31"/>
  <c r="S2149" i="31"/>
  <c r="S2150" i="31"/>
  <c r="S2151" i="31"/>
  <c r="S2152" i="31"/>
  <c r="S2153" i="31"/>
  <c r="S2154" i="31"/>
  <c r="S2155" i="31"/>
  <c r="S2156" i="31"/>
  <c r="S2157" i="31"/>
  <c r="S2158" i="31"/>
  <c r="S2159" i="31"/>
  <c r="S2160" i="31"/>
  <c r="S2161" i="31"/>
  <c r="S2162" i="31"/>
  <c r="S2163" i="31"/>
  <c r="S2164" i="31"/>
  <c r="S2165" i="31"/>
  <c r="S2166" i="31"/>
  <c r="S2167" i="31"/>
  <c r="S2168" i="31"/>
  <c r="S2169" i="31"/>
  <c r="S2170" i="31"/>
  <c r="S2171" i="31"/>
  <c r="S2172" i="31"/>
  <c r="S2173" i="31"/>
  <c r="S2174" i="31"/>
  <c r="S2175" i="31"/>
  <c r="S2176" i="31"/>
  <c r="S2177" i="31"/>
  <c r="S2178" i="31"/>
  <c r="S2179" i="31"/>
  <c r="S2180" i="31"/>
  <c r="S2181" i="31"/>
  <c r="S2182" i="31"/>
  <c r="S2183" i="31"/>
  <c r="S2184" i="31"/>
  <c r="S2185" i="31"/>
  <c r="S2186" i="31"/>
  <c r="S2187" i="31"/>
  <c r="S2188" i="31"/>
  <c r="S2189" i="31"/>
  <c r="S2190" i="31"/>
  <c r="S2191" i="31"/>
  <c r="S2192" i="31"/>
  <c r="S2193" i="31"/>
  <c r="S2194" i="31"/>
  <c r="S2195" i="31"/>
  <c r="S2196" i="31"/>
  <c r="S2197" i="31"/>
  <c r="S2198" i="31"/>
  <c r="S2199" i="31"/>
  <c r="S2200" i="31"/>
  <c r="S2201" i="31"/>
  <c r="S2202" i="31"/>
  <c r="S2203" i="31"/>
  <c r="S2204" i="31"/>
  <c r="S2205" i="31"/>
  <c r="S2206" i="31"/>
  <c r="S2207" i="31"/>
  <c r="S2208" i="31"/>
  <c r="S2209" i="31"/>
  <c r="S2210" i="31"/>
  <c r="S2211" i="31"/>
  <c r="S2212" i="31"/>
  <c r="S2213" i="31"/>
  <c r="S2214" i="31"/>
  <c r="S2215" i="31"/>
  <c r="S2216" i="31"/>
  <c r="S2217" i="31"/>
  <c r="S2218" i="31"/>
  <c r="S2219" i="31"/>
  <c r="S2220" i="31"/>
  <c r="S2221" i="31"/>
  <c r="S2222" i="31"/>
  <c r="S2223" i="31"/>
  <c r="S2224" i="31"/>
  <c r="S2225" i="31"/>
  <c r="S2226" i="31"/>
  <c r="S2227" i="31"/>
  <c r="S2228" i="31"/>
  <c r="S2229" i="31"/>
  <c r="S2230" i="31"/>
  <c r="S2231" i="31"/>
  <c r="S2232" i="31"/>
  <c r="S2233" i="31"/>
  <c r="S2234" i="31"/>
  <c r="S2235" i="31"/>
  <c r="S2236" i="31"/>
  <c r="S2237" i="31"/>
  <c r="S2238" i="31"/>
  <c r="S2239" i="31"/>
  <c r="S2240" i="31"/>
  <c r="S2241" i="31"/>
  <c r="S2242" i="31"/>
  <c r="S2243" i="31"/>
  <c r="S2244" i="31"/>
  <c r="S2245" i="31"/>
  <c r="S2246" i="31"/>
  <c r="S2247" i="31"/>
  <c r="S2248" i="31"/>
  <c r="S2249" i="31"/>
  <c r="S2250" i="31"/>
  <c r="S2251" i="31"/>
  <c r="S2252" i="31"/>
  <c r="S2253" i="31"/>
  <c r="S2254" i="31"/>
  <c r="S2255" i="31"/>
  <c r="S2256" i="31"/>
  <c r="S2257" i="31"/>
  <c r="S2258" i="31"/>
  <c r="S2259" i="31"/>
  <c r="S2260" i="31"/>
  <c r="S2261" i="31"/>
  <c r="S2262" i="31"/>
  <c r="S2263" i="31"/>
  <c r="S2264" i="31"/>
  <c r="S2265" i="31"/>
  <c r="S2266" i="31"/>
  <c r="S2267" i="31"/>
  <c r="S2268" i="31"/>
  <c r="S2269" i="31"/>
  <c r="S2270" i="31"/>
  <c r="S2271" i="31"/>
  <c r="S2272" i="31"/>
  <c r="S2273" i="31"/>
  <c r="S2274" i="31"/>
  <c r="S2275" i="31"/>
  <c r="S2276" i="31"/>
  <c r="S2277" i="31"/>
  <c r="S2278" i="31"/>
  <c r="S2279" i="31"/>
  <c r="S2280" i="31"/>
  <c r="S2281" i="31"/>
  <c r="S2282" i="31"/>
  <c r="S2283" i="31"/>
  <c r="S2284" i="31"/>
  <c r="S2285" i="31"/>
  <c r="S2286" i="31"/>
  <c r="S2287" i="31"/>
  <c r="S2288" i="31"/>
  <c r="S2289" i="31"/>
  <c r="S2290" i="31"/>
  <c r="S2291" i="31"/>
  <c r="S2292" i="31"/>
  <c r="S2293" i="31"/>
  <c r="S2294" i="31"/>
  <c r="S2295" i="31"/>
  <c r="S2296" i="31"/>
  <c r="S2297" i="31"/>
  <c r="S2298" i="31"/>
  <c r="S2299" i="31"/>
  <c r="S2300" i="31"/>
  <c r="S2301" i="31"/>
  <c r="S2302" i="31"/>
  <c r="S2303" i="31"/>
  <c r="S2304" i="31"/>
  <c r="S2305" i="31"/>
  <c r="S2306" i="31"/>
  <c r="S2307" i="31"/>
  <c r="S2308" i="31"/>
  <c r="S2309" i="31"/>
  <c r="S2310" i="31"/>
  <c r="S2311" i="31"/>
  <c r="S2312" i="31"/>
  <c r="S2313" i="31"/>
  <c r="S2314" i="31"/>
  <c r="S2315" i="31"/>
  <c r="S2316" i="31"/>
  <c r="S2317" i="31"/>
  <c r="S2318" i="31"/>
  <c r="S2319" i="31"/>
  <c r="S2320" i="31"/>
  <c r="S2321" i="31"/>
  <c r="S2322" i="31"/>
  <c r="S2323" i="31"/>
  <c r="S2324" i="31"/>
  <c r="S2325" i="31"/>
  <c r="S2326" i="31"/>
  <c r="S2327" i="31"/>
  <c r="S2328" i="31"/>
  <c r="S2329" i="31"/>
  <c r="S2330" i="31"/>
  <c r="S2331" i="31"/>
  <c r="S2332" i="31"/>
  <c r="S2333" i="31"/>
  <c r="S2334" i="31"/>
  <c r="S2335" i="31"/>
  <c r="S2336" i="31"/>
  <c r="S2337" i="31"/>
  <c r="S2338" i="31"/>
  <c r="S2339" i="31"/>
  <c r="S2340" i="31"/>
  <c r="S2341" i="31"/>
  <c r="S2342" i="31"/>
  <c r="S2343" i="31"/>
  <c r="S2344" i="31"/>
  <c r="S2345" i="31"/>
  <c r="S2346" i="31"/>
  <c r="S2347" i="31"/>
  <c r="S2348" i="31"/>
  <c r="S2349" i="31"/>
  <c r="S2350" i="31"/>
  <c r="S2351" i="31"/>
  <c r="S2352" i="31"/>
  <c r="S2353" i="31"/>
  <c r="S2354" i="31"/>
  <c r="S2355" i="31"/>
  <c r="S2356" i="31"/>
  <c r="S2357" i="31"/>
  <c r="S2358" i="31"/>
  <c r="S2359" i="31"/>
  <c r="S2360" i="31"/>
  <c r="S2361" i="31"/>
  <c r="S2362" i="31"/>
  <c r="S2363" i="31"/>
  <c r="S2364" i="31"/>
  <c r="S2365" i="31"/>
  <c r="S2366" i="31"/>
  <c r="S2367" i="31"/>
  <c r="S2368" i="31"/>
  <c r="S2369" i="31"/>
  <c r="S2370" i="31"/>
  <c r="S2371" i="31"/>
  <c r="R2645" i="31"/>
  <c r="R2648" i="31"/>
  <c r="R2649" i="31"/>
  <c r="R2650" i="31"/>
  <c r="R2651" i="31"/>
  <c r="R2652" i="31"/>
  <c r="R2653" i="31"/>
  <c r="R2678" i="31"/>
  <c r="R2679" i="31"/>
  <c r="Q2680" i="31"/>
  <c r="R2680" i="31"/>
  <c r="Q2679" i="31"/>
  <c r="Q2678" i="31"/>
  <c r="Q2677" i="31"/>
  <c r="Q2676" i="31"/>
  <c r="Q2675" i="31"/>
  <c r="Q2674" i="31"/>
  <c r="Q2673" i="31"/>
  <c r="Q2672" i="31"/>
  <c r="Q2671" i="31"/>
  <c r="Q2670" i="31"/>
  <c r="Q2668" i="31" l="1"/>
  <c r="Q2669" i="31"/>
  <c r="Q2667" i="31"/>
  <c r="Q2665" i="31"/>
  <c r="Q2666" i="31"/>
  <c r="Q2664" i="31"/>
  <c r="Q2663" i="31"/>
  <c r="Q2662" i="31"/>
  <c r="Q2661" i="31"/>
  <c r="Q2660" i="31"/>
  <c r="Q2659" i="31"/>
  <c r="Q2658" i="31"/>
  <c r="Q2657" i="31"/>
  <c r="Q2656" i="31"/>
  <c r="Q2655" i="31"/>
  <c r="Q2654" i="31"/>
  <c r="Q2653" i="31"/>
  <c r="Q2652" i="31"/>
  <c r="Q2650" i="31"/>
  <c r="Q2651" i="31"/>
  <c r="Q2649" i="31"/>
  <c r="Q2648" i="31"/>
  <c r="Q2647" i="31"/>
  <c r="Q2645" i="31"/>
  <c r="Q2641" i="31"/>
  <c r="Q2637" i="31"/>
  <c r="Q2636" i="31"/>
  <c r="Q2633" i="31"/>
  <c r="Q2634" i="31"/>
  <c r="Q2635" i="31"/>
  <c r="Q2632" i="31"/>
  <c r="Q2630" i="31"/>
  <c r="Q2628" i="31"/>
  <c r="Q2627" i="31"/>
  <c r="Q2626" i="31"/>
  <c r="Q2623" i="31"/>
  <c r="Q2622" i="31"/>
  <c r="Q2620" i="31"/>
  <c r="Q2619" i="31"/>
  <c r="Q2618" i="31"/>
  <c r="Q2617" i="31"/>
  <c r="Q2615" i="31"/>
  <c r="Q2614" i="31"/>
  <c r="Q2613" i="31"/>
  <c r="Q2612" i="31"/>
  <c r="Q2608" i="31"/>
  <c r="Q2607" i="31"/>
  <c r="Q2605" i="31"/>
  <c r="Q2606" i="31"/>
  <c r="Q2604" i="31"/>
  <c r="Q2603" i="31"/>
  <c r="Q2599" i="31"/>
  <c r="Q2600" i="31"/>
  <c r="Q2598" i="31"/>
  <c r="Q2597" i="31"/>
  <c r="Q2596" i="31"/>
  <c r="Q2595" i="31"/>
  <c r="Q2593" i="31"/>
  <c r="Q2591" i="31"/>
  <c r="Q2589" i="31"/>
  <c r="Q2588" i="31"/>
  <c r="Q2583" i="31"/>
  <c r="Q2582" i="31"/>
  <c r="Q2579" i="31"/>
  <c r="Q2578" i="31"/>
  <c r="Q2577" i="31" l="1"/>
  <c r="Q2575" i="31"/>
  <c r="Q2573" i="31"/>
  <c r="Q2572" i="31" l="1"/>
  <c r="Q2569" i="31"/>
  <c r="Q2567" i="31"/>
  <c r="Q2566" i="31"/>
  <c r="Q2565" i="31"/>
  <c r="Q2564" i="31"/>
  <c r="Q2563" i="31"/>
  <c r="Q2562" i="31"/>
  <c r="Q2561" i="31"/>
  <c r="Q2560" i="31"/>
  <c r="Q2558" i="31"/>
  <c r="Q2557" i="31"/>
  <c r="Q2555" i="31"/>
  <c r="Q2554" i="31"/>
  <c r="Q2553" i="31" l="1"/>
  <c r="Q2552" i="31"/>
  <c r="Q2551" i="31"/>
  <c r="Q2548" i="31"/>
  <c r="Q2547" i="31"/>
  <c r="Q2546" i="31"/>
  <c r="Q2545" i="31"/>
  <c r="Q2544" i="31"/>
  <c r="Q2543" i="31"/>
  <c r="Q2542" i="31"/>
  <c r="Q2541" i="31"/>
  <c r="Q2540" i="31"/>
  <c r="Q2539" i="31"/>
  <c r="Q2538" i="31"/>
  <c r="Q2537" i="31"/>
  <c r="Q2536" i="31"/>
  <c r="Q2535" i="31"/>
  <c r="Q2533" i="31"/>
  <c r="Q2532" i="31"/>
  <c r="Q2531" i="31"/>
  <c r="Q2527" i="31" l="1"/>
  <c r="Q2525" i="31"/>
  <c r="Q2524" i="31"/>
  <c r="Q2523" i="31"/>
  <c r="Q2522" i="31"/>
  <c r="Q2521" i="31"/>
  <c r="Q2520" i="31"/>
  <c r="Q2519" i="31"/>
  <c r="Q2518" i="31"/>
  <c r="Q2517" i="31"/>
  <c r="Q2516" i="31"/>
  <c r="Q2515" i="31"/>
  <c r="Q2514" i="31"/>
  <c r="Q2513" i="31"/>
  <c r="Q2512" i="31"/>
  <c r="Q2511" i="31"/>
  <c r="Q2510" i="31"/>
  <c r="Q2509" i="31"/>
  <c r="Q2508" i="31"/>
  <c r="Q2499" i="31"/>
  <c r="Q2498" i="31"/>
  <c r="Q2497" i="31"/>
  <c r="Q2496" i="31"/>
  <c r="Q2495" i="31"/>
  <c r="Q2494" i="31"/>
  <c r="Q2493" i="31"/>
  <c r="Q2492" i="31"/>
  <c r="Q2490" i="31"/>
  <c r="Q2489" i="31"/>
  <c r="Q2488" i="31"/>
  <c r="Q2481" i="31"/>
  <c r="Q2480" i="31"/>
  <c r="Q2479" i="31"/>
  <c r="Q2478" i="31"/>
  <c r="Q2477" i="31"/>
  <c r="Q2476" i="31"/>
  <c r="Q2475" i="31"/>
  <c r="Q2473" i="31"/>
  <c r="Q2468" i="31"/>
  <c r="Q2464" i="31"/>
  <c r="Q2383" i="31"/>
  <c r="Q2384" i="31"/>
  <c r="Q2385" i="31"/>
  <c r="Q2386" i="31"/>
  <c r="Q2387" i="31"/>
  <c r="Q2388" i="31"/>
  <c r="Q2389" i="31"/>
  <c r="Q2390" i="31"/>
  <c r="Q2391" i="31"/>
  <c r="Q2392" i="31"/>
  <c r="Q2393" i="31"/>
  <c r="Q2394" i="31"/>
  <c r="Q2395" i="31"/>
  <c r="Q2396" i="31"/>
  <c r="Q2397" i="31"/>
  <c r="Q2398" i="31"/>
  <c r="Q2399" i="31"/>
  <c r="Q2401" i="31"/>
  <c r="Q2403" i="31"/>
  <c r="Q2404" i="31"/>
  <c r="Q2407" i="31"/>
  <c r="Q2408" i="31"/>
  <c r="Q2411" i="31"/>
  <c r="Q2413" i="31"/>
  <c r="Q2414" i="31"/>
  <c r="Q2415" i="31"/>
  <c r="Q2416" i="31"/>
  <c r="Q2417" i="31"/>
  <c r="Q2421" i="31"/>
  <c r="Q2422" i="31"/>
  <c r="Q2424" i="31"/>
  <c r="Q2425" i="31"/>
  <c r="Q2426" i="31"/>
  <c r="Q2428" i="31"/>
  <c r="Q2429" i="31"/>
  <c r="Q2430" i="31"/>
  <c r="Q2431" i="31"/>
  <c r="Q2432" i="31"/>
  <c r="Q2433" i="31"/>
  <c r="Q2434" i="31"/>
  <c r="Q2435" i="31"/>
  <c r="Q2436" i="31"/>
  <c r="Q2437" i="31"/>
  <c r="Q2439" i="31"/>
  <c r="Q2440" i="31"/>
  <c r="Q2441" i="31"/>
  <c r="Q2442" i="31"/>
  <c r="Q2443" i="31"/>
  <c r="Q2444" i="31"/>
  <c r="Q2445" i="31"/>
  <c r="Q2446" i="31"/>
  <c r="Q2447" i="31"/>
  <c r="Q2450" i="31"/>
  <c r="Q2457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Linhares Cruz, Jackson (IG/S-31, extern)</author>
    <author>tc={066F76F3-61C7-411B-98EB-B9FF908D6A39}</author>
  </authors>
  <commentList>
    <comment ref="P2705" authorId="0" shapeId="0" xr:uid="{7EDDBFB3-707A-4CCA-9492-34A154BFDE15}">
      <text>
        <r>
          <rPr>
            <b/>
            <sz val="9"/>
            <color indexed="81"/>
            <rFont val="Tahoma"/>
            <family val="2"/>
          </rPr>
          <t>Linhares Cruz, Jackson (IG/S-31, extern):</t>
        </r>
        <r>
          <rPr>
            <sz val="9"/>
            <color indexed="81"/>
            <rFont val="Tahoma"/>
            <family val="2"/>
          </rPr>
          <t xml:space="preserve">
Ciao,
DISTRIBUTION NUMBER:    MJS-2023-55373-6213-ITAEA-RA75542 
ACTIVATION CODE:             WNN9F-9DN92-17AF3-D1NL
Il file di Licenza l’ho inoltrato in una mail separata.
Grazie,
Andrea
</t>
        </r>
      </text>
    </comment>
    <comment ref="B2734" authorId="0" shapeId="0" xr:uid="{02826F18-C727-4168-B055-C6BA074ED142}">
      <text>
        <r>
          <rPr>
            <b/>
            <sz val="9"/>
            <color indexed="81"/>
            <rFont val="Tahoma"/>
            <family val="2"/>
          </rPr>
          <t>Linhares Cruz, Jackson (IG/S-31, extern):</t>
        </r>
        <r>
          <rPr>
            <sz val="9"/>
            <color indexed="81"/>
            <rFont val="Tahoma"/>
            <family val="2"/>
          </rPr>
          <t xml:space="preserve">
parte burocratica ok</t>
        </r>
      </text>
    </comment>
    <comment ref="B2744" authorId="0" shapeId="0" xr:uid="{E30FC26E-0413-4149-B52E-7CCA5C0F4206}">
      <text>
        <r>
          <rPr>
            <b/>
            <sz val="9"/>
            <color indexed="81"/>
            <rFont val="Tahoma"/>
            <family val="2"/>
          </rPr>
          <t>Linhares Cruz, Jackson (IG/S-31, extern):</t>
        </r>
        <r>
          <rPr>
            <sz val="9"/>
            <color indexed="81"/>
            <rFont val="Tahoma"/>
            <family val="2"/>
          </rPr>
          <t xml:space="preserve">
Ciao Jackson,
Cortesemente prepara due Office e senti D Esposito, Barbara (IG/SH-2) e Baffo, Alessandra (IG/SH-2) per cambiare il loro CAD con un Office. I loro attuali PC li ritiri entrambe e gli dici che per le loro esigenze CAD di parlarne con me.
Grazie!
Fatti restituire anche le docking e gli dai quelle Lenovo.
 </t>
        </r>
      </text>
    </comment>
    <comment ref="B2745" authorId="0" shapeId="0" xr:uid="{BB7FAE0C-6724-474E-B96F-9877397255FF}">
      <text>
        <r>
          <rPr>
            <b/>
            <sz val="9"/>
            <color indexed="81"/>
            <rFont val="Tahoma"/>
            <family val="2"/>
          </rPr>
          <t>Linhares Cruz, Jackson (IG/S-31, extern):</t>
        </r>
        <r>
          <rPr>
            <sz val="9"/>
            <color indexed="81"/>
            <rFont val="Tahoma"/>
            <family val="2"/>
          </rPr>
          <t xml:space="preserve">
Ciao Jackson,
Cortesemente prepara due Office e senti D Esposito, Barbara (IG/SH-2) e Baffo, Alessandra (IG/SH-2) per cambiare il loro CAD con un Office. I loro attuali PC li ritiri entrambe e gli dici che per le loro esigenze CAD di parlarne con me.
Grazie!
Fatti restituire anche le docking e gli dai quelle Lenovo.
 </t>
        </r>
      </text>
    </comment>
    <comment ref="B2754" authorId="0" shapeId="0" xr:uid="{862A5471-0D07-41D4-9B96-FA86EEE61A1E}">
      <text>
        <r>
          <rPr>
            <b/>
            <sz val="9"/>
            <color indexed="81"/>
            <rFont val="Tahoma"/>
            <family val="2"/>
          </rPr>
          <t>Linhares Cruz, Jackson (IG/S-31, extern):</t>
        </r>
        <r>
          <rPr>
            <sz val="9"/>
            <color indexed="81"/>
            <rFont val="Tahoma"/>
            <family val="2"/>
          </rPr>
          <t xml:space="preserve">
parte burocratica ok
</t>
        </r>
      </text>
    </comment>
    <comment ref="H2757" authorId="0" shapeId="0" xr:uid="{FC18D476-B5C9-443D-86B8-F691299EBBAF}">
      <text>
        <r>
          <rPr>
            <b/>
            <sz val="9"/>
            <color indexed="81"/>
            <rFont val="Tahoma"/>
            <family val="2"/>
          </rPr>
          <t>Linhares Cruz, Jackson (IG/S-31, extern):</t>
        </r>
        <r>
          <rPr>
            <sz val="9"/>
            <color indexed="81"/>
            <rFont val="Tahoma"/>
            <family val="2"/>
          </rPr>
          <t xml:space="preserve">
Serial: PF54WZYN
Modello: 21F3S45K02
SKU Numer: LENOVO_MT_21F3_BU_Think_FM_ThinkPad X13 Yoga Gen 4</t>
        </r>
      </text>
    </comment>
    <comment ref="B2759" authorId="0" shapeId="0" xr:uid="{8500CB6B-1FFE-4C70-8252-18FEB1C29FAC}">
      <text>
        <r>
          <rPr>
            <b/>
            <sz val="9"/>
            <color indexed="81"/>
            <rFont val="Tahoma"/>
            <family val="2"/>
          </rPr>
          <t>Linhares Cruz, Jackson (IG/S-31, extern):</t>
        </r>
        <r>
          <rPr>
            <sz val="9"/>
            <color indexed="81"/>
            <rFont val="Tahoma"/>
            <family val="2"/>
          </rPr>
          <t xml:space="preserve">
parte burocratica ok</t>
        </r>
      </text>
    </comment>
    <comment ref="P2763" authorId="1" shapeId="0" xr:uid="{066F76F3-61C7-411B-98EB-B9FF908D6A3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Inoltre devo lanciare questo comando con i diritti di admin per abilitare il tracciamento di una centralina:
“netsh int ipv6 set global flowlabel=disabled”</t>
      </text>
    </comment>
    <comment ref="O2768" authorId="0" shapeId="0" xr:uid="{B026FFE6-162F-428C-BE7E-363B84A251BB}">
      <text>
        <r>
          <rPr>
            <b/>
            <sz val="9"/>
            <color indexed="81"/>
            <rFont val="Tahoma"/>
            <family val="2"/>
          </rPr>
          <t>Linhares Cruz, Jackson (IG/S-31, extern):</t>
        </r>
        <r>
          <rPr>
            <sz val="9"/>
            <color indexed="81"/>
            <rFont val="Tahoma"/>
            <family val="2"/>
          </rPr>
          <t xml:space="preserve">
Manca invio documento delivery
</t>
        </r>
      </text>
    </comment>
    <comment ref="B2850" authorId="0" shapeId="0" xr:uid="{EF3104A4-4E54-46EC-B087-13EB999E4818}">
      <text>
        <r>
          <rPr>
            <b/>
            <sz val="9"/>
            <color indexed="81"/>
            <rFont val="Tahoma"/>
            <family val="2"/>
          </rPr>
          <t>Linhares Cruz, Jackson (IG/S-31, extern):</t>
        </r>
        <r>
          <rPr>
            <sz val="9"/>
            <color indexed="81"/>
            <rFont val="Tahoma"/>
            <family val="2"/>
          </rPr>
          <t xml:space="preserve">
Pc spedito a Nichelino.
Manca inviare il documento delivery e prendere dietro il 69471
te lo faccio avere in settimana, dovrei rientrare domani. l'importante che consegni l'altro
 </t>
        </r>
      </text>
    </comment>
    <comment ref="B2877" authorId="0" shapeId="0" xr:uid="{F9EAE17D-203D-4920-88ED-EF2C494DB36F}">
      <text>
        <r>
          <rPr>
            <b/>
            <sz val="9"/>
            <color indexed="81"/>
            <rFont val="Tahoma"/>
            <family val="2"/>
          </rPr>
          <t>Linhares Cruz, Jackson (IG/S-31, extern):</t>
        </r>
        <r>
          <rPr>
            <sz val="9"/>
            <color indexed="81"/>
            <rFont val="Tahoma"/>
            <family val="2"/>
          </rPr>
          <t xml:space="preserve">
Modello: 21K4S26302
Seriale: PF53EKCQ
SKU Number: LENOVO_MT_21K4_BU_Think_FM_ThinkPad T14 Gen 4</t>
        </r>
      </text>
    </comment>
  </commentList>
</comments>
</file>

<file path=xl/sharedStrings.xml><?xml version="1.0" encoding="utf-8"?>
<sst xmlns="http://schemas.openxmlformats.org/spreadsheetml/2006/main" count="38343" uniqueCount="12541">
  <si>
    <t>HP Z8</t>
  </si>
  <si>
    <t>--</t>
  </si>
  <si>
    <t>Brand</t>
  </si>
  <si>
    <t>Model</t>
  </si>
  <si>
    <t>Note</t>
  </si>
  <si>
    <t>Dell</t>
  </si>
  <si>
    <t>In corso</t>
  </si>
  <si>
    <t>Latitude 6430U</t>
  </si>
  <si>
    <t>OptiPlex 3010</t>
  </si>
  <si>
    <t>ITDGTOC00058845</t>
  </si>
  <si>
    <t>HP</t>
  </si>
  <si>
    <t>ITDGTOC00059085</t>
  </si>
  <si>
    <t>ITDGTOC00060158</t>
  </si>
  <si>
    <t>HP Z840 Workstation</t>
  </si>
  <si>
    <t>ITDGTOC00060160</t>
  </si>
  <si>
    <t>ITDGTOC00060182</t>
  </si>
  <si>
    <t>ITDGTOC00060186</t>
  </si>
  <si>
    <t>ITDGTOC00060187</t>
  </si>
  <si>
    <t>ITDGTOC00060196</t>
  </si>
  <si>
    <t>ITDGTOC00060200</t>
  </si>
  <si>
    <t>ITDGTOC00060208</t>
  </si>
  <si>
    <t>ITDGTOC00060210</t>
  </si>
  <si>
    <t>HP Z440 Workstation</t>
  </si>
  <si>
    <t>ITDGTOC00060212</t>
  </si>
  <si>
    <t>ITDGTOC00060214</t>
  </si>
  <si>
    <t>ITDGTOC00060215</t>
  </si>
  <si>
    <t>ITDGTOC00065042</t>
  </si>
  <si>
    <t>ITDGTOC00068594</t>
  </si>
  <si>
    <t>ITDGTOC00068595</t>
  </si>
  <si>
    <t>ITDGTOC00068596</t>
  </si>
  <si>
    <t>ITDGTOC00068597</t>
  </si>
  <si>
    <t>ITDGTOC00068598</t>
  </si>
  <si>
    <t>ITDGTOC00068772</t>
  </si>
  <si>
    <t>ITDGTOL00058593</t>
  </si>
  <si>
    <t>ITDGTOL00058904</t>
  </si>
  <si>
    <t>HP EliteBook Folio 9470m</t>
  </si>
  <si>
    <t>HP Z420 Workstation</t>
  </si>
  <si>
    <t>ITDGTOL00059072</t>
  </si>
  <si>
    <t>ITDGTOL00059100</t>
  </si>
  <si>
    <t>ITDGTOL00059101</t>
  </si>
  <si>
    <t>HP EliteBook 840 G1</t>
  </si>
  <si>
    <t>ITDGTOL00059377</t>
  </si>
  <si>
    <t>ITDGTOL00059394</t>
  </si>
  <si>
    <t>ITDGTOL00059397</t>
  </si>
  <si>
    <t>ITDGTOL00059809</t>
  </si>
  <si>
    <t>ITDGTOL00059815</t>
  </si>
  <si>
    <t>ITDGTOL00059832</t>
  </si>
  <si>
    <t>ITDGTOL00059835</t>
  </si>
  <si>
    <t>ITDGTOL00060033</t>
  </si>
  <si>
    <t>HP ZBook 15 G2</t>
  </si>
  <si>
    <t>ITDGTOL00060044</t>
  </si>
  <si>
    <t>ITDGTOL00060249</t>
  </si>
  <si>
    <t>HP EliteBook 840 G3</t>
  </si>
  <si>
    <t>ITDGTOL00063878</t>
  </si>
  <si>
    <t>ITDGTOL00063894</t>
  </si>
  <si>
    <t>ITDGTOL00064567</t>
  </si>
  <si>
    <t>HP ZBook 15 G3</t>
  </si>
  <si>
    <t>ITDGTOL00064572</t>
  </si>
  <si>
    <t>ITDGTOL00064573</t>
  </si>
  <si>
    <t>ITDGTOL00064585</t>
  </si>
  <si>
    <t>ITDGTOL00064697</t>
  </si>
  <si>
    <t>ITDGTOL00064827</t>
  </si>
  <si>
    <t>ITDGTOL00064845</t>
  </si>
  <si>
    <t>ITDGTOL00064846</t>
  </si>
  <si>
    <t>ITDGTOL00064852</t>
  </si>
  <si>
    <t>ITDGTOL00065016</t>
  </si>
  <si>
    <t>ITDGTOL00065019</t>
  </si>
  <si>
    <t>ITDGTOL00065027</t>
  </si>
  <si>
    <t>EliteBook</t>
  </si>
  <si>
    <t>ITDGTOL00065136</t>
  </si>
  <si>
    <t>ITDGTOL00065144</t>
  </si>
  <si>
    <t>ITDGTOL00065506</t>
  </si>
  <si>
    <t>ITDGTOL00065508</t>
  </si>
  <si>
    <t>ITDGTOL00065612</t>
  </si>
  <si>
    <t>ITDGTOL00065732</t>
  </si>
  <si>
    <t>hp</t>
  </si>
  <si>
    <t>ITDGTOL00065733</t>
  </si>
  <si>
    <t>ITDGTOL00065734</t>
  </si>
  <si>
    <t>ITDGTOL00065735</t>
  </si>
  <si>
    <t>ITDGTOL00065738</t>
  </si>
  <si>
    <t>ITDGTOL00065740</t>
  </si>
  <si>
    <t>ITDGTOL00065741</t>
  </si>
  <si>
    <t>ITDGTOL00065742</t>
  </si>
  <si>
    <t>ITDGTOL00065743</t>
  </si>
  <si>
    <t>ITDGTOL00065744</t>
  </si>
  <si>
    <t>ITDGTOL00065745</t>
  </si>
  <si>
    <t>ITDGTOL00065747</t>
  </si>
  <si>
    <t>ITDGTOL00065749</t>
  </si>
  <si>
    <t>ITDGTOL00065750</t>
  </si>
  <si>
    <t>ITDGTOL00065751</t>
  </si>
  <si>
    <t>ITDGTOL00065752</t>
  </si>
  <si>
    <t>ITDGTOL00065753</t>
  </si>
  <si>
    <t>ITDGTOL00065758</t>
  </si>
  <si>
    <t>ITDGTOL00065762</t>
  </si>
  <si>
    <t>ITDGTOL00065763</t>
  </si>
  <si>
    <t>ITDGTOL00065764</t>
  </si>
  <si>
    <t>ITDGTOL00065766</t>
  </si>
  <si>
    <t>ITDGTOL00065768</t>
  </si>
  <si>
    <t>ITDGTOL00065769</t>
  </si>
  <si>
    <t>ITDGTOL00065937</t>
  </si>
  <si>
    <t>ITDGTOL00065938</t>
  </si>
  <si>
    <t>ITDGTOL00065940</t>
  </si>
  <si>
    <t>ITDGTOL00065941</t>
  </si>
  <si>
    <t>ITDGTOL00065942</t>
  </si>
  <si>
    <t>ITDGTOL00065943</t>
  </si>
  <si>
    <t>ITDGTOL00065945</t>
  </si>
  <si>
    <t>ITDGTOL00068216</t>
  </si>
  <si>
    <t>HP ZBook 15 G4</t>
  </si>
  <si>
    <t>ITDGTOL00068217</t>
  </si>
  <si>
    <t>ITDGTOL00068219</t>
  </si>
  <si>
    <t>ITDGTOL00068221</t>
  </si>
  <si>
    <t>ITDGTOL00068222</t>
  </si>
  <si>
    <t>ITDGTOL00068224</t>
  </si>
  <si>
    <t>ITDGTOL00068225</t>
  </si>
  <si>
    <t>ITDGTOL00068226</t>
  </si>
  <si>
    <t>ITDGTOL00068228</t>
  </si>
  <si>
    <t>ITDGTOL00068230</t>
  </si>
  <si>
    <t>ITDGTOL00068233</t>
  </si>
  <si>
    <t>ITDGTOL00068235</t>
  </si>
  <si>
    <t>ITDGTOL00068237</t>
  </si>
  <si>
    <t>ITDGTOL00068240</t>
  </si>
  <si>
    <t>ITDGTOL00068243</t>
  </si>
  <si>
    <t>ITDGTOL00068244</t>
  </si>
  <si>
    <t>ITDGTOL00068245</t>
  </si>
  <si>
    <t>ITDGTOL00068246</t>
  </si>
  <si>
    <t>ITDGTOL00068248</t>
  </si>
  <si>
    <t>ITDGTOL00068249</t>
  </si>
  <si>
    <t>ITDGTOL00068252</t>
  </si>
  <si>
    <t>ITDGTOL00068256</t>
  </si>
  <si>
    <t>ITDGTOL00068257</t>
  </si>
  <si>
    <t>ITDGTOL00068258</t>
  </si>
  <si>
    <t>ITDGTOL00068262</t>
  </si>
  <si>
    <t>ITDGTOL00068263</t>
  </si>
  <si>
    <t>ITDGTOL00068264</t>
  </si>
  <si>
    <t>ITDGTOL00068348</t>
  </si>
  <si>
    <t>ITDGTOL00068349</t>
  </si>
  <si>
    <t>ITDGTOL00068350</t>
  </si>
  <si>
    <t>ITDGTOL00068352</t>
  </si>
  <si>
    <t>ITDGTOL00068357</t>
  </si>
  <si>
    <t>ITDGTOL00068361</t>
  </si>
  <si>
    <t>HP EliteBook 840 G5</t>
  </si>
  <si>
    <t>ITDGTOL00068422</t>
  </si>
  <si>
    <t>ITDGTOL00068427</t>
  </si>
  <si>
    <t>ITDGTOL00068429</t>
  </si>
  <si>
    <t>ITDGTOL00068791</t>
  </si>
  <si>
    <t>ITDGTOL00068793</t>
  </si>
  <si>
    <t>ITDGTOL00068795</t>
  </si>
  <si>
    <t>ITDGTOL00068796</t>
  </si>
  <si>
    <t>ITDGTOL00068798</t>
  </si>
  <si>
    <t>ITDGTOL00068800</t>
  </si>
  <si>
    <t>ITDGTOL00068801</t>
  </si>
  <si>
    <t>ITDGTOL00068802</t>
  </si>
  <si>
    <t>ITDGTOL00068805</t>
  </si>
  <si>
    <t>ITDGTOL00068807</t>
  </si>
  <si>
    <t>ITDGTOL00068808</t>
  </si>
  <si>
    <t>ITDGTOL00068809</t>
  </si>
  <si>
    <t>ITDGTOL00068813</t>
  </si>
  <si>
    <t>ITDGTOL00068933</t>
  </si>
  <si>
    <t>ITDGTOL00068935</t>
  </si>
  <si>
    <t>ITDGTOL00068941</t>
  </si>
  <si>
    <t>ITDGTOL00068943</t>
  </si>
  <si>
    <t>ITDGTOL00069079</t>
  </si>
  <si>
    <t>ITDGTOL00069083</t>
  </si>
  <si>
    <t>ITDGTOL00069142</t>
  </si>
  <si>
    <t>ITDGTOL00069167</t>
  </si>
  <si>
    <t>ITDGTOL00069186</t>
  </si>
  <si>
    <t>ITDGTOL00069188</t>
  </si>
  <si>
    <t>HP ZBook 15 G5</t>
  </si>
  <si>
    <t>ITDGTOL00069189</t>
  </si>
  <si>
    <t>ITDGTOL00069190</t>
  </si>
  <si>
    <t>ITDGTOL00069192</t>
  </si>
  <si>
    <t>ITDGTOL00069193</t>
  </si>
  <si>
    <t>ITDGTOL00069194</t>
  </si>
  <si>
    <t>ITDGTOL00069196</t>
  </si>
  <si>
    <t>ITDGTOL00069197</t>
  </si>
  <si>
    <t>ITDGTOL00069206</t>
  </si>
  <si>
    <t>ITDGTOL00069208</t>
  </si>
  <si>
    <t>ITDGTOL00069209</t>
  </si>
  <si>
    <t>ITDGTOL00069210</t>
  </si>
  <si>
    <t>ITDGTOL00069212</t>
  </si>
  <si>
    <t>ITDGTOL00069216</t>
  </si>
  <si>
    <t>ITDGTOL00069277</t>
  </si>
  <si>
    <t>ITDGTOL00069278</t>
  </si>
  <si>
    <t>ITDGTOL00069281</t>
  </si>
  <si>
    <t>ITDGTOL00069283</t>
  </si>
  <si>
    <t>ITDGTOL00069284</t>
  </si>
  <si>
    <t>ITDGTOL00069292</t>
  </si>
  <si>
    <t>ITDGTOL00069304</t>
  </si>
  <si>
    <t>ITDGTOL00069309</t>
  </si>
  <si>
    <t>ITDGTOL00069391</t>
  </si>
  <si>
    <t>HP EliteBook 840 G6</t>
  </si>
  <si>
    <t>ITDGTOL00069392</t>
  </si>
  <si>
    <t>ITDGTOL00069393</t>
  </si>
  <si>
    <t>ITDGTOL00069394</t>
  </si>
  <si>
    <t>ITDGTOL00069401</t>
  </si>
  <si>
    <t>ITDGTOL00069402</t>
  </si>
  <si>
    <t>ITDGTOL00069403</t>
  </si>
  <si>
    <t>ITDGTOL00069406</t>
  </si>
  <si>
    <t>ITDGTOL00069410</t>
  </si>
  <si>
    <t>ITDGTOL00069411</t>
  </si>
  <si>
    <t>ITDGTOL00069417</t>
  </si>
  <si>
    <t>ITDGTOL00069423</t>
  </si>
  <si>
    <t>ITDGTOL00069424</t>
  </si>
  <si>
    <t>ITDGTOL00069425</t>
  </si>
  <si>
    <t>ITDGTOL00069430</t>
  </si>
  <si>
    <t>ITDGTOL00069432</t>
  </si>
  <si>
    <t>ITDGTOL00069433</t>
  </si>
  <si>
    <t>ITDGTOL00069434</t>
  </si>
  <si>
    <t>ITDGTOL00069436</t>
  </si>
  <si>
    <t>ITDGTOL00069437</t>
  </si>
  <si>
    <t>ITDGTOL00069438</t>
  </si>
  <si>
    <t>ITDGTOL00069441</t>
  </si>
  <si>
    <t>ITDGTOL00069442</t>
  </si>
  <si>
    <t>ITDGTOL00069443</t>
  </si>
  <si>
    <t>ITDGTOL00069456</t>
  </si>
  <si>
    <t>ITDGTOL00069463</t>
  </si>
  <si>
    <t>ITDGTOL00069464</t>
  </si>
  <si>
    <t>ITDGTOL00069468</t>
  </si>
  <si>
    <t>ITDGTOL00069602</t>
  </si>
  <si>
    <t>ITDGTOL00069603</t>
  </si>
  <si>
    <t>ITDGTOL00069606</t>
  </si>
  <si>
    <t>ITDGTOL00069607</t>
  </si>
  <si>
    <t>ITDGTOL00069609</t>
  </si>
  <si>
    <t>ITDGTOL00069610</t>
  </si>
  <si>
    <t>ITDGTOL00069613</t>
  </si>
  <si>
    <t>ITDGTOL00069616</t>
  </si>
  <si>
    <t>ITDGTOL00069619</t>
  </si>
  <si>
    <t>ITDGTOL00069620</t>
  </si>
  <si>
    <t>ITDGTOL00069621</t>
  </si>
  <si>
    <t>ITDGTOL00069626</t>
  </si>
  <si>
    <t>ITDGTOL00069627</t>
  </si>
  <si>
    <t>ITDGTOL00069628</t>
  </si>
  <si>
    <t>ITDGTOL00069631</t>
  </si>
  <si>
    <t>ITDGTOL00069633</t>
  </si>
  <si>
    <t>ITDGTOL00069634</t>
  </si>
  <si>
    <t>ITDGTOL00069638</t>
  </si>
  <si>
    <t>ITDGTOL00069640</t>
  </si>
  <si>
    <t>ITDGTOL00069641</t>
  </si>
  <si>
    <t>ITDGTOL00069642</t>
  </si>
  <si>
    <t>ITDGTOL00069645</t>
  </si>
  <si>
    <t>ITDGTOL00069648</t>
  </si>
  <si>
    <t>ITDGTOL00069741</t>
  </si>
  <si>
    <t>HP ZBook 15 G6</t>
  </si>
  <si>
    <t>ITDGTOL00069788</t>
  </si>
  <si>
    <t>Zbook</t>
  </si>
  <si>
    <t>ITDGTOL00069819</t>
  </si>
  <si>
    <t>ITDGTOL00069821</t>
  </si>
  <si>
    <t>ITDGTOL00069826</t>
  </si>
  <si>
    <t>ITDGTOL00069866</t>
  </si>
  <si>
    <t>ITDGTOL00070444</t>
  </si>
  <si>
    <t>ITDGTOL00070489</t>
  </si>
  <si>
    <t>ITDGTOL00070490</t>
  </si>
  <si>
    <t>ITDGTOL00070520</t>
  </si>
  <si>
    <t>ITDGTOL00070555</t>
  </si>
  <si>
    <t>ITDGTOL00070601</t>
  </si>
  <si>
    <t>ITDGTOL00070611</t>
  </si>
  <si>
    <t>ITDGTOL00070621</t>
  </si>
  <si>
    <t>ITDGTOL00070630</t>
  </si>
  <si>
    <t>ITDGTOL00070659</t>
  </si>
  <si>
    <t>ITDGTOL00070669</t>
  </si>
  <si>
    <t>ITDGTOL00070673</t>
  </si>
  <si>
    <t>ITDGTOL00070679</t>
  </si>
  <si>
    <t>ITDGTOL00070682</t>
  </si>
  <si>
    <t>ITDGTOL00070691</t>
  </si>
  <si>
    <t>ITDGTOL00070697</t>
  </si>
  <si>
    <t>ITDGTOL00070703</t>
  </si>
  <si>
    <t>ITDGTOL00070709</t>
  </si>
  <si>
    <t>ITDGTOL00070712</t>
  </si>
  <si>
    <t>ITDGTOL00070715</t>
  </si>
  <si>
    <t>ITDGTOL00070716</t>
  </si>
  <si>
    <t>ITDGTOL00070761</t>
  </si>
  <si>
    <t>ITDGTOL00070762</t>
  </si>
  <si>
    <t>ITDGTOL00070770</t>
  </si>
  <si>
    <t>ITDGTOL00070772</t>
  </si>
  <si>
    <t>ITDGTOL00070953</t>
  </si>
  <si>
    <t>ITDGTOL00070956</t>
  </si>
  <si>
    <t>ITDGTOL00070964</t>
  </si>
  <si>
    <t>ITDGTOL00070966</t>
  </si>
  <si>
    <t>ITDGTOL00070970</t>
  </si>
  <si>
    <t>ITDGTOL00070978</t>
  </si>
  <si>
    <t>ITDGTOL00070984</t>
  </si>
  <si>
    <t>ITDGTOL00070986</t>
  </si>
  <si>
    <t>ITDGTOL00070991</t>
  </si>
  <si>
    <t>ITDGTOL00071206</t>
  </si>
  <si>
    <t>ITDGTOL00071207</t>
  </si>
  <si>
    <t>ITDGTOL00071212</t>
  </si>
  <si>
    <t>ITDGTOL00071213</t>
  </si>
  <si>
    <t>ITDGTOL00071219</t>
  </si>
  <si>
    <t>ITDGTOL00071223</t>
  </si>
  <si>
    <t>ITDGTOL00071233</t>
  </si>
  <si>
    <t>ITDGTOL00071241</t>
  </si>
  <si>
    <t>ITDGTOL00071250</t>
  </si>
  <si>
    <t>ITDGTOL00071253</t>
  </si>
  <si>
    <t>ITDGTOL00071372</t>
  </si>
  <si>
    <t>ITDGTOL00071375</t>
  </si>
  <si>
    <t>ITDGTOL00071376</t>
  </si>
  <si>
    <t>ITDGTOL00071379</t>
  </si>
  <si>
    <t>ITDGTOL00071387</t>
  </si>
  <si>
    <t>ITDGTOL00071389</t>
  </si>
  <si>
    <t>ITDGTOL00071527</t>
  </si>
  <si>
    <t>ITDGTOL00071544</t>
  </si>
  <si>
    <t>ITDGTOL00071561</t>
  </si>
  <si>
    <t>ITDGTOL00072241</t>
  </si>
  <si>
    <t>ITDGTOL00072254</t>
  </si>
  <si>
    <t>ITDGTOL00072269</t>
  </si>
  <si>
    <t>ITDGTOL00072274</t>
  </si>
  <si>
    <t>ITDGTOL00072751</t>
  </si>
  <si>
    <t>ITDGTOL00072922</t>
  </si>
  <si>
    <t>ITDGTOL00073116</t>
  </si>
  <si>
    <t>ITDGTOL00073122</t>
  </si>
  <si>
    <t>ITDGTOL00073301</t>
  </si>
  <si>
    <t>ITDGTOL00073455</t>
  </si>
  <si>
    <t>ITDGTOL00073470</t>
  </si>
  <si>
    <t>ITDGTOL00076117</t>
  </si>
  <si>
    <t>ITDGTOL00070717</t>
  </si>
  <si>
    <t>ITDGTOL00070685</t>
  </si>
  <si>
    <t>ITDGTOL00069644</t>
  </si>
  <si>
    <t>ITDGTOL00070965</t>
  </si>
  <si>
    <t>ZBook Fury 15 G7</t>
  </si>
  <si>
    <t>ITDGTOL00068239</t>
  </si>
  <si>
    <t>ITDGTOL00070765</t>
  </si>
  <si>
    <t>ITDGTOL00068356</t>
  </si>
  <si>
    <t>ITDGTOL00068247</t>
  </si>
  <si>
    <t>ITDGTOL00068223</t>
  </si>
  <si>
    <t>ITDGTOL00069747</t>
  </si>
  <si>
    <t>ITDGTOL00070979</t>
  </si>
  <si>
    <t>ITDGTOL00069472</t>
  </si>
  <si>
    <t>ITDGTOL00072251</t>
  </si>
  <si>
    <t>ITDGTOL00068806</t>
  </si>
  <si>
    <t>ITDGTOL00063886</t>
  </si>
  <si>
    <t>ITDGTOL00069414</t>
  </si>
  <si>
    <t>EliteBook 840 G7</t>
  </si>
  <si>
    <t>SI</t>
  </si>
  <si>
    <t>NO</t>
  </si>
  <si>
    <t>Wacom Cintiq 24'' HD</t>
  </si>
  <si>
    <t>Scorta</t>
  </si>
  <si>
    <t>LETTERE LOGIN</t>
  </si>
  <si>
    <t>Situazione Login</t>
  </si>
  <si>
    <t>FoglioConsegnaMacchina_Office</t>
  </si>
  <si>
    <t>FOGLIO CONSEGNA MACCHINA OFFICE LENOVO</t>
  </si>
  <si>
    <t>FOGLIO CONSEGNA MACCHINA CAD</t>
  </si>
  <si>
    <t>Richiesta DDT</t>
  </si>
  <si>
    <t>Delivery_Disposal</t>
  </si>
  <si>
    <t>Licenze Adobe</t>
  </si>
  <si>
    <t>Licenze ThinkCell</t>
  </si>
  <si>
    <t>Apertura Ticket</t>
  </si>
  <si>
    <t>Utente</t>
  </si>
  <si>
    <t>Status</t>
  </si>
  <si>
    <t>In carico a</t>
  </si>
  <si>
    <t>Modello</t>
  </si>
  <si>
    <t>Data Arrivo</t>
  </si>
  <si>
    <t>Nome</t>
  </si>
  <si>
    <t>Cespite</t>
  </si>
  <si>
    <t>PSW CIRESON</t>
  </si>
  <si>
    <t>Data pianificazione</t>
  </si>
  <si>
    <t>Mail</t>
  </si>
  <si>
    <t>SCSM</t>
  </si>
  <si>
    <t>ARS</t>
  </si>
  <si>
    <t>Delivery</t>
  </si>
  <si>
    <t>Conteggio pc</t>
  </si>
  <si>
    <t>Conteggio pc in lavorazione</t>
  </si>
  <si>
    <t>Pronto per consegna</t>
  </si>
  <si>
    <t>ELITEBOOK 640 i7 32 GB ITA</t>
  </si>
  <si>
    <t>ITDGTOL00071712</t>
  </si>
  <si>
    <t>Ok</t>
  </si>
  <si>
    <t>Problema/Mancato appuntamento</t>
  </si>
  <si>
    <t>Lenovo</t>
  </si>
  <si>
    <t>Lenovo ThinkPad T14 Gen 4 (14″ AMD)</t>
  </si>
  <si>
    <t>SR3580100</t>
  </si>
  <si>
    <t>EliteBook 640 14 inch G9</t>
  </si>
  <si>
    <t>IGITMONCL073301</t>
  </si>
  <si>
    <t>Culindri301</t>
  </si>
  <si>
    <t>IGITMONCL073304</t>
  </si>
  <si>
    <t>Italdesign73304</t>
  </si>
  <si>
    <t>SR3563040</t>
  </si>
  <si>
    <t>Paiolo, Daniele (IG/S-32) - ITDGTOL00069615</t>
  </si>
  <si>
    <t>Già preso appuntamento</t>
  </si>
  <si>
    <t>IGITMONCL077559</t>
  </si>
  <si>
    <t>Ipabinha559</t>
  </si>
  <si>
    <t>SR3614829</t>
  </si>
  <si>
    <t>Pelliccioni, Marco (IG/P-S1) - IGITMONCL069435 - Batteria gonfia - Spedire Nichelino</t>
  </si>
  <si>
    <t>IGITMONCL077576</t>
  </si>
  <si>
    <t>Monitor576</t>
  </si>
  <si>
    <t>SR3621295</t>
  </si>
  <si>
    <t>Bulfon, Enrico (IG/P-83) - IGITMONCL068449</t>
  </si>
  <si>
    <t>IGITMONCL077585</t>
  </si>
  <si>
    <t>Zoropa585</t>
  </si>
  <si>
    <t>SR3635775</t>
  </si>
  <si>
    <t>Germena, Marco (IG/P-71) - ITDGTOL00059124 - Non compatibile Win11</t>
  </si>
  <si>
    <t>IGITMONCL077593</t>
  </si>
  <si>
    <t>Trick77593</t>
  </si>
  <si>
    <t>SR3651781</t>
  </si>
  <si>
    <t>IGITMONCL077604</t>
  </si>
  <si>
    <t>Feriasbrasil604</t>
  </si>
  <si>
    <t>SR3661628</t>
  </si>
  <si>
    <t>Testera, Ivan (IG/EG-5) - IGITMONCL069867</t>
  </si>
  <si>
    <t>IGITMONCL077415</t>
  </si>
  <si>
    <t>Feriasbrasil415</t>
  </si>
  <si>
    <t>SR3661631</t>
  </si>
  <si>
    <t>IGITMONCL077416</t>
  </si>
  <si>
    <t>Feriasbrasil416</t>
  </si>
  <si>
    <t>Pc in lavorazione</t>
  </si>
  <si>
    <t>IGITMONCL077417</t>
  </si>
  <si>
    <t>IGITMONCL077419</t>
  </si>
  <si>
    <t>IGITMONCL077420</t>
  </si>
  <si>
    <t>IGITMONCL077421</t>
  </si>
  <si>
    <t>IGITMONCL077422</t>
  </si>
  <si>
    <t>IGITMONCL077423</t>
  </si>
  <si>
    <t>IGITMONCL077424</t>
  </si>
  <si>
    <t>IGITMONCL077425</t>
  </si>
  <si>
    <t>IGITMONCL077426</t>
  </si>
  <si>
    <t>IGITMONCL077427</t>
  </si>
  <si>
    <t>IGITMONCL077428</t>
  </si>
  <si>
    <t>IGITMONCL077429</t>
  </si>
  <si>
    <t>IGITMONCL077432</t>
  </si>
  <si>
    <t>IGITMONCL077433</t>
  </si>
  <si>
    <t>IGITMONCL077434</t>
  </si>
  <si>
    <t>IGITMONCL077435</t>
  </si>
  <si>
    <t>IGITMONCL077436</t>
  </si>
  <si>
    <t>IGITMONCL077437</t>
  </si>
  <si>
    <t>IGITMONCL077441</t>
  </si>
  <si>
    <t>IGITMONCL077442</t>
  </si>
  <si>
    <t>IGITMONCL077443</t>
  </si>
  <si>
    <t>IGITMONCL077445</t>
  </si>
  <si>
    <t>IGITMONCL077446</t>
  </si>
  <si>
    <t>IGITMONCL077447</t>
  </si>
  <si>
    <t>IGITMONCL077448</t>
  </si>
  <si>
    <t>IGITMONCL077449</t>
  </si>
  <si>
    <t>IGITMONCL077450</t>
  </si>
  <si>
    <t>IGITMONCL077451</t>
  </si>
  <si>
    <t>IGITMONCL077452</t>
  </si>
  <si>
    <t>Priorità/Stagisti/Scorta</t>
  </si>
  <si>
    <t xml:space="preserve"> </t>
  </si>
  <si>
    <t>Consegnato</t>
  </si>
  <si>
    <t>Riassegnazione/Extra</t>
  </si>
  <si>
    <t>Nuovo assunto</t>
  </si>
  <si>
    <t>Zbook Z16 ITA 64GB</t>
  </si>
  <si>
    <t>Zbook Z16 ITA 32GB</t>
  </si>
  <si>
    <t>IGITMONCL077322</t>
  </si>
  <si>
    <t>Deus322</t>
  </si>
  <si>
    <t>SR3635778</t>
  </si>
  <si>
    <t>Venturin, Luca (IG/P-83) - IGITMONCL069202 - tastiera notebook non correttamente funzionante</t>
  </si>
  <si>
    <t>IGITMONCL077354</t>
  </si>
  <si>
    <t>CleverNet77354</t>
  </si>
  <si>
    <t>Spedire Nichelino</t>
  </si>
  <si>
    <t>SR3662064</t>
  </si>
  <si>
    <t>Gatti, Alessandra (IG/ER-4) - ITDGTOL00065772</t>
  </si>
  <si>
    <t>Giò</t>
  </si>
  <si>
    <t>IGITMONCL077360</t>
  </si>
  <si>
    <t>Claro77360!</t>
  </si>
  <si>
    <t>SR3662067</t>
  </si>
  <si>
    <t>Destreri, Marco (IG/ER-N) - ITDGTOL00068220</t>
  </si>
  <si>
    <t>IGITMONCL077361</t>
  </si>
  <si>
    <t>Claro77361!</t>
  </si>
  <si>
    <t>SR3662070</t>
  </si>
  <si>
    <t>Gio</t>
  </si>
  <si>
    <t>IGITMONCL077362</t>
  </si>
  <si>
    <t>Claro77362!</t>
  </si>
  <si>
    <t>SR3662073</t>
  </si>
  <si>
    <t>Di Leo, Fabio (IG/P-71) - ITDGTOL00069185 - (Non compatibile Win11)</t>
  </si>
  <si>
    <t>IGITMONCL077363</t>
  </si>
  <si>
    <t>Claro77363!</t>
  </si>
  <si>
    <t>Raco, Andrea (IG/ER-N) - ITDGTOL00068359 - Non compatibile Win11</t>
  </si>
  <si>
    <t>IGITMONCL077364</t>
  </si>
  <si>
    <t>Claro77364!</t>
  </si>
  <si>
    <t>Catia V5, Connect, Generator4, Animator4, MetaPost, ANSA, PuTTY, WinSCP, TurboVNC</t>
  </si>
  <si>
    <t>IGITMONCL077365</t>
  </si>
  <si>
    <t>IGITMONCL077366</t>
  </si>
  <si>
    <t>Billardello, Diego (IG/ER-2L) - ITDGTOL00068351 - NON URGENTE</t>
  </si>
  <si>
    <t>IGITMONCL077368</t>
  </si>
  <si>
    <t>IGITMONCL077369</t>
  </si>
  <si>
    <t>IGITMONCL077370</t>
  </si>
  <si>
    <t>IGITMONCL077371</t>
  </si>
  <si>
    <t>IGITMONCL077372</t>
  </si>
  <si>
    <t>IGITMONCL077373</t>
  </si>
  <si>
    <t>IGITMONCL077374</t>
  </si>
  <si>
    <t>IGITMONCL077375</t>
  </si>
  <si>
    <t>IGITMONCL077376</t>
  </si>
  <si>
    <t>IGITMONCL073759</t>
  </si>
  <si>
    <t>IGITMONCL076870</t>
  </si>
  <si>
    <t>IGITMONCL077394</t>
  </si>
  <si>
    <t>IGITMONCL077397</t>
  </si>
  <si>
    <t>IGITMONCL077405</t>
  </si>
  <si>
    <t>IGITMONCL077412</t>
  </si>
  <si>
    <t>IGITMONCL077413</t>
  </si>
  <si>
    <t>IGITMONCL077414</t>
  </si>
  <si>
    <t>IGITMONCL077539</t>
  </si>
  <si>
    <t>IGITMONCL077543</t>
  </si>
  <si>
    <t>IGITMONCL077549</t>
  </si>
  <si>
    <t>IGITMONCL077553</t>
  </si>
  <si>
    <t>IGITMONCL077561</t>
  </si>
  <si>
    <t>IGITMONCL077572</t>
  </si>
  <si>
    <t>IGITMONCL077573</t>
  </si>
  <si>
    <t>IGITMONCL077574</t>
  </si>
  <si>
    <t>IGITMONCL077575</t>
  </si>
  <si>
    <t>IGITMONCL077577</t>
  </si>
  <si>
    <t>IGITMONCL077578</t>
  </si>
  <si>
    <t>IGITMONCL077579</t>
  </si>
  <si>
    <t>IGITMONCL077580</t>
  </si>
  <si>
    <t>IGITMONCL077581</t>
  </si>
  <si>
    <t>IGITMONCL077582</t>
  </si>
  <si>
    <t>IGITMONCL077583</t>
  </si>
  <si>
    <t>IGITMONCL077584</t>
  </si>
  <si>
    <t>IGITMONCL077586</t>
  </si>
  <si>
    <t>IGITMONCL077587</t>
  </si>
  <si>
    <t>IGITMONCL077588</t>
  </si>
  <si>
    <t>IGITMONCL077589</t>
  </si>
  <si>
    <t>IGITMONCL077590</t>
  </si>
  <si>
    <t>IGITMONCL077591</t>
  </si>
  <si>
    <t>IGITMONCL077592</t>
  </si>
  <si>
    <t>IGITMONCL077594</t>
  </si>
  <si>
    <t>IGITMONCL077595</t>
  </si>
  <si>
    <t>IGITMONCL077596</t>
  </si>
  <si>
    <t>IGITMONCL077597</t>
  </si>
  <si>
    <t>IGITMONCL077598</t>
  </si>
  <si>
    <t>IGITMONCL077599</t>
  </si>
  <si>
    <t>IGITMONCL077600</t>
  </si>
  <si>
    <t>IGITMONCL077601</t>
  </si>
  <si>
    <t>IGITMONCL077602</t>
  </si>
  <si>
    <t>IGITMONCL077603</t>
  </si>
  <si>
    <t>SR3635880</t>
  </si>
  <si>
    <t>IGITMONCL071346</t>
  </si>
  <si>
    <t>Si può consegnare in qualsiasi momento</t>
  </si>
  <si>
    <t>Kisters</t>
  </si>
  <si>
    <t>SR3639466</t>
  </si>
  <si>
    <r>
      <t xml:space="preserve">Bianco, Paolo (IG/EE-2) - ITDGTOL00069279 - SPEDIRE VIA NIZZA - </t>
    </r>
    <r>
      <rPr>
        <i/>
        <sz val="11"/>
        <color rgb="FF00B050"/>
        <rFont val="Calibri"/>
        <family val="2"/>
        <scheme val="minor"/>
      </rPr>
      <t>SPEDITO</t>
    </r>
  </si>
  <si>
    <t>IGITMONCL073293</t>
  </si>
  <si>
    <t>Superacao293!</t>
  </si>
  <si>
    <t>Odis-Idex-CpTool-Notepad++-WireShark-WinSCP-Python-FTDI-TeraTerm</t>
  </si>
  <si>
    <t>SR3639475</t>
  </si>
  <si>
    <t>Genre, Gianpaolo (IG/P-S1) - ITDGTOL00065807</t>
  </si>
  <si>
    <t>IGITMONCL072460</t>
  </si>
  <si>
    <t>Trillo60!</t>
  </si>
  <si>
    <t>SR3639478</t>
  </si>
  <si>
    <r>
      <t xml:space="preserve">Bianco, Paolo (IG/EE-2) - ITDGTOL00069141 - SPEDIRE VIA NIZZA - </t>
    </r>
    <r>
      <rPr>
        <i/>
        <sz val="11"/>
        <color rgb="FF00B050"/>
        <rFont val="Calibri"/>
        <family val="2"/>
        <scheme val="minor"/>
      </rPr>
      <t>SPEDITO</t>
    </r>
  </si>
  <si>
    <t>IGITMONCL073312</t>
  </si>
  <si>
    <t>Mundial312!</t>
  </si>
  <si>
    <t>SR3639484</t>
  </si>
  <si>
    <t>3378 – RITTGERS Giacinto Francesco (stage extracurricolare) – cdc 101 Design Research – IG/D-2 – Empl. Numb. 99378</t>
  </si>
  <si>
    <t>Zbook Fury Z15</t>
  </si>
  <si>
    <t>IGITMONCL072271</t>
  </si>
  <si>
    <t>Cartinet271</t>
  </si>
  <si>
    <t>Photoshop - Surface - Blender</t>
  </si>
  <si>
    <t>SR3651787</t>
  </si>
  <si>
    <t>3382 – IANNARELLI Ivana – cdc 679 Prevention &amp; Safety – IG/SH – Empl. Numb. 99382</t>
  </si>
  <si>
    <t>IGITMONCL076173</t>
  </si>
  <si>
    <t>SR3662114</t>
  </si>
  <si>
    <t>3375 – HOCHLEICHTER David – cdc 284 Interiors Development – IG/EI-33 – Empl. Numb. 99375</t>
  </si>
  <si>
    <t>IGITMONCL072475</t>
  </si>
  <si>
    <t>Piecno475</t>
  </si>
  <si>
    <t>SR3662117</t>
  </si>
  <si>
    <t>IGITMONCL073338</t>
  </si>
  <si>
    <t>Eternidade338!</t>
  </si>
  <si>
    <t>SR3662120</t>
  </si>
  <si>
    <t>IGITMONCL070762</t>
  </si>
  <si>
    <t>Mammachegiorno2</t>
  </si>
  <si>
    <t>SR3662123</t>
  </si>
  <si>
    <t>IGITMONCL077395</t>
  </si>
  <si>
    <t>SR3662126</t>
  </si>
  <si>
    <t>3380 – FILIPPI Saverio (stage extracurricolare) – cdc 652 Purchasing – IG/B – Empl. Numb. 99380</t>
  </si>
  <si>
    <t>Elitebook</t>
  </si>
  <si>
    <t>IGITMONCL073294</t>
  </si>
  <si>
    <t>SR3662129</t>
  </si>
  <si>
    <t>3379 – DAGHMOUMI Sara (stage extracurricolare) – cdc 671 Public Relations – IG/V-P – Empl. Numb. 99379</t>
  </si>
  <si>
    <t>IGITMONL072444</t>
  </si>
  <si>
    <t>SR964075</t>
  </si>
  <si>
    <t>Lunardelli, Piergiorgio (ITDGTOL00059116)</t>
  </si>
  <si>
    <t>Hewlett-Packard</t>
  </si>
  <si>
    <t>ITDGTOL00069400</t>
  </si>
  <si>
    <t>Giaveno69400</t>
  </si>
  <si>
    <t>OK</t>
  </si>
  <si>
    <t>SR974804</t>
  </si>
  <si>
    <t xml:space="preserve">Uso gen.Manutenzione(ITDGTOC00059302) Monchietto, Guido </t>
  </si>
  <si>
    <t>Vomero69401</t>
  </si>
  <si>
    <t>SR977729</t>
  </si>
  <si>
    <t>Wiedner, Sunhilde (ITDGTOL00059368)</t>
  </si>
  <si>
    <t>Italia69403</t>
  </si>
  <si>
    <t>SR978321</t>
  </si>
  <si>
    <t>Giai Merlera, Davide (ITDGTOL00059074)</t>
  </si>
  <si>
    <t>Parigi69406</t>
  </si>
  <si>
    <t>SR982043</t>
  </si>
  <si>
    <t>Pizzitelli, Roberta (ITDGTOL00059363)</t>
  </si>
  <si>
    <t>ITDGTOL00069407</t>
  </si>
  <si>
    <t>Venezia34</t>
  </si>
  <si>
    <t>SR982049</t>
  </si>
  <si>
    <t>Cotugno, Cosimo (ITDGTOC00059299)</t>
  </si>
  <si>
    <t>ITDGTOL00069408</t>
  </si>
  <si>
    <t>Palermo77</t>
  </si>
  <si>
    <t>SR983451</t>
  </si>
  <si>
    <t>Ficco Davide (IDG2466 - Vedi note CMDB)</t>
  </si>
  <si>
    <t>ITDGTOL00069409</t>
  </si>
  <si>
    <t>Artico57</t>
  </si>
  <si>
    <t>SR983457</t>
  </si>
  <si>
    <t>Latu Patrice (ITDGTOL00058590)</t>
  </si>
  <si>
    <t>Bologna36</t>
  </si>
  <si>
    <t>De Giorgis (ITDGTOC00060174)</t>
  </si>
  <si>
    <t>In Corso</t>
  </si>
  <si>
    <t>SR956982</t>
  </si>
  <si>
    <t>Cappello Lorenza (ITDGTOL00060225)</t>
  </si>
  <si>
    <t>ITDGTOL00069412</t>
  </si>
  <si>
    <t>Macchina19</t>
  </si>
  <si>
    <t>SR971925</t>
  </si>
  <si>
    <t>Vigilante Raffele IG/P-S  ITDGTOL00059115</t>
  </si>
  <si>
    <t>ITDGTOL00069413</t>
  </si>
  <si>
    <t>Livorno413</t>
  </si>
  <si>
    <t>SR952940</t>
  </si>
  <si>
    <t>Ozdemir, Fuat (ITDGTOL00059371)</t>
  </si>
  <si>
    <t>ITDGTOL00069419</t>
  </si>
  <si>
    <t>EstRal19</t>
  </si>
  <si>
    <t>SR951643</t>
  </si>
  <si>
    <t>Del Rosso Marco (ITDGTOL00059109)</t>
  </si>
  <si>
    <t>ITDGTOL00069422</t>
  </si>
  <si>
    <t>Cooler422</t>
  </si>
  <si>
    <t>SR965210</t>
  </si>
  <si>
    <t>Damicis Claudio (ITDGTOC00059300)</t>
  </si>
  <si>
    <t>ITDGTOL00069426</t>
  </si>
  <si>
    <t>Lorenzo19</t>
  </si>
  <si>
    <t>Pelliccioni, Marco (ITDGTOL00059112)</t>
  </si>
  <si>
    <t>ITDGTOL00069431</t>
  </si>
  <si>
    <t>ITDGTOL00069435</t>
  </si>
  <si>
    <t>Favero Catia (IDG2460)</t>
  </si>
  <si>
    <t xml:space="preserve">Sala Video Direzione (ITDGTOL00059068) </t>
  </si>
  <si>
    <t>Bertazzoni Alessandro (ITDGTOL00058918)</t>
  </si>
  <si>
    <t>ITDGTOL00069439</t>
  </si>
  <si>
    <t>A disposizione</t>
  </si>
  <si>
    <t>ITDGTOL00069440</t>
  </si>
  <si>
    <t>ITDGTOL00069444</t>
  </si>
  <si>
    <t>SR922054</t>
  </si>
  <si>
    <t>Vessis Costantino (ITDGTOL00059396)</t>
  </si>
  <si>
    <t>Finelli Antonella</t>
  </si>
  <si>
    <t>ITDGTOL00069198</t>
  </si>
  <si>
    <t>Security69198</t>
  </si>
  <si>
    <t>SR955034</t>
  </si>
  <si>
    <t xml:space="preserve">Mascolo Nicholas (IDG2502) </t>
  </si>
  <si>
    <t>ITDGTOL00069317</t>
  </si>
  <si>
    <t>Firenze2019</t>
  </si>
  <si>
    <t>SR944381</t>
  </si>
  <si>
    <t>ITDGTOL00069447</t>
  </si>
  <si>
    <t>Vercelli69447</t>
  </si>
  <si>
    <t>SR961077</t>
  </si>
  <si>
    <t>Chieppa, Giorgio (IDG2474)</t>
  </si>
  <si>
    <t>Trapani456</t>
  </si>
  <si>
    <t>SR977720</t>
  </si>
  <si>
    <t>Favole Riccardo (ITDGTOL00059822)</t>
  </si>
  <si>
    <t>ITDGTOL00069462</t>
  </si>
  <si>
    <t>Spagna69462</t>
  </si>
  <si>
    <t>SR977721</t>
  </si>
  <si>
    <t>Austria69463</t>
  </si>
  <si>
    <t>SR978327</t>
  </si>
  <si>
    <t>Africa69464</t>
  </si>
  <si>
    <t>SR982031</t>
  </si>
  <si>
    <t>ITDGTOL00069465</t>
  </si>
  <si>
    <t>Asia33</t>
  </si>
  <si>
    <t>SR982037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</si>
  <si>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</si>
  <si>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ITDGTOL00069466</t>
  </si>
  <si>
    <t>Giappone66</t>
  </si>
  <si>
    <t>SR983439</t>
  </si>
  <si>
    <t>ITDGTOL00069467</t>
  </si>
  <si>
    <t>Ginevra33</t>
  </si>
  <si>
    <t>SR983445</t>
  </si>
  <si>
    <t>Malta44</t>
  </si>
  <si>
    <t>ITDGTOL00069469</t>
  </si>
  <si>
    <t>Tonno69469</t>
  </si>
  <si>
    <t>ITDGTOL00069470</t>
  </si>
  <si>
    <t>Orata69470</t>
  </si>
  <si>
    <t>ITDGTOL00069471</t>
  </si>
  <si>
    <t>Sarda69471</t>
  </si>
  <si>
    <t>Alice69472</t>
  </si>
  <si>
    <t>Cantaro Oscar (ITDGTOC00060618)</t>
  </si>
  <si>
    <t>Z2 Mini G3</t>
  </si>
  <si>
    <t>ITDGTOC00068484</t>
  </si>
  <si>
    <t>Ilmiotesssoro4</t>
  </si>
  <si>
    <t>a magazzino</t>
  </si>
  <si>
    <t>Tony Saracco</t>
  </si>
  <si>
    <t>ITDGTOC00068456</t>
  </si>
  <si>
    <t>assegnato a Tony Saracco</t>
  </si>
  <si>
    <t>Ughetti Mauro (ITDGTOC00060200)</t>
  </si>
  <si>
    <t>ITDGTOC00068462</t>
  </si>
  <si>
    <t>Ughetti Mauro (ITDGTOC00060199)</t>
  </si>
  <si>
    <t>Pirri, Fabio (IG/D-S)</t>
  </si>
  <si>
    <t>Saracco</t>
  </si>
  <si>
    <t>HP Z8 G4 Workstation</t>
  </si>
  <si>
    <t>ITDGTOC00069360</t>
  </si>
  <si>
    <t>Dlemiope66</t>
  </si>
  <si>
    <t>Vassallo, Alberto (IG/D-S)</t>
  </si>
  <si>
    <t>ITDGTOC00069361</t>
  </si>
  <si>
    <t>Nthirres57</t>
  </si>
  <si>
    <t>Costa, Daniele Roberto (IG/D-S)</t>
  </si>
  <si>
    <t>ITDGTOC00069362</t>
  </si>
  <si>
    <t>Letaneur59</t>
  </si>
  <si>
    <t>Forno Silvia (ITDGTOL00059373)</t>
  </si>
  <si>
    <t>SR996135</t>
  </si>
  <si>
    <t>Balbi</t>
  </si>
  <si>
    <t>Calcio69431</t>
  </si>
  <si>
    <t>SR996175</t>
  </si>
  <si>
    <t>Viale69436</t>
  </si>
  <si>
    <t>SR996157</t>
  </si>
  <si>
    <t>Corso69437</t>
  </si>
  <si>
    <t>SR991440</t>
  </si>
  <si>
    <t>Abate Daniela (ITDGTOC00060188)</t>
  </si>
  <si>
    <t>Candela39</t>
  </si>
  <si>
    <t>SR991446</t>
  </si>
  <si>
    <t>Ravinale Angelo (ITDGTOL00059362)</t>
  </si>
  <si>
    <t>Finelli</t>
  </si>
  <si>
    <t>Lampada40</t>
  </si>
  <si>
    <t>Ughetti Mauro (ITDGTOC00060183)</t>
  </si>
  <si>
    <t>Canestro72</t>
  </si>
  <si>
    <t>SR991452</t>
  </si>
  <si>
    <t>Vitale Enrico (ITDGTOL00059111)</t>
  </si>
  <si>
    <t>Macchina42</t>
  </si>
  <si>
    <t>Nichelino</t>
  </si>
  <si>
    <t>SR991458</t>
  </si>
  <si>
    <t>Ena Mauro (ITDGTOL00059124)</t>
  </si>
  <si>
    <t>Rotondo43</t>
  </si>
  <si>
    <t>appuntamento fissato per il 15/12 Kisters installato</t>
  </si>
  <si>
    <t>SR994506</t>
  </si>
  <si>
    <t>Zagato Alessio (ITDGTOL00059120)</t>
  </si>
  <si>
    <t>Zagato</t>
  </si>
  <si>
    <t>Francia69621</t>
  </si>
  <si>
    <t>SR996181</t>
  </si>
  <si>
    <t>Pecchioli Elena (ITDGTOL00059072)</t>
  </si>
  <si>
    <t>ITDGTOL00069623</t>
  </si>
  <si>
    <t>Italia69623</t>
  </si>
  <si>
    <t>SR996169</t>
  </si>
  <si>
    <t>Marmellona88</t>
  </si>
  <si>
    <t>SR998846</t>
  </si>
  <si>
    <t>dipartimento workshop - IG/P6 ETKA</t>
  </si>
  <si>
    <t>SR998852</t>
  </si>
  <si>
    <t>Pesce Mara (ITDGTOC00058676)</t>
  </si>
  <si>
    <t>Ughetti Mauro (IDG2427)</t>
  </si>
  <si>
    <t>Salvi Alessandro (ITDGTOL00059810)</t>
  </si>
  <si>
    <t xml:space="preserve"> 15/01 h 10.30 Catia</t>
  </si>
  <si>
    <t>Stella Gaetano (ITDGTOL00059145)</t>
  </si>
  <si>
    <t>Catia Connect  16/01 14:30</t>
  </si>
  <si>
    <t>Pesce Mara (ITDGTOC00058845)</t>
  </si>
  <si>
    <t>Castorina Riccardo (ITDGTOL00059827)</t>
  </si>
  <si>
    <t>Preso in carico, in attesa di definire modalità di sostituzione</t>
  </si>
  <si>
    <t>Marenghi Denis (ITDGTOC00059065)</t>
  </si>
  <si>
    <t>Naretto Piero (ITDGTOL00059802)</t>
  </si>
  <si>
    <t>NICHELINO</t>
  </si>
  <si>
    <t>Vasile Flavio (ITDGTOL00059800)</t>
  </si>
  <si>
    <t>Raspante Massimiliano (ITDGTOL00059398)</t>
  </si>
  <si>
    <t>Sarcone Alessandro (ITDGTOL00059494)</t>
  </si>
  <si>
    <t>Iannuzzi Antonietta (IG/D-2) (ITDGTOC00059352)</t>
  </si>
  <si>
    <t>ITDGTOC00069596</t>
  </si>
  <si>
    <t>Mareggiata74</t>
  </si>
  <si>
    <r>
      <t xml:space="preserve">Brencella Leonardo (IG/D-3) </t>
    </r>
    <r>
      <rPr>
        <i/>
        <sz val="10"/>
        <color theme="1"/>
        <rFont val="Prompt Light"/>
      </rPr>
      <t>(ITDGTOC00059350)</t>
    </r>
  </si>
  <si>
    <t>ITDGTOC00069597</t>
  </si>
  <si>
    <t>Mareggiata42</t>
  </si>
  <si>
    <t>Cafaro Giuseppe (IG/D-S) (ITDGTOC00060656)</t>
  </si>
  <si>
    <t>ITDGTOC00069598</t>
  </si>
  <si>
    <t>Mareggiata99</t>
  </si>
  <si>
    <t>OK10</t>
  </si>
  <si>
    <t>Test W10 1709 -&gt; 1809</t>
  </si>
  <si>
    <t>HP ZBOOK 15 G4</t>
  </si>
  <si>
    <t>ITDGTOL00068255</t>
  </si>
  <si>
    <t>CND8193JJ9</t>
  </si>
  <si>
    <t>Gosmar</t>
  </si>
  <si>
    <t>ITDGTOL00068939</t>
  </si>
  <si>
    <t>CND8473XG7</t>
  </si>
  <si>
    <t>Cananzi per VDI</t>
  </si>
  <si>
    <t>ITDGTOL00060260</t>
  </si>
  <si>
    <t>CND5284QNK</t>
  </si>
  <si>
    <t>ITDGTOL00064266</t>
  </si>
  <si>
    <t>CND631400W</t>
  </si>
  <si>
    <t>Negro Frer Marco IDG2476</t>
  </si>
  <si>
    <t>Ilie Marius</t>
  </si>
  <si>
    <t>ITDGTOL00064568</t>
  </si>
  <si>
    <t>CND65146VX</t>
  </si>
  <si>
    <t>Prostamo Antonio IDG2494</t>
  </si>
  <si>
    <t>ITDGTOL00064575</t>
  </si>
  <si>
    <t>CND65146VQ</t>
  </si>
  <si>
    <t>Rorato Mario IDG2493</t>
  </si>
  <si>
    <t>Problema BIOS</t>
  </si>
  <si>
    <t>CND8054ZW5</t>
  </si>
  <si>
    <t xml:space="preserve">SAVINO GIUSEPPE ITDGTOL00059832 </t>
  </si>
  <si>
    <t>16GB</t>
  </si>
  <si>
    <t>ITDGTOL00068419</t>
  </si>
  <si>
    <t>5CG82626YZ</t>
  </si>
  <si>
    <t>ITDGTOL00058912</t>
  </si>
  <si>
    <t>ITDGTOL00058920</t>
  </si>
  <si>
    <t>CNU417BM3R</t>
  </si>
  <si>
    <t>ITDGTOL00059073</t>
  </si>
  <si>
    <t>CNU4289LX1</t>
  </si>
  <si>
    <t>HP EliteBook 820 G1</t>
  </si>
  <si>
    <t>ITDGTOL00059930</t>
  </si>
  <si>
    <t>5CG5092YKL</t>
  </si>
  <si>
    <t>Saracco Antonio</t>
  </si>
  <si>
    <t>Z840</t>
  </si>
  <si>
    <t>ITDGTOC00064935</t>
  </si>
  <si>
    <t>CZC72184CF</t>
  </si>
  <si>
    <t>Chursin Wladimir</t>
  </si>
  <si>
    <t>ITDGTOC00065961</t>
  </si>
  <si>
    <t>CZC8177XV8</t>
  </si>
  <si>
    <t>Ughetti (IDG2444)</t>
  </si>
  <si>
    <t>ITDGTOC00068469</t>
  </si>
  <si>
    <t>CZC82774S1</t>
  </si>
  <si>
    <t>Ughetti (IDG2427)</t>
  </si>
  <si>
    <t>ITDGTOC00068481</t>
  </si>
  <si>
    <t>CZC82774S3</t>
  </si>
  <si>
    <t>ITDGTOC00068482</t>
  </si>
  <si>
    <t>CZC82774SD</t>
  </si>
  <si>
    <t>ITDGTOC00068483</t>
  </si>
  <si>
    <t>CZC82774S5</t>
  </si>
  <si>
    <t>CZC82774SK</t>
  </si>
  <si>
    <t>Marchisio (per Cabine)</t>
  </si>
  <si>
    <t>ITDGTOC00068485</t>
  </si>
  <si>
    <t>CZC82774SV</t>
  </si>
  <si>
    <t>ITDGTOC00068486</t>
  </si>
  <si>
    <t>CZC82774SN</t>
  </si>
  <si>
    <t>ITDGTOC00068487</t>
  </si>
  <si>
    <t>CZC82774SG</t>
  </si>
  <si>
    <t>HP EliteBook 1030 G2</t>
  </si>
  <si>
    <t>ITDGTOL00069082</t>
  </si>
  <si>
    <t>5CG9100J3Y</t>
  </si>
  <si>
    <t>Franco Bay</t>
  </si>
  <si>
    <t>WACOM</t>
  </si>
  <si>
    <t xml:space="preserve">Mobile Studio PRO </t>
  </si>
  <si>
    <t>ITDGTOT00064936</t>
  </si>
  <si>
    <t>Rboliborepedl68</t>
  </si>
  <si>
    <t>ITDGTOT00064937</t>
  </si>
  <si>
    <t>Sidingradisol61</t>
  </si>
  <si>
    <t>Carena Sergio fino a 30.04.2019</t>
  </si>
  <si>
    <t>HP Elite x2 1012 G1</t>
  </si>
  <si>
    <t>ITDGTOT00065482</t>
  </si>
  <si>
    <t>5CG7402JY8</t>
  </si>
  <si>
    <t>LRA (IDG1288)</t>
  </si>
  <si>
    <t>Marchisio</t>
  </si>
  <si>
    <t>EliteDesk 800 G2 Mini</t>
  </si>
  <si>
    <t>ITDGTOC00063921</t>
  </si>
  <si>
    <t>CZC6268KXK</t>
  </si>
  <si>
    <t>LRA (IDG1450)</t>
  </si>
  <si>
    <t>ITDGTOC00063927</t>
  </si>
  <si>
    <t>CZC6268KXQ</t>
  </si>
  <si>
    <t>rubato</t>
  </si>
  <si>
    <t>ITDGTOC00063924</t>
  </si>
  <si>
    <t>CZC6268KXP</t>
  </si>
  <si>
    <t>EliteDesk 800 G1</t>
  </si>
  <si>
    <t>ITDGTOC00059046</t>
  </si>
  <si>
    <t>CZC4281382</t>
  </si>
  <si>
    <t>EliteDesk 800 G1 USDT</t>
  </si>
  <si>
    <t>ITDGTOC00060939</t>
  </si>
  <si>
    <t>CZC6040KL9</t>
  </si>
  <si>
    <t>ITDGTOC00059048</t>
  </si>
  <si>
    <t>CZC4281383</t>
  </si>
  <si>
    <t>ITDGTOC00060190</t>
  </si>
  <si>
    <t>CZC526332N</t>
  </si>
  <si>
    <t>ITDGTOC00060207</t>
  </si>
  <si>
    <t>CZC526332K</t>
  </si>
  <si>
    <t>ITDGTOC00059050</t>
  </si>
  <si>
    <t>CZC428138B</t>
  </si>
  <si>
    <t>SR951661</t>
  </si>
  <si>
    <t>Menesasco Massimiliano IG/M</t>
  </si>
  <si>
    <t>Cooler425</t>
  </si>
  <si>
    <t>Nuovo ingresso da Martinotti</t>
  </si>
  <si>
    <t>SR951655</t>
  </si>
  <si>
    <t>Liang Liqiong IG/V</t>
  </si>
  <si>
    <t>Cooler424</t>
  </si>
  <si>
    <t>Nuovo ingresso da Musso</t>
  </si>
  <si>
    <t>SR956998</t>
  </si>
  <si>
    <t>Balzani Salvatore (ITDGTOL00058915)</t>
  </si>
  <si>
    <t>ITDGTOL00069416</t>
  </si>
  <si>
    <t>Motocicletta19</t>
  </si>
  <si>
    <t>ok</t>
  </si>
  <si>
    <t>Appuntamento per il 23/10 h 14</t>
  </si>
  <si>
    <t>SR956992</t>
  </si>
  <si>
    <t>Marangon Alessandro (ITDGTOL00059110)</t>
  </si>
  <si>
    <t>ITDGTOL00069415</t>
  </si>
  <si>
    <t>Aeroplano19</t>
  </si>
  <si>
    <t>Appuntamento per il 24/10 h 8</t>
  </si>
  <si>
    <t>SR959157</t>
  </si>
  <si>
    <t>Venuti Elena (ITDGTOL00059376)</t>
  </si>
  <si>
    <t>Milano69391</t>
  </si>
  <si>
    <t>SR905220</t>
  </si>
  <si>
    <t>Vitillo Alfonso (ITDGTOL00059401)</t>
  </si>
  <si>
    <t>ITDGTOL00069390</t>
  </si>
  <si>
    <t>DorianoIodato88</t>
  </si>
  <si>
    <t>kisters</t>
  </si>
  <si>
    <t>SR957004</t>
  </si>
  <si>
    <t>Piracci Fiorenzo (IG/V)</t>
  </si>
  <si>
    <t>Deltaplano19</t>
  </si>
  <si>
    <t>OK, ma manca nome assegnatario</t>
  </si>
  <si>
    <t>Nuovo ingresso da B.Musso</t>
  </si>
  <si>
    <t>SR951649</t>
  </si>
  <si>
    <t>Florenz Innocenti  (ITDGTOL00063890)axigu3u</t>
  </si>
  <si>
    <t>Cooler69423</t>
  </si>
  <si>
    <t>SR952952</t>
  </si>
  <si>
    <t>Sampò Federico (ITDGTOL00059139)axigzs4</t>
  </si>
  <si>
    <t>ITDGTOL00069421</t>
  </si>
  <si>
    <t>EstRal21</t>
  </si>
  <si>
    <t xml:space="preserve">OK </t>
  </si>
  <si>
    <t>SR964053</t>
  </si>
  <si>
    <t>Pochettino Giorgio (ITDGTOL00059365)</t>
  </si>
  <si>
    <t>Ivrea69392</t>
  </si>
  <si>
    <t>Sostituiamo causa rottura schermo oltre che perché fuori assistenza</t>
  </si>
  <si>
    <t>SR971932</t>
  </si>
  <si>
    <t>Crivello, Barbara (ITDGTOL00059113)</t>
  </si>
  <si>
    <t>Vinovo414</t>
  </si>
  <si>
    <t>SR965222</t>
  </si>
  <si>
    <t>Antenozio Andrea (ITDGTOL00060266)</t>
  </si>
  <si>
    <t>ITDGTOL00069428</t>
  </si>
  <si>
    <t>Sabrina19</t>
  </si>
  <si>
    <t>Venerd' 15 h 15</t>
  </si>
  <si>
    <t>SR965216</t>
  </si>
  <si>
    <t>Casini Davide</t>
  </si>
  <si>
    <t>ITDGTOL00069427</t>
  </si>
  <si>
    <t>Vittorio19</t>
  </si>
  <si>
    <t>SR974664</t>
  </si>
  <si>
    <t>LI YANG</t>
  </si>
  <si>
    <t>HP EliteBook 840 G7</t>
  </si>
  <si>
    <t>Portici69402</t>
  </si>
  <si>
    <t>SR964059</t>
  </si>
  <si>
    <t>Longobardi Jacopo Nuova risorsa</t>
  </si>
  <si>
    <t>Borgaro69393</t>
  </si>
  <si>
    <t>SR977735</t>
  </si>
  <si>
    <t>Schiavo Francesca 59977</t>
  </si>
  <si>
    <t>ITDGTOL00069404</t>
  </si>
  <si>
    <t>Malta69404</t>
  </si>
  <si>
    <t>axigwvn27/11/2019 H 16:30 utente non in ufficio.</t>
  </si>
  <si>
    <t>SR977937</t>
  </si>
  <si>
    <t>Burzio Giorgia (Nuova assunta)</t>
  </si>
  <si>
    <t>Annalisa99</t>
  </si>
  <si>
    <t>Entra 2/12. Manca assegnazione su SCSM perché non vede ancora utente</t>
  </si>
  <si>
    <t>SR952946</t>
  </si>
  <si>
    <t>Emina, Stefano (ITDGTOL00059118)</t>
  </si>
  <si>
    <t>ITDGTOL00069420</t>
  </si>
  <si>
    <t>EstRal20</t>
  </si>
  <si>
    <t>SR965228</t>
  </si>
  <si>
    <t>Ferrero Federico (ITDGTOL00063828)</t>
  </si>
  <si>
    <t>ITDGTOL00069429</t>
  </si>
  <si>
    <t>Beatrice19</t>
  </si>
  <si>
    <t>SR978315</t>
  </si>
  <si>
    <t>Ianni Palarchio, Piero (ITDGTOL00059367)</t>
  </si>
  <si>
    <t>ITDGTOL00069405</t>
  </si>
  <si>
    <t>Grecia69405</t>
  </si>
  <si>
    <t>SR964065</t>
  </si>
  <si>
    <t>Pettolino Michele (ITDGTOL00060040)</t>
  </si>
  <si>
    <t>Pinerolo69394</t>
  </si>
  <si>
    <t>EIT0XV2</t>
  </si>
  <si>
    <t>16/12 Deve restituire il vecchio</t>
  </si>
  <si>
    <t>Vigilante Raffaele IG/P-S  ITDGTOL00059115</t>
  </si>
  <si>
    <t>Nichelino, display port non funzionante</t>
  </si>
  <si>
    <t>SR987850</t>
  </si>
  <si>
    <t>Limbacher Reimund IG/EE-2</t>
  </si>
  <si>
    <t>Nuoto69432</t>
  </si>
  <si>
    <t>FSE in ingresso il 01/01/2020 (No software specifici)</t>
  </si>
  <si>
    <t>SR987856</t>
  </si>
  <si>
    <t>Riccardi Martina IG/F-12</t>
  </si>
  <si>
    <t>Sport69433</t>
  </si>
  <si>
    <t>Nuova assunzione 07/01/2020 (Think-Cell) Monitor, docking, tastiera e mouse già in postazione (ufficio Latu)</t>
  </si>
  <si>
    <t>SR989916</t>
  </si>
  <si>
    <t>Cicinelli Bernardina IG/EK-33</t>
  </si>
  <si>
    <t>Danza69434</t>
  </si>
  <si>
    <t>Nuova assunzione 07/01/2020 (Avon, Tevon, Citrix)</t>
  </si>
  <si>
    <t>Utente1</t>
  </si>
  <si>
    <t>Preparare e consegnare il pc a Volpengo il 2 o il 3</t>
  </si>
  <si>
    <t>Utente2</t>
  </si>
  <si>
    <t>Preparare e consegnare il pc a Volpengo il 2 o il 4</t>
  </si>
  <si>
    <t>SR992775</t>
  </si>
  <si>
    <t>Gazzaniga Marco IG/EC-2</t>
  </si>
  <si>
    <t>Vicolo69444</t>
  </si>
  <si>
    <t>Iin ferie fino al 15/12 solo sw standard chiede un monitor nuovo</t>
  </si>
  <si>
    <t>Carroli Luca</t>
  </si>
  <si>
    <t>Centralino IDG Vadò (assegnare Bolognesi R. e nelle note scrivere che è in uso a Carroli</t>
  </si>
  <si>
    <t>Roberto Ariani IG/EG</t>
  </si>
  <si>
    <t>Nuova Risorsa</t>
  </si>
  <si>
    <t>Simonetti Marcello (ITDGTOC00059066)</t>
  </si>
  <si>
    <t xml:space="preserve">Licata Denise (ITDGTOL00058904) </t>
  </si>
  <si>
    <t>Paese69438</t>
  </si>
  <si>
    <t>consegna il 13 ritira il 17</t>
  </si>
  <si>
    <t>SR989922</t>
  </si>
  <si>
    <t>Piazza60435</t>
  </si>
  <si>
    <t>Raffin Jennifer</t>
  </si>
  <si>
    <t>SR999664</t>
  </si>
  <si>
    <t>Zafarana Salvatore (ITDGTOC00060175)</t>
  </si>
  <si>
    <t>6/17/2019</t>
  </si>
  <si>
    <t>L'utente deve prendere il pc vecchio a Nichelino e trsferirlo a Moncalieri per poter eseguire il cambio. Già d'accordo per la settimana del 20/01</t>
  </si>
  <si>
    <t>Scoponi Federica Maria IG/EE-3</t>
  </si>
  <si>
    <t>Nuova assunzione IDG</t>
  </si>
  <si>
    <t>SR998840</t>
  </si>
  <si>
    <t>Musco Nunzio (ITDGTOL00059366)</t>
  </si>
  <si>
    <t>ITDGTOL00069622</t>
  </si>
  <si>
    <t>Venerdi69622</t>
  </si>
  <si>
    <t>Appuntamento fissato per il 21/01</t>
  </si>
  <si>
    <t>SR1003730</t>
  </si>
  <si>
    <t>Pavia77</t>
  </si>
  <si>
    <t>24/01 h 13:30</t>
  </si>
  <si>
    <t>SR1003547</t>
  </si>
  <si>
    <t>Trifilò Francesco (ITDGTOL00059774)</t>
  </si>
  <si>
    <t>ITDGTOL00069643</t>
  </si>
  <si>
    <t>Escalator11</t>
  </si>
  <si>
    <t>URGENTE - DA FARE PRIMA DEL TRASFERIMENTO DEFINITIVO IN IDD</t>
  </si>
  <si>
    <t>SR1003553</t>
  </si>
  <si>
    <t>Giuseppe Mattioli IG/S-1</t>
  </si>
  <si>
    <t>Ethernet69283</t>
  </si>
  <si>
    <t>Rimesso in circolo</t>
  </si>
  <si>
    <t>SR1007371</t>
  </si>
  <si>
    <t>Andrea Raballo (ITDGTOL00064525)</t>
  </si>
  <si>
    <t>Kingqueen99</t>
  </si>
  <si>
    <t>Restituisce il vecchio lunedì 3/3 e comunque su scsm l'ho gia rimosso e cambiato location in ict dhs</t>
  </si>
  <si>
    <t>SR996163</t>
  </si>
  <si>
    <t>Macchioni Cinzia (ITDGTOL00059121)</t>
  </si>
  <si>
    <t>ITDGTOL00069617</t>
  </si>
  <si>
    <t>Tortona44</t>
  </si>
  <si>
    <t>SR1009047</t>
  </si>
  <si>
    <t>Fasciola Elena (ITDGTOL00059501)</t>
  </si>
  <si>
    <t>Admin696634?</t>
  </si>
  <si>
    <t xml:space="preserve">06/02/   - Kisters 3DViewStation - JT2Go
</t>
  </si>
  <si>
    <t>SR1009523</t>
  </si>
  <si>
    <t>Passini Vito (ITDGTOL00059502)</t>
  </si>
  <si>
    <t>ITDGTOL00069635</t>
  </si>
  <si>
    <t>Admin696635!</t>
  </si>
  <si>
    <t>SR999670</t>
  </si>
  <si>
    <t>Anfosso, Andrea (IG/GT)  (ITDGTOL00060243)</t>
  </si>
  <si>
    <t>Ascoli32</t>
  </si>
  <si>
    <t>SR1011703</t>
  </si>
  <si>
    <t>LIANG  LIQIONG (69424)</t>
  </si>
  <si>
    <t>ITDGTOL00069624</t>
  </si>
  <si>
    <t>Empoli99</t>
  </si>
  <si>
    <t>Sostituzione pc 07/02/2020</t>
  </si>
  <si>
    <t>SR1000120</t>
  </si>
  <si>
    <t>Ficco Davide (ITDGTOL00059503)</t>
  </si>
  <si>
    <t>ITDGTOL00069646</t>
  </si>
  <si>
    <t>Aristenauer33</t>
  </si>
  <si>
    <t>Tanga Andrea (IDG2466 - Vedi note CMDB)</t>
  </si>
  <si>
    <t>Si trova in magazzino Polo Vadò, organizzare sostituzione con Tanga Andrea come da note CMDB</t>
  </si>
  <si>
    <t>SR1012732</t>
  </si>
  <si>
    <t>Allegra Rodolfo (ITDGTOC00060192)</t>
  </si>
  <si>
    <t>SR1000114</t>
  </si>
  <si>
    <t>Cucchiaro Davide (ITDGTOC00060184)</t>
  </si>
  <si>
    <t>Stoccarda76</t>
  </si>
  <si>
    <t>PoloVadò</t>
  </si>
  <si>
    <t>SR1009815</t>
  </si>
  <si>
    <t>Favaro Giulia ITDGTOL00059778</t>
  </si>
  <si>
    <t>ITDGTOL00069637</t>
  </si>
  <si>
    <t>Admin696637&amp;</t>
  </si>
  <si>
    <t>SR1012396</t>
  </si>
  <si>
    <t>Lionello Patrizio (ITDGTOL00059751)</t>
  </si>
  <si>
    <t>ITDGTOL00069632</t>
  </si>
  <si>
    <t>Ginevra55</t>
  </si>
  <si>
    <t xml:space="preserve">Putty e FileZilla e credenziali amministrative </t>
  </si>
  <si>
    <t>SR1015586</t>
  </si>
  <si>
    <t>Caponnetto Lorenza (IG/F) Nuova utenza</t>
  </si>
  <si>
    <t>Vagone199</t>
  </si>
  <si>
    <t>SR1009529</t>
  </si>
  <si>
    <t>Vitolo Carmine (ITDGTOL00059755)</t>
  </si>
  <si>
    <t>Automotive44</t>
  </si>
  <si>
    <t>12/02 h 08:00  Idex, Canoe, System42, CpTool, Ldorado Design Viewer, Odis, National Instruments Teststand e Labview</t>
  </si>
  <si>
    <t>SR1000108</t>
  </si>
  <si>
    <t>Alabiso Giovanni (ITDGTOC00060182)</t>
  </si>
  <si>
    <t>ITDGTOL00069618</t>
  </si>
  <si>
    <t>Cremona56</t>
  </si>
  <si>
    <t>Nichelino - Il nuovo a Pinna Mirko perche Alabiso va in pensione</t>
  </si>
  <si>
    <t>  SR1017539</t>
  </si>
  <si>
    <t>Riposio Giulia (ITDGTOL00059763)</t>
  </si>
  <si>
    <t>marta69645</t>
  </si>
  <si>
    <t>SR1017551</t>
  </si>
  <si>
    <t>Ferrero Laura (ITDGTOL00065763)</t>
  </si>
  <si>
    <t>ITDGTOL00069630</t>
  </si>
  <si>
    <t>Locomotiva2</t>
  </si>
  <si>
    <t>21/02 13:45 kisters</t>
  </si>
  <si>
    <t>SR1017393</t>
  </si>
  <si>
    <t>Galliana Massimo (ITDGTOL00059757)</t>
  </si>
  <si>
    <t>Licia69609</t>
  </si>
  <si>
    <t>02/03/2020  ore 08:00:00</t>
  </si>
  <si>
    <t>SR1010471</t>
  </si>
  <si>
    <t>Fumero Valter (ITDGTOL00059782)</t>
  </si>
  <si>
    <t>Clorofilla95</t>
  </si>
  <si>
    <t>02/03/2020 ore 08:30</t>
  </si>
  <si>
    <t>SR1018533</t>
  </si>
  <si>
    <t>Latini Stefano (ITDGTOL00059771)</t>
  </si>
  <si>
    <t>ITDGTOL00069605</t>
  </si>
  <si>
    <t>Villa69605</t>
  </si>
  <si>
    <t>03/03/2020 ore 08:00</t>
  </si>
  <si>
    <t>SR1018539</t>
  </si>
  <si>
    <t>Franzon Robert (ITDGTOL00059772)</t>
  </si>
  <si>
    <t>Baita69606</t>
  </si>
  <si>
    <t>03/03/2020 ore 10:00</t>
  </si>
  <si>
    <t>SR1008927</t>
  </si>
  <si>
    <t>Martorana Piero (ITDGTOL00059756)</t>
  </si>
  <si>
    <t>Admin69626$</t>
  </si>
  <si>
    <t>Sostutuzione dopo Ginevra (Marzo) manca - Diagra</t>
  </si>
  <si>
    <t>SR1017369</t>
  </si>
  <si>
    <t>Mei Yujie IG/GT (ITDGTOL00060055)</t>
  </si>
  <si>
    <t>Stazione001</t>
  </si>
  <si>
    <t>SR1015797</t>
  </si>
  <si>
    <t>Curatola Alessandro</t>
  </si>
  <si>
    <t>ITDGTOL00069625</t>
  </si>
  <si>
    <t>Criocoso95</t>
  </si>
  <si>
    <t>Pc Office richiesto da Mandich per passaggio in IG/EG approvato da Marchisio 20/02</t>
  </si>
  <si>
    <t>SR1015803</t>
  </si>
  <si>
    <t>Lucato Renato</t>
  </si>
  <si>
    <t>ITDGTOL00069629</t>
  </si>
  <si>
    <t>Locomotiva1</t>
  </si>
  <si>
    <t>SR1018527</t>
  </si>
  <si>
    <t>Canato Sergio (ITDGTOL00059768)</t>
  </si>
  <si>
    <t>Aringhieri</t>
  </si>
  <si>
    <t>ITDGTOL00069604</t>
  </si>
  <si>
    <t>Casa69604</t>
  </si>
  <si>
    <t>SR1023091</t>
  </si>
  <si>
    <t xml:space="preserve">Toso, Daniele (IG/P-82) </t>
  </si>
  <si>
    <t>ITDGTOL00069611</t>
  </si>
  <si>
    <t>Image69611</t>
  </si>
  <si>
    <t>SR1000102</t>
  </si>
  <si>
    <t>Zancanaro Roberto (ITDGTOL00060249)</t>
  </si>
  <si>
    <t>Nervetto46</t>
  </si>
  <si>
    <t>SR1018545</t>
  </si>
  <si>
    <t>Fara Paolo (ITDGTOL00059761)</t>
  </si>
  <si>
    <t>Tenda69607</t>
  </si>
  <si>
    <t>SR1023035</t>
  </si>
  <si>
    <t>Zanella Marco (ITDGTOL00059789)</t>
  </si>
  <si>
    <t>Setup69613</t>
  </si>
  <si>
    <t>SR1017387</t>
  </si>
  <si>
    <t>Verga Mario (ITDGTOL00059982)</t>
  </si>
  <si>
    <t>Vagone377</t>
  </si>
  <si>
    <t>SR1017375</t>
  </si>
  <si>
    <t>Sanneris Elena (ITDGTOL00060044)</t>
  </si>
  <si>
    <t>Locomotiva3</t>
  </si>
  <si>
    <t>SR1017405</t>
  </si>
  <si>
    <t>Burbui Sergio (ITDGTOL00059836)</t>
  </si>
  <si>
    <t>Lucia69603</t>
  </si>
  <si>
    <t>SR1017381</t>
  </si>
  <si>
    <t>Bertolino Luca (ITDGTOL00059781)</t>
  </si>
  <si>
    <t>ITDGTOL00069639</t>
  </si>
  <si>
    <t>Locomotiva4</t>
  </si>
  <si>
    <t>SR1017545</t>
  </si>
  <si>
    <t>Pirritano Massimiliano (ITDGTOL00060234)</t>
  </si>
  <si>
    <t>bea69648</t>
  </si>
  <si>
    <t>SR1044315</t>
  </si>
  <si>
    <t>Becchio Corrado (ITDGTOL00059834)</t>
  </si>
  <si>
    <t>ITDGTOL00069614</t>
  </si>
  <si>
    <t>Genova69614</t>
  </si>
  <si>
    <t>Giuseppe Savino</t>
  </si>
  <si>
    <t>ItaliaGermania43</t>
  </si>
  <si>
    <t>SR1008905</t>
  </si>
  <si>
    <t>Amigoni Dario (ITDGTOC00060208)</t>
  </si>
  <si>
    <t>Muffami2020</t>
  </si>
  <si>
    <t xml:space="preserve">Nichelino </t>
  </si>
  <si>
    <t>SR1012408</t>
  </si>
  <si>
    <t>ITDGTOL00069636</t>
  </si>
  <si>
    <t>Ivrea1976</t>
  </si>
  <si>
    <t>SR1017557</t>
  </si>
  <si>
    <t>Astalosch Joerg (ITDGTOL00059068 - Sala video - TANZI)</t>
  </si>
  <si>
    <t>Vagone288</t>
  </si>
  <si>
    <t>Fulfaro Alessandro (ITDGTOL00059766)</t>
  </si>
  <si>
    <t>ITDGTOL00069615</t>
  </si>
  <si>
    <t>Torino69615</t>
  </si>
  <si>
    <t>NON UTILIZZARE</t>
  </si>
  <si>
    <t>modifica69642</t>
  </si>
  <si>
    <t>ITDGTOL00069647</t>
  </si>
  <si>
    <t>Savona69647</t>
  </si>
  <si>
    <t>ITDGTOL00069649</t>
  </si>
  <si>
    <t>Aosta69649</t>
  </si>
  <si>
    <t>SR1202573</t>
  </si>
  <si>
    <t>BOSIO STEFANO  IG/EB-1</t>
  </si>
  <si>
    <t>Zbook Z15 G6</t>
  </si>
  <si>
    <t>ITDGTOL00070543</t>
  </si>
  <si>
    <t>Rapid4546</t>
  </si>
  <si>
    <t>Nuova assunzione dal 01/03/2021</t>
  </si>
  <si>
    <t>MINELLI PIETRO  IG/EE-3</t>
  </si>
  <si>
    <t>Nicolosi/Balbi</t>
  </si>
  <si>
    <t>ITDGTOL00070599</t>
  </si>
  <si>
    <t>Astalavista2021</t>
  </si>
  <si>
    <t>Nuova assunzione dal 01/03/2021 - Passa da fornitore a dipendente</t>
  </si>
  <si>
    <t>NEGRO FRER MARCO  IG/EC-4</t>
  </si>
  <si>
    <t>Nuova assunzione dal 01/03/2021 - già IDD quindi già in possesso di Pc</t>
  </si>
  <si>
    <t>PANZITTA FABIO VALENTINO IG/EE-3</t>
  </si>
  <si>
    <t>ITDGTOL00070640</t>
  </si>
  <si>
    <t>Calindri70640</t>
  </si>
  <si>
    <t>Nuova assunzione dal 01/04/2021 - TUTTI i programmi richiesti sono stati installati</t>
  </si>
  <si>
    <t xml:space="preserve"> HEINRICHS ARNE (FSE)  IG/F</t>
  </si>
  <si>
    <t>ITDGTOL00070642</t>
  </si>
  <si>
    <t>Calindri70642</t>
  </si>
  <si>
    <t>Nuova assunzione dal 23/03/2021 - Richiesta installazione delle 4 lingue</t>
  </si>
  <si>
    <t>Natalino Carmelo IG/EE-2 (rinomina)</t>
  </si>
  <si>
    <t>ITDGTOL00070609</t>
  </si>
  <si>
    <t>Celestino Andrea IG/EE-2</t>
  </si>
  <si>
    <t xml:space="preserve"> TCHOUANMO PAVEL Chris Junior IG/EE-2</t>
  </si>
  <si>
    <t>Fieno Davide IG/S-2</t>
  </si>
  <si>
    <t>ITDGTOL00070446</t>
  </si>
  <si>
    <t>Vassallo Alberto (muletto stile)</t>
  </si>
  <si>
    <t>HP Zbook 15</t>
  </si>
  <si>
    <t>ITDGTOL00058828</t>
  </si>
  <si>
    <t>Trattopen6black</t>
  </si>
  <si>
    <t>CND412244M</t>
  </si>
  <si>
    <t>Simona De Gregorio</t>
  </si>
  <si>
    <t>ITDGTOL00058829</t>
  </si>
  <si>
    <t>Ezechiele7store</t>
  </si>
  <si>
    <t>CND412244P</t>
  </si>
  <si>
    <t>Vitello Roberto (IDD)</t>
  </si>
  <si>
    <t>ITDGTOL00058830</t>
  </si>
  <si>
    <t>Make18soulkool7</t>
  </si>
  <si>
    <t>CND412244N</t>
  </si>
  <si>
    <t>Piccoli (Nuovo assunto Inglostad)</t>
  </si>
  <si>
    <t>ITDGTOL00058886</t>
  </si>
  <si>
    <t>Superlighthead3</t>
  </si>
  <si>
    <t>CND4151FN6</t>
  </si>
  <si>
    <t>Ozdemir Fuat (IDG1685)</t>
  </si>
  <si>
    <t>ITDGTOL00058887</t>
  </si>
  <si>
    <t>Megabyte23verde</t>
  </si>
  <si>
    <t>CND4151FND</t>
  </si>
  <si>
    <t>Alfinito Dario</t>
  </si>
  <si>
    <t>Pietropaolo Marco (IDG1856)</t>
  </si>
  <si>
    <t>ITDGTOL00058888</t>
  </si>
  <si>
    <t>Kilobyte33viola</t>
  </si>
  <si>
    <t>CND4151FN7</t>
  </si>
  <si>
    <t>Sanino Marco  (IDG1707)</t>
  </si>
  <si>
    <t>ITDGTOL00058889</t>
  </si>
  <si>
    <t>CND4151FN3</t>
  </si>
  <si>
    <t>Corigliano Alessandro (IDG1712)</t>
  </si>
  <si>
    <t>ITDGTOL00058890</t>
  </si>
  <si>
    <t>CND4151FN1</t>
  </si>
  <si>
    <t>Tamboia Riccardo (IDG1711)</t>
  </si>
  <si>
    <t>ITDGTOL00058891</t>
  </si>
  <si>
    <t>CND4151FNH</t>
  </si>
  <si>
    <t>Chidichimo Massimiliano (IDG1709)</t>
  </si>
  <si>
    <t>ITDGTOL00058892</t>
  </si>
  <si>
    <t>CND4151FNG</t>
  </si>
  <si>
    <t>Boarolo Antonio  (IDG1713)</t>
  </si>
  <si>
    <t>ITDGTOL00058893</t>
  </si>
  <si>
    <t>CND4151FN2</t>
  </si>
  <si>
    <t>Sesia Marco (IDG1714)</t>
  </si>
  <si>
    <t>ITDGTOL00058894</t>
  </si>
  <si>
    <t>Terabyte03lilla</t>
  </si>
  <si>
    <t>CND4151FNC</t>
  </si>
  <si>
    <t>Izzo Giovanni (IDG1783)</t>
  </si>
  <si>
    <t>ITDGTOL00058895</t>
  </si>
  <si>
    <t>Gigabyte13rosso</t>
  </si>
  <si>
    <t>CND4151FN9</t>
  </si>
  <si>
    <t>Carbotti Antonio (IDG1720)</t>
  </si>
  <si>
    <t>ITDGTOL00058896</t>
  </si>
  <si>
    <t>CND4151FN5</t>
  </si>
  <si>
    <t>Fortunato Alberto</t>
  </si>
  <si>
    <t>ITDGTOL00058897</t>
  </si>
  <si>
    <t>CND4151FN8</t>
  </si>
  <si>
    <t>Rossetti Stefano (IDG1716)</t>
  </si>
  <si>
    <t>ITDGTOL00058898</t>
  </si>
  <si>
    <t>CND4151FN4</t>
  </si>
  <si>
    <t>Bulone Massimo  (IDG1715)</t>
  </si>
  <si>
    <t>ITDGTOL00058899</t>
  </si>
  <si>
    <t>CND4151FNF</t>
  </si>
  <si>
    <t>Ribet Fabrizio (IDG1698)</t>
  </si>
  <si>
    <t>ITDGTOL00058900</t>
  </si>
  <si>
    <t>CND4151FNB</t>
  </si>
  <si>
    <t>Rastelli (EK1)</t>
  </si>
  <si>
    <t>ITDGTOL00059093</t>
  </si>
  <si>
    <t>Athiallanogyp82</t>
  </si>
  <si>
    <t>CND4288980</t>
  </si>
  <si>
    <t>Albino Giovanni</t>
  </si>
  <si>
    <t>ITDGTOL00059094</t>
  </si>
  <si>
    <t>Essalatiompen16</t>
  </si>
  <si>
    <t>CND4288986</t>
  </si>
  <si>
    <t>La Rocca Luigi</t>
  </si>
  <si>
    <t>ITDGTOL00059095</t>
  </si>
  <si>
    <t>Mittionfuline85</t>
  </si>
  <si>
    <t>CND4288985</t>
  </si>
  <si>
    <t>Brencella Leonardo</t>
  </si>
  <si>
    <t>ITDGTOL00059096</t>
  </si>
  <si>
    <t>Besibleldemul79</t>
  </si>
  <si>
    <t>CND428897Z</t>
  </si>
  <si>
    <t>Scarfidi</t>
  </si>
  <si>
    <t>HP Zbook Z15</t>
  </si>
  <si>
    <t>Ferracane Fabio</t>
  </si>
  <si>
    <t>ITDGTOL00059097</t>
  </si>
  <si>
    <t>Password_nuova2014</t>
  </si>
  <si>
    <t>CND4288981</t>
  </si>
  <si>
    <t>Pampara Umberto</t>
  </si>
  <si>
    <t>ITDGTOL00059098</t>
  </si>
  <si>
    <t>Homenoglytevi85</t>
  </si>
  <si>
    <t>CND428897V</t>
  </si>
  <si>
    <t>Castellarin Luca</t>
  </si>
  <si>
    <t>ITDGTOL00059099</t>
  </si>
  <si>
    <t>Fluimicil1978fgt</t>
  </si>
  <si>
    <t>CND4288983</t>
  </si>
  <si>
    <t>Barra Parisi Alfredo</t>
  </si>
  <si>
    <t>Lesistlecealat7</t>
  </si>
  <si>
    <t>CND4288984</t>
  </si>
  <si>
    <t>Segatel Fabio</t>
  </si>
  <si>
    <t>CND428897W</t>
  </si>
  <si>
    <t>D'Amato Gennaro</t>
  </si>
  <si>
    <t>ITDGTOL00059102</t>
  </si>
  <si>
    <t>CND428897X</t>
  </si>
  <si>
    <t>Avidano Roberto (IDG1792)</t>
  </si>
  <si>
    <t>ITDGTOL00059103</t>
  </si>
  <si>
    <t>CND428897Y</t>
  </si>
  <si>
    <t>Giorgi Luca</t>
  </si>
  <si>
    <t>ITDGTOL00059104</t>
  </si>
  <si>
    <t>Crouscoebonver4</t>
  </si>
  <si>
    <t>CND428897T</t>
  </si>
  <si>
    <t xml:space="preserve"> Quaglino Alberto</t>
  </si>
  <si>
    <t>ITDGTOL00059105</t>
  </si>
  <si>
    <t>CND428897S</t>
  </si>
  <si>
    <t>Ferrero Livio</t>
  </si>
  <si>
    <t>ITDGTOL00059106</t>
  </si>
  <si>
    <t>CND4288982</t>
  </si>
  <si>
    <t>Jacomassi Everton Luiz</t>
  </si>
  <si>
    <t>ITDGTOL00059107</t>
  </si>
  <si>
    <t>CND428897R</t>
  </si>
  <si>
    <t>Ferrero Antonella</t>
  </si>
  <si>
    <t>ITDGTOL00059138</t>
  </si>
  <si>
    <t>Lyallistaress60</t>
  </si>
  <si>
    <t>CND4290G60</t>
  </si>
  <si>
    <t>Sampò Federico</t>
  </si>
  <si>
    <t>ITDGTOL00059139</t>
  </si>
  <si>
    <t>Eckipicalousha4</t>
  </si>
  <si>
    <t>CND4290G5Y</t>
  </si>
  <si>
    <t>Prestagiovanni Camillo (IDG1726)</t>
  </si>
  <si>
    <t>ITDGTOL00059140</t>
  </si>
  <si>
    <t>Achidizebehes86</t>
  </si>
  <si>
    <t>CND4290G5W</t>
  </si>
  <si>
    <t>Berardo Davide (IDG1799)</t>
  </si>
  <si>
    <t>ITDGTOL00059141</t>
  </si>
  <si>
    <t>Ekednessembere6</t>
  </si>
  <si>
    <t>CND4290G61</t>
  </si>
  <si>
    <t>Lo Gioco Alberto (IDG1777)</t>
  </si>
  <si>
    <t>ITDGTOL00059142</t>
  </si>
  <si>
    <t>Nicalinjuratio7</t>
  </si>
  <si>
    <t>CND4290G5X</t>
  </si>
  <si>
    <t>Azzolina Paolo (IDG1782)</t>
  </si>
  <si>
    <t>ITDGTOL00059143</t>
  </si>
  <si>
    <t>Anpambenounduc9</t>
  </si>
  <si>
    <t>CND4290G5S</t>
  </si>
  <si>
    <t>Lombardi Giovanni (IDG1727)</t>
  </si>
  <si>
    <t>ITDGTOL00059144</t>
  </si>
  <si>
    <t>Sridistrawdehe3</t>
  </si>
  <si>
    <t>CND4290G5V</t>
  </si>
  <si>
    <t>Stella Gaetano (IDG1841)</t>
  </si>
  <si>
    <t>ITDGTOL00059145</t>
  </si>
  <si>
    <t>Zoodaemauxonr58</t>
  </si>
  <si>
    <t>CND4290G5T</t>
  </si>
  <si>
    <t>Covertino Pietro (IDG1723)</t>
  </si>
  <si>
    <t>ITDGTOL00059146</t>
  </si>
  <si>
    <t>Adeoushnistann1</t>
  </si>
  <si>
    <t>CND4290G5R</t>
  </si>
  <si>
    <t>Rissone Maurizio</t>
  </si>
  <si>
    <t>ITDGTOL00059147</t>
  </si>
  <si>
    <t>Atioseumbriona7</t>
  </si>
  <si>
    <t>CND4290G5Z</t>
  </si>
  <si>
    <t>Franco Luca (IDG1735)</t>
  </si>
  <si>
    <t>ITDGTOL00059387</t>
  </si>
  <si>
    <t>Toptionentorp87</t>
  </si>
  <si>
    <t>CND4393CW8</t>
  </si>
  <si>
    <t>Griva Mattia (IDG1784)</t>
  </si>
  <si>
    <t>ITDGTOL00059388</t>
  </si>
  <si>
    <t>Pareabletomant4</t>
  </si>
  <si>
    <t>CND4393CWB</t>
  </si>
  <si>
    <t>Bruno Giovanni (IDG1800)</t>
  </si>
  <si>
    <t>ITDGTOL00059389</t>
  </si>
  <si>
    <t>Repiteredonam76</t>
  </si>
  <si>
    <t>CND4393CW2</t>
  </si>
  <si>
    <t>D'Amore Danilo (IDG1732)</t>
  </si>
  <si>
    <t>ITDGTOL00059390</t>
  </si>
  <si>
    <t>Urnlyticstovid5</t>
  </si>
  <si>
    <t>CND4393CW4</t>
  </si>
  <si>
    <t>Marcenta Claudio</t>
  </si>
  <si>
    <t>ITDGTOL00059391</t>
  </si>
  <si>
    <t>Ateleretaline40</t>
  </si>
  <si>
    <t>CND4393CW6</t>
  </si>
  <si>
    <t>Peticone Cecilia (EC2)</t>
  </si>
  <si>
    <t>ITDGTOL00059392</t>
  </si>
  <si>
    <t>Eseculgicincev1</t>
  </si>
  <si>
    <t>CND4393CWJ</t>
  </si>
  <si>
    <t>Paraboschi Paolo (IDG1724)</t>
  </si>
  <si>
    <t>ITDGTOL00059393</t>
  </si>
  <si>
    <t>Dermyrodimeli39</t>
  </si>
  <si>
    <t>CND4393CW3</t>
  </si>
  <si>
    <t>Sciarpa Flaviano (IDG1728)</t>
  </si>
  <si>
    <t>Blelitegancrio6</t>
  </si>
  <si>
    <t>CND4393CW5</t>
  </si>
  <si>
    <t>Seren Rosso Riccardo (IDG1779)</t>
  </si>
  <si>
    <t>ITDGTOL00059395</t>
  </si>
  <si>
    <t>Frofilymacuisc5</t>
  </si>
  <si>
    <t>CND4393CW7</t>
  </si>
  <si>
    <t>Genovese Luigi (IDG1797)</t>
  </si>
  <si>
    <t>ITDGTOL00059396</t>
  </si>
  <si>
    <t>Acedgerifisav52</t>
  </si>
  <si>
    <t>CND4393CWH</t>
  </si>
  <si>
    <t>Fabio Vacha (EC2)</t>
  </si>
  <si>
    <t>Aticionpospodi5</t>
  </si>
  <si>
    <t>CND4393CWG</t>
  </si>
  <si>
    <t>Tuninetti Renato (IDG1788)</t>
  </si>
  <si>
    <t>ITDGTOL00059398</t>
  </si>
  <si>
    <t>Achognoinessa05</t>
  </si>
  <si>
    <t>CND4393CW9</t>
  </si>
  <si>
    <t>Foti Simone (IDG1798)</t>
  </si>
  <si>
    <t>ITDGTOL00059399</t>
  </si>
  <si>
    <t>Resistiseefer81</t>
  </si>
  <si>
    <t>CND4393CWF</t>
  </si>
  <si>
    <t>Cauteruccio Gianfranco (IDG1790)</t>
  </si>
  <si>
    <t>ITDGTOL00059400</t>
  </si>
  <si>
    <t>Reidellygonac76</t>
  </si>
  <si>
    <t>CND4393CWD</t>
  </si>
  <si>
    <t>Vitillo Alfonso (IDG1587)</t>
  </si>
  <si>
    <t>ITDGTOL00059401</t>
  </si>
  <si>
    <t>Stingholizarc84</t>
  </si>
  <si>
    <t>CND4393CWC</t>
  </si>
  <si>
    <t>Cananzi Luca</t>
  </si>
  <si>
    <t>ITDGTOL00059494</t>
  </si>
  <si>
    <t>Slickcrick2405</t>
  </si>
  <si>
    <t>CND450846X</t>
  </si>
  <si>
    <t>Andriolo Sara</t>
  </si>
  <si>
    <t>ITDGTOL00059495</t>
  </si>
  <si>
    <t>Pinesietidero82</t>
  </si>
  <si>
    <t>CND450846V</t>
  </si>
  <si>
    <t>Michela Marco</t>
  </si>
  <si>
    <t>ITDGTOL00059496</t>
  </si>
  <si>
    <t>Domprontinticu5</t>
  </si>
  <si>
    <t>CND450846W</t>
  </si>
  <si>
    <t>ITDGTOL00059797</t>
  </si>
  <si>
    <t>Boomardisjefu13</t>
  </si>
  <si>
    <t>CND50441VK</t>
  </si>
  <si>
    <t>Li Pira</t>
  </si>
  <si>
    <t>ITDGTOL00059798</t>
  </si>
  <si>
    <t>Choblioncolad02</t>
  </si>
  <si>
    <t>CND50441W0</t>
  </si>
  <si>
    <t>Prata Matteo ((IG/EK-22) FT IDD)</t>
  </si>
  <si>
    <t>ITDGTOL00059799</t>
  </si>
  <si>
    <t>Hshametermania8</t>
  </si>
  <si>
    <t>CND50441W1</t>
  </si>
  <si>
    <t>Vasile</t>
  </si>
  <si>
    <t>ITDGTOL00059800</t>
  </si>
  <si>
    <t>Ntincumihenogi8</t>
  </si>
  <si>
    <t>CND50441W2</t>
  </si>
  <si>
    <t>Calzavara Alessandro (IG/EB-1)</t>
  </si>
  <si>
    <t>ITDGTOL00059801</t>
  </si>
  <si>
    <t>Pfeudoplathili7</t>
  </si>
  <si>
    <t>CND50441WJ</t>
  </si>
  <si>
    <t>Naretto Piero (IG/P-61)</t>
  </si>
  <si>
    <t>ITDGTOL00059802</t>
  </si>
  <si>
    <t>Regizerrhitot58</t>
  </si>
  <si>
    <t>CND50441WD</t>
  </si>
  <si>
    <t>Di Leo Fabio (IG/P-61)</t>
  </si>
  <si>
    <t>ITDGTOL00059803</t>
  </si>
  <si>
    <t>Pturacearalli66</t>
  </si>
  <si>
    <t>CND50441VW</t>
  </si>
  <si>
    <t>Causarano Iginio (IG/Q-1)</t>
  </si>
  <si>
    <t>ITDGTOL00059804</t>
  </si>
  <si>
    <t>Ousnetraggenti0</t>
  </si>
  <si>
    <t>CND50441VT</t>
  </si>
  <si>
    <t>Rottura Alessandro (IG/EK-21)</t>
  </si>
  <si>
    <t>ITDGTOL00059805</t>
  </si>
  <si>
    <t>Olognastedoma14</t>
  </si>
  <si>
    <t>CND50441VV</t>
  </si>
  <si>
    <t>Gioana Roberto (IG/EK-23)</t>
  </si>
  <si>
    <t>ITDGTOL00059807</t>
  </si>
  <si>
    <t>Bedlyhactiazo72</t>
  </si>
  <si>
    <t>CND50441WF</t>
  </si>
  <si>
    <t>Forlin Roberto (IG/D-321)</t>
  </si>
  <si>
    <t>ITDGTOL00059808</t>
  </si>
  <si>
    <t>Astylishismun66</t>
  </si>
  <si>
    <t>CND50441VY</t>
  </si>
  <si>
    <t>Caligara Carlo</t>
  </si>
  <si>
    <t>Naluccyaltrom41</t>
  </si>
  <si>
    <t>CND50441W9</t>
  </si>
  <si>
    <t>Salvi Alessandro (IG/D-321)</t>
  </si>
  <si>
    <t>ITDGTOL00059810</t>
  </si>
  <si>
    <t>Tortibricarit30</t>
  </si>
  <si>
    <t>CND50441W6</t>
  </si>
  <si>
    <t>Scarati Davide (per sviluppo Gshow)</t>
  </si>
  <si>
    <t>ITDGTOL00059811</t>
  </si>
  <si>
    <t>Osmimaticousin0</t>
  </si>
  <si>
    <t>CND50441W3</t>
  </si>
  <si>
    <t>Orsi Valter (IG/EB-1)</t>
  </si>
  <si>
    <t>ITDGTOL00059812</t>
  </si>
  <si>
    <t>Substeguauxidi6</t>
  </si>
  <si>
    <t>CND50441VX</t>
  </si>
  <si>
    <t>Polimeni Francesco</t>
  </si>
  <si>
    <t>ITDGTOL00059813</t>
  </si>
  <si>
    <t>Haticubilytito1</t>
  </si>
  <si>
    <t>CND50441VG</t>
  </si>
  <si>
    <t>ITDGTOL00059814</t>
  </si>
  <si>
    <t>Eriackeraphlin1</t>
  </si>
  <si>
    <t>CND50441WK</t>
  </si>
  <si>
    <t>Sostituito Di Biase</t>
  </si>
  <si>
    <t>Juventusstadium2299</t>
  </si>
  <si>
    <t>CND50441VQ</t>
  </si>
  <si>
    <t>Fischetti Eugenio  (IG/EK-1)</t>
  </si>
  <si>
    <t>ITDGTOL00059816</t>
  </si>
  <si>
    <t>Seeritatoriano4</t>
  </si>
  <si>
    <t>CND50441W5</t>
  </si>
  <si>
    <t>Piscitello Antonino</t>
  </si>
  <si>
    <t>ITDGTOL00059817</t>
  </si>
  <si>
    <t>Fattenticullyp5</t>
  </si>
  <si>
    <t>CND50441VL</t>
  </si>
  <si>
    <t>Mazzone Antonio (IG/EK-1)</t>
  </si>
  <si>
    <t>ITDGTOL00059818</t>
  </si>
  <si>
    <t>Stornpajoingr25</t>
  </si>
  <si>
    <t>CND50441W7</t>
  </si>
  <si>
    <t>Ulrich Valter (IG/EK-21)</t>
  </si>
  <si>
    <t>ITDGTOL00059819</t>
  </si>
  <si>
    <t>Alusslyochaget5</t>
  </si>
  <si>
    <t>CND50441VN</t>
  </si>
  <si>
    <t>Morabito Antonio (IG/EK-21)</t>
  </si>
  <si>
    <t>ITDGTOL00059820</t>
  </si>
  <si>
    <t>Grophantistlen8</t>
  </si>
  <si>
    <t>CND50441VM</t>
  </si>
  <si>
    <t>Benetollo Leopoldo (IG/EK-32)</t>
  </si>
  <si>
    <t>ITDGTOL00059821</t>
  </si>
  <si>
    <t>Nstrecenteric65</t>
  </si>
  <si>
    <t>CND50441VZ</t>
  </si>
  <si>
    <t>Favole Riccardo (IG/EC-2)</t>
  </si>
  <si>
    <t>ITDGTOL00059822</t>
  </si>
  <si>
    <t>Otamkermoidaro0</t>
  </si>
  <si>
    <t>CND50441VS</t>
  </si>
  <si>
    <t>Guelfo rif. Borrelli</t>
  </si>
  <si>
    <t>ITDGTOL00059823</t>
  </si>
  <si>
    <t>Ranzoirtakeri63</t>
  </si>
  <si>
    <t>CND50441WG</t>
  </si>
  <si>
    <t>Zenere Giuseppe (IG/EK-1)</t>
  </si>
  <si>
    <t>ITDGTOL00059824</t>
  </si>
  <si>
    <t>Vnswericatton71</t>
  </si>
  <si>
    <t>CND50441VP</t>
  </si>
  <si>
    <t>Ferrante Dario (IG/EB-3)</t>
  </si>
  <si>
    <t>ITDGTOL00059825</t>
  </si>
  <si>
    <t>Gashipentiver69</t>
  </si>
  <si>
    <t>CND50441WB</t>
  </si>
  <si>
    <t>Di Biase Silvio (IG/EB-1)</t>
  </si>
  <si>
    <t>ITDGTOL00059826</t>
  </si>
  <si>
    <t>Mertinguggloc28</t>
  </si>
  <si>
    <t>CND50441WH</t>
  </si>
  <si>
    <t>Nada Michele (IG/D-321)</t>
  </si>
  <si>
    <t>ITDGTOL00059827</t>
  </si>
  <si>
    <t>Linesorpiperog5</t>
  </si>
  <si>
    <t>CND50441VR</t>
  </si>
  <si>
    <t>Quarelli Fulvio (IG/EB-3)</t>
  </si>
  <si>
    <t>ITDGTOL00059828</t>
  </si>
  <si>
    <t>Smanderlylica28</t>
  </si>
  <si>
    <t>CND50441VH</t>
  </si>
  <si>
    <t>Ghelli Franco (IG/EB-1)</t>
  </si>
  <si>
    <t>ITDGTOL00059829</t>
  </si>
  <si>
    <t>Rondopmiftill12</t>
  </si>
  <si>
    <t>CND50441W8</t>
  </si>
  <si>
    <t>Coscia Daniele</t>
  </si>
  <si>
    <t>ITDGTOL00059830</t>
  </si>
  <si>
    <t>Pyonianalummor1</t>
  </si>
  <si>
    <t>CND50441VJ</t>
  </si>
  <si>
    <t>Castiglione Giovanni (IG/EB-3)</t>
  </si>
  <si>
    <t>ITDGTOL00059831</t>
  </si>
  <si>
    <t>Vihduisukllkjkl6</t>
  </si>
  <si>
    <t>CND50441W4</t>
  </si>
  <si>
    <t>Giorgio Longo (IG/EK-23)</t>
  </si>
  <si>
    <t>ITDGTOL00060017</t>
  </si>
  <si>
    <t>Uperlocksibbi96</t>
  </si>
  <si>
    <t>CND5184KMS</t>
  </si>
  <si>
    <t>Scarati Davide (Windows 8.1)</t>
  </si>
  <si>
    <t>ITDGTOL00060019</t>
  </si>
  <si>
    <t>Galkeletheaet50</t>
  </si>
  <si>
    <t>CND5184KN4</t>
  </si>
  <si>
    <t>ITDGTOL00060020</t>
  </si>
  <si>
    <t>Yneyngentionfl5</t>
  </si>
  <si>
    <t>CND5184KMF</t>
  </si>
  <si>
    <t>Linda Piccini (IG/EK-22)</t>
  </si>
  <si>
    <t>ITDGTOL00060018</t>
  </si>
  <si>
    <t>Erecteredrides2</t>
  </si>
  <si>
    <t>CND5184KMX</t>
  </si>
  <si>
    <t>Josef KUEHNL IG/EC-2</t>
  </si>
  <si>
    <t>ITDGTOL00060022</t>
  </si>
  <si>
    <t>Thoustionizoma1</t>
  </si>
  <si>
    <t>CND5184KM3</t>
  </si>
  <si>
    <t>Bonello Simonetta (IG/EE)</t>
  </si>
  <si>
    <t>ITDGTOL00060021</t>
  </si>
  <si>
    <t>Mednessidawkn90</t>
  </si>
  <si>
    <t>CND5184KMZ</t>
  </si>
  <si>
    <t>Manzione Angelo</t>
  </si>
  <si>
    <t>ITDGTOL00060023</t>
  </si>
  <si>
    <t>Tymicrophysto18</t>
  </si>
  <si>
    <t>Marenghi Denis (IG/P-83) - IDG1725</t>
  </si>
  <si>
    <t>ITDGTOL00060024</t>
  </si>
  <si>
    <t>Sconspilenowle2</t>
  </si>
  <si>
    <t>Sansalvadore Mattia (IG/P-1)</t>
  </si>
  <si>
    <t>ITDGTOL00060025</t>
  </si>
  <si>
    <t>Clopidedefums12</t>
  </si>
  <si>
    <t>CND5184KM5</t>
  </si>
  <si>
    <t>ITDGTOL00060030</t>
  </si>
  <si>
    <t>Prevasomallim40</t>
  </si>
  <si>
    <t>CND5184KM4</t>
  </si>
  <si>
    <t>Tammaro Elena</t>
  </si>
  <si>
    <t>ITDGTOL00060027</t>
  </si>
  <si>
    <t>Anguslaneceou13</t>
  </si>
  <si>
    <t>CND5184KML</t>
  </si>
  <si>
    <t>Ghio Gian Nico (IG/EE) - IDG1770</t>
  </si>
  <si>
    <t>ITDGTOL00060028</t>
  </si>
  <si>
    <t>Maliocrifylol09</t>
  </si>
  <si>
    <t>CND5184KM6</t>
  </si>
  <si>
    <t>Palumbo Stefano</t>
  </si>
  <si>
    <t>ITDGTOL00060031</t>
  </si>
  <si>
    <t>Supercliocoso66</t>
  </si>
  <si>
    <t>CND5184KLY</t>
  </si>
  <si>
    <t>Vidoni Michele (IG/EB-1)</t>
  </si>
  <si>
    <t>ITDGTOL00060026</t>
  </si>
  <si>
    <t>Acloqualmalics7</t>
  </si>
  <si>
    <t>CND5184KM7</t>
  </si>
  <si>
    <t>De Bortoli Oscar (IG/EC-2) - IDG1718</t>
  </si>
  <si>
    <t>Arlysuptedlych9</t>
  </si>
  <si>
    <t>CND5184KMC</t>
  </si>
  <si>
    <t>Ferrari Aldo Pietro (IG/D-242) IDG1896</t>
  </si>
  <si>
    <t>ITDGTOL00060035</t>
  </si>
  <si>
    <t>Nizoancylaanuor9</t>
  </si>
  <si>
    <t>CND5184KM8</t>
  </si>
  <si>
    <t>Rorato Mario (braccio faro - Nichelino)</t>
  </si>
  <si>
    <t>ITDGTOL00060034</t>
  </si>
  <si>
    <t>Lablawnicarrac4</t>
  </si>
  <si>
    <t>CND5184KMG</t>
  </si>
  <si>
    <t>ITDGTOL00060037</t>
  </si>
  <si>
    <t>Cloruronelpoi99</t>
  </si>
  <si>
    <t>CND5184KN3</t>
  </si>
  <si>
    <t>Rorato Mario (ZEISS - Nichelino)</t>
  </si>
  <si>
    <t>ITDGTOL00060038</t>
  </si>
  <si>
    <t>Spiceaelatogal0</t>
  </si>
  <si>
    <t>CND5184KN1</t>
  </si>
  <si>
    <t>Montanari Andrea (IG/EK-4) IDG1866</t>
  </si>
  <si>
    <t>ITDGTOL00060032</t>
  </si>
  <si>
    <t>Rippenismiten89</t>
  </si>
  <si>
    <t>CND5184KMB</t>
  </si>
  <si>
    <t>Caviolo Alberto (IG/EK-22) IDG1905</t>
  </si>
  <si>
    <t>ITDGTOL00060036</t>
  </si>
  <si>
    <t>Preidassersion9</t>
  </si>
  <si>
    <t>CND5184KN2</t>
  </si>
  <si>
    <t>Aquilino Nicolo (IG/EC-2) IDG1859</t>
  </si>
  <si>
    <t>ITDGTOL00060029</t>
  </si>
  <si>
    <t>Abbipaptionfl98</t>
  </si>
  <si>
    <t>CND5184KLZ</t>
  </si>
  <si>
    <t>Ramella Vittorio</t>
  </si>
  <si>
    <t>ITDGTOL00060041</t>
  </si>
  <si>
    <t>Aconessamonapo8</t>
  </si>
  <si>
    <t>CND5184KN5</t>
  </si>
  <si>
    <t>Pettolino Michele (IG/EK-32) IDG1907</t>
  </si>
  <si>
    <t>ITDGTOL00060040</t>
  </si>
  <si>
    <t>Clapaucius15</t>
  </si>
  <si>
    <t>CND5184KN6</t>
  </si>
  <si>
    <t>Capra Alessandro (IG/EK-22) IDG1911</t>
  </si>
  <si>
    <t>ITDGTOL00060043</t>
  </si>
  <si>
    <t>Artioscuagropic08</t>
  </si>
  <si>
    <t>CND5184KMJ</t>
  </si>
  <si>
    <t>Valentino Schio (IG/Q-2)</t>
  </si>
  <si>
    <t>ITDGTOL00060048</t>
  </si>
  <si>
    <t>Busissomoreno59</t>
  </si>
  <si>
    <t>CND5184KMR</t>
  </si>
  <si>
    <t>Sanneris Elena (IG/Q-2)</t>
  </si>
  <si>
    <t>Ruttessisicrac07</t>
  </si>
  <si>
    <t>CND5184KMY</t>
  </si>
  <si>
    <t xml:space="preserve">Bessone Pierluigi </t>
  </si>
  <si>
    <t>ITDGTOL00060046</t>
  </si>
  <si>
    <t>Nullanewairguzz4</t>
  </si>
  <si>
    <t>CND5184KM0</t>
  </si>
  <si>
    <t>Brignolo Ferdinando (IG/EC-4) IDG1913</t>
  </si>
  <si>
    <t>ITDGTOL00060045</t>
  </si>
  <si>
    <t>Serianturbilyg61</t>
  </si>
  <si>
    <t>CND5184KN0</t>
  </si>
  <si>
    <t>Coppola Marco (IG/EK-22) IDG1908</t>
  </si>
  <si>
    <t>ITDGTOL00060039</t>
  </si>
  <si>
    <t>Oriboverequing0</t>
  </si>
  <si>
    <t>CND5184KMD</t>
  </si>
  <si>
    <t>Giovanni Marino IG/EK-1</t>
  </si>
  <si>
    <t>ITDGTOL00060051</t>
  </si>
  <si>
    <t>Snemenlinallon04</t>
  </si>
  <si>
    <t>CND5184KMV</t>
  </si>
  <si>
    <t>Lo Faro Francesco (IG/EK-21) IDG1897</t>
  </si>
  <si>
    <t>ITDGTOL00060055</t>
  </si>
  <si>
    <t>Shilimicidalti26</t>
  </si>
  <si>
    <t>CND5184KM2</t>
  </si>
  <si>
    <t>Abadianni Fabio (IG/D-321) IDG1839</t>
  </si>
  <si>
    <t>ITDGTOL00060052</t>
  </si>
  <si>
    <t>Clitytamialinq30</t>
  </si>
  <si>
    <t>CND5184KMW</t>
  </si>
  <si>
    <t>Castella Piero (IG/EK-1) IDG1912</t>
  </si>
  <si>
    <t>ITDGTOL00060053</t>
  </si>
  <si>
    <t>Uninfulceatra41</t>
  </si>
  <si>
    <t>CND5184KMH</t>
  </si>
  <si>
    <t>Bocca Paolo (IDG2216)</t>
  </si>
  <si>
    <t>HP Zbook Z15 G2</t>
  </si>
  <si>
    <t>ITDGTOL00060049</t>
  </si>
  <si>
    <t>Giencysmolsibe1</t>
  </si>
  <si>
    <t>CND5184KMN</t>
  </si>
  <si>
    <t>Capello Sabrina (IG/EK-21) IDG1898</t>
  </si>
  <si>
    <t>ITDGTOL00060056</t>
  </si>
  <si>
    <t>Cepwhuratrack90</t>
  </si>
  <si>
    <t>CND5184KM1</t>
  </si>
  <si>
    <t>Baima Livio (IG/EK-32) IDG1909</t>
  </si>
  <si>
    <t>ITDGTOL00060042</t>
  </si>
  <si>
    <t>Endanalveyemino5</t>
  </si>
  <si>
    <t>CND5184KM9</t>
  </si>
  <si>
    <t>Accomo Daniele (IG/P61) IDG1975</t>
  </si>
  <si>
    <t>ITDGTOL00060256</t>
  </si>
  <si>
    <t>Adiantersitiat6</t>
  </si>
  <si>
    <t>Buttiglieri Alberto (IG/EE)</t>
  </si>
  <si>
    <t>ITDGTOL00060254</t>
  </si>
  <si>
    <t>Mationduttence7</t>
  </si>
  <si>
    <t>Sciullo Lorenzo (IG/EK-31)</t>
  </si>
  <si>
    <t>ITDGTOL00060265</t>
  </si>
  <si>
    <t>Asismusibboas82</t>
  </si>
  <si>
    <t>Mariniello Giuseppe (IG/D-241)</t>
  </si>
  <si>
    <t>ITDGTOL00060047</t>
  </si>
  <si>
    <t>Sapperetorimet88</t>
  </si>
  <si>
    <t>CND5184KMQ</t>
  </si>
  <si>
    <t>Zancanaro Roberto (IG/EK-22)</t>
  </si>
  <si>
    <t>Astemonodamos46</t>
  </si>
  <si>
    <t>CND5284QNX</t>
  </si>
  <si>
    <t>Guida Andrea</t>
  </si>
  <si>
    <t>ITDGTOL00060253</t>
  </si>
  <si>
    <t>Pinnolinoturi88</t>
  </si>
  <si>
    <t>Guido Moroni</t>
  </si>
  <si>
    <t>Crepaldi Andrea (IG/EE)</t>
  </si>
  <si>
    <t>ITDGTOL00060250</t>
  </si>
  <si>
    <t>Atomonaphonize9</t>
  </si>
  <si>
    <t>CND5284QNN</t>
  </si>
  <si>
    <t>Bocca Paolo (IDG2214)</t>
  </si>
  <si>
    <t>ITDGTOL00060050</t>
  </si>
  <si>
    <t>Coscondersaut47</t>
  </si>
  <si>
    <t>CND5184KMM</t>
  </si>
  <si>
    <t>Castracane Vincenzo (IG/EK-21)</t>
  </si>
  <si>
    <t>ITDGTOL00060255</t>
  </si>
  <si>
    <t>Ematoressisco91</t>
  </si>
  <si>
    <t>CND2584QNJ</t>
  </si>
  <si>
    <t>Andrea Antenozio</t>
  </si>
  <si>
    <t>ITDGTOL00060266</t>
  </si>
  <si>
    <t>Verlatoceobice5</t>
  </si>
  <si>
    <t>CND5284QNL</t>
  </si>
  <si>
    <t>Malta Sergio</t>
  </si>
  <si>
    <t>ITDGTOL00060258</t>
  </si>
  <si>
    <t>Ugeotrupreina89</t>
  </si>
  <si>
    <t>CND5284QNR</t>
  </si>
  <si>
    <t>Ruocco</t>
  </si>
  <si>
    <t>ITDGTOL00060259</t>
  </si>
  <si>
    <t>Cryptografia88</t>
  </si>
  <si>
    <t>CND5284QNH</t>
  </si>
  <si>
    <t>De La Fuente (IG/EB-1) IDG1867</t>
  </si>
  <si>
    <t>ITDGTOL00060054</t>
  </si>
  <si>
    <t>Sullesmobilarc11</t>
  </si>
  <si>
    <t>CND5184KMP</t>
  </si>
  <si>
    <t>Boano Simone</t>
  </si>
  <si>
    <t>ITDGTOL00060251</t>
  </si>
  <si>
    <t>Anelidupperab34</t>
  </si>
  <si>
    <t>Galbalma</t>
  </si>
  <si>
    <t>ITDGTOL00060448</t>
  </si>
  <si>
    <t>Adelateddlysto1</t>
  </si>
  <si>
    <t>CND53637GH</t>
  </si>
  <si>
    <t>Pascali Andrea</t>
  </si>
  <si>
    <t>Supergenius1945</t>
  </si>
  <si>
    <t>Zanforlin</t>
  </si>
  <si>
    <t>ITDGTOL00060447</t>
  </si>
  <si>
    <t>Rooketopyeanc41</t>
  </si>
  <si>
    <t>CND53637G8</t>
  </si>
  <si>
    <t>Paul Christopher</t>
  </si>
  <si>
    <t>ITDGTOL00060446</t>
  </si>
  <si>
    <t>Juventusstadium1004</t>
  </si>
  <si>
    <t>CND53637GC</t>
  </si>
  <si>
    <t>Paone Francesca (Wolfsburg)</t>
  </si>
  <si>
    <t>ITDGTOL00060449</t>
  </si>
  <si>
    <t>Supertassotini88</t>
  </si>
  <si>
    <t>CND53637G3</t>
  </si>
  <si>
    <t>ITDGTOL00060450</t>
  </si>
  <si>
    <t>Erchcrisixfica9</t>
  </si>
  <si>
    <t>CND53637G5</t>
  </si>
  <si>
    <t>Muzio Roberto (IG/EE)</t>
  </si>
  <si>
    <t>ITDGTOL00060252</t>
  </si>
  <si>
    <t>Aramatichipel70</t>
  </si>
  <si>
    <t>Pizza Carmine (IG/EK-31)</t>
  </si>
  <si>
    <t>ITDGTOL00060445</t>
  </si>
  <si>
    <t>Juventusstadium1005</t>
  </si>
  <si>
    <t>CND53637G7</t>
  </si>
  <si>
    <t>Parasiliti</t>
  </si>
  <si>
    <t>ITDGTOL00060261</t>
  </si>
  <si>
    <t>Afterclouse1982</t>
  </si>
  <si>
    <t>CND5284QP2</t>
  </si>
  <si>
    <t>Palmieri</t>
  </si>
  <si>
    <t>ITDGTOL00060257</t>
  </si>
  <si>
    <t>Unservertrade44</t>
  </si>
  <si>
    <t>CND5284QNZ</t>
  </si>
  <si>
    <t>Liemandt John Oliver (IG/EE)</t>
  </si>
  <si>
    <t>ITDGTOL00060248</t>
  </si>
  <si>
    <t>Themainreal44</t>
  </si>
  <si>
    <t>Cappello, Antonia (IG/EE) (EITLA46)</t>
  </si>
  <si>
    <t>ITDGTOL00060262</t>
  </si>
  <si>
    <t>Retireold1966</t>
  </si>
  <si>
    <t>Gessolo Mauro (IG/EK-21)</t>
  </si>
  <si>
    <t>ITDGTOL00060264</t>
  </si>
  <si>
    <t>Certionsforasc8</t>
  </si>
  <si>
    <t>Rocco Caminiti</t>
  </si>
  <si>
    <t>ITDGTOL00060263</t>
  </si>
  <si>
    <t>Mbamtredio99</t>
  </si>
  <si>
    <t>Pisello Diego</t>
  </si>
  <si>
    <t>ITDGTOL00060247</t>
  </si>
  <si>
    <t>Nelperchetreto99</t>
  </si>
  <si>
    <t>Giorgia De Silva</t>
  </si>
  <si>
    <t>ITDGTOL00060444</t>
  </si>
  <si>
    <t>Megapresidente15</t>
  </si>
  <si>
    <t>CND53637G6</t>
  </si>
  <si>
    <t>Bezzolato</t>
  </si>
  <si>
    <t>ITDGTOL00060440</t>
  </si>
  <si>
    <t>Smeltinpoi66</t>
  </si>
  <si>
    <t>CND53637G</t>
  </si>
  <si>
    <t>Aragno Luca (IG/P-81)</t>
  </si>
  <si>
    <t>ITDGTOL00060441</t>
  </si>
  <si>
    <t>Colimaria1992</t>
  </si>
  <si>
    <t>CND53637GF</t>
  </si>
  <si>
    <t>Salton Lorenzo</t>
  </si>
  <si>
    <t>ITDGTOL00060439</t>
  </si>
  <si>
    <t>Restodelfa88</t>
  </si>
  <si>
    <t>CND53637GD</t>
  </si>
  <si>
    <t>Trito Gianluca (IG/EK-23) IDG1901</t>
  </si>
  <si>
    <t>ITDGTOL00060442</t>
  </si>
  <si>
    <t>TurangaLela90</t>
  </si>
  <si>
    <t>CND53637GG</t>
  </si>
  <si>
    <t>Sala Museo</t>
  </si>
  <si>
    <t>ITDGTOL00060443</t>
  </si>
  <si>
    <t>Torturagerpola9</t>
  </si>
  <si>
    <t>CND53637G4</t>
  </si>
  <si>
    <t>BARCELLONA - CATIA</t>
  </si>
  <si>
    <t>ITDGTOL00060610</t>
  </si>
  <si>
    <t>ViVaLaViDa90</t>
  </si>
  <si>
    <t>CND54764CV</t>
  </si>
  <si>
    <t>ITDGTOL00060611</t>
  </si>
  <si>
    <t>LAvidaLOCA80</t>
  </si>
  <si>
    <t>CND54764CD</t>
  </si>
  <si>
    <t>Amantea Antonio (IG/EK-23)</t>
  </si>
  <si>
    <t>ITDGTOL00060438</t>
  </si>
  <si>
    <t>FRUTTolo555</t>
  </si>
  <si>
    <t>CND53637G9</t>
  </si>
  <si>
    <t>Abrate Carlo</t>
  </si>
  <si>
    <t>ITDGTOL00060615</t>
  </si>
  <si>
    <t>DIsereN3R3</t>
  </si>
  <si>
    <t>CND54764CX</t>
  </si>
  <si>
    <t>Tinelli Andrea (IG/EC-4)</t>
  </si>
  <si>
    <t>ITDGTOL00060616</t>
  </si>
  <si>
    <t>ALLORAmamb0</t>
  </si>
  <si>
    <t>CND54764CR</t>
  </si>
  <si>
    <t>Giorgio Ribet</t>
  </si>
  <si>
    <t>ITDGTOL00060612</t>
  </si>
  <si>
    <t>4CQUAFR1ZZ4NT3</t>
  </si>
  <si>
    <t>CND54764CL</t>
  </si>
  <si>
    <t>Capone Lorenzo</t>
  </si>
  <si>
    <t>ITDGTOL00060613</t>
  </si>
  <si>
    <t>acqu4n4tur4l3</t>
  </si>
  <si>
    <t>CND54764CZ</t>
  </si>
  <si>
    <t>Rodondi Luca (IDG1963)</t>
  </si>
  <si>
    <t>ITDGTOL00060609</t>
  </si>
  <si>
    <t>MamboMambo55</t>
  </si>
  <si>
    <t>CND54764CF</t>
  </si>
  <si>
    <t>Perani Vito (IDG1926)</t>
  </si>
  <si>
    <t>ITDGTOL00060603</t>
  </si>
  <si>
    <t>Tonn0Magic0</t>
  </si>
  <si>
    <t>CND54764CY</t>
  </si>
  <si>
    <t>Belletti Andrea (IDG1929)</t>
  </si>
  <si>
    <t>ITDGTOL00060606</t>
  </si>
  <si>
    <t>NottiMagich3</t>
  </si>
  <si>
    <t>CND54764DO</t>
  </si>
  <si>
    <t>Moro Mose (IDG1677)</t>
  </si>
  <si>
    <t>ITDGTOL00059806</t>
  </si>
  <si>
    <t>Colonna Giovanni (IDG1911)</t>
  </si>
  <si>
    <t>ITDGTOL00060599</t>
  </si>
  <si>
    <t>Perchetresti88</t>
  </si>
  <si>
    <t>CND54764CN</t>
  </si>
  <si>
    <t>Visconti Paolo</t>
  </si>
  <si>
    <t>ITDGTOL00060602</t>
  </si>
  <si>
    <t>SPLEND1DA</t>
  </si>
  <si>
    <t>CND54764CJ</t>
  </si>
  <si>
    <t>Calmanti Claudia</t>
  </si>
  <si>
    <t>ITDGTOL00060597</t>
  </si>
  <si>
    <t>Persidedei2013</t>
  </si>
  <si>
    <t>CND54764CK</t>
  </si>
  <si>
    <t>Mastrorillo Stefano (IDG1931)</t>
  </si>
  <si>
    <t>ITDGTOL00060607</t>
  </si>
  <si>
    <t>Giocattoli8</t>
  </si>
  <si>
    <t>CND54764CH</t>
  </si>
  <si>
    <t>Marenghi Denis (IDG1902)</t>
  </si>
  <si>
    <t>ITDGTOL00060598</t>
  </si>
  <si>
    <t>Ziomiorespo88</t>
  </si>
  <si>
    <t>CND54764CQ</t>
  </si>
  <si>
    <t>Labarbuta Nicoletta (IDG1928)</t>
  </si>
  <si>
    <t>ITDGTOL00060605</t>
  </si>
  <si>
    <t>ConnPeople00</t>
  </si>
  <si>
    <t>CND54764CT</t>
  </si>
  <si>
    <t>Farinato Angelo IG/EK-31</t>
  </si>
  <si>
    <t>ITDGTOL00060600</t>
  </si>
  <si>
    <t>Poinoitreste55</t>
  </si>
  <si>
    <t>CND54764CP</t>
  </si>
  <si>
    <t>Gaido Fabio IG/EK-22</t>
  </si>
  <si>
    <t>ITDGTOL00060601</t>
  </si>
  <si>
    <t>MAMBASSA16</t>
  </si>
  <si>
    <t>CND54764CG</t>
  </si>
  <si>
    <t>Bonansea Paolo (IDG1918)</t>
  </si>
  <si>
    <t>ITDGTOL00060614</t>
  </si>
  <si>
    <t>Doltwog33</t>
  </si>
  <si>
    <t>CND54764CM</t>
  </si>
  <si>
    <t>Perini Filippo</t>
  </si>
  <si>
    <t>ITDGTOL00060604</t>
  </si>
  <si>
    <t>ScopriTutti11</t>
  </si>
  <si>
    <t>CND54764CW</t>
  </si>
  <si>
    <t>Mastrandrea Nunzio (IDG1921)</t>
  </si>
  <si>
    <t>ITDGTOL00060608</t>
  </si>
  <si>
    <t>Ilmionome2015</t>
  </si>
  <si>
    <t>CND54764CS</t>
  </si>
  <si>
    <t>Mosti Marco (IDG1972)</t>
  </si>
  <si>
    <t>ZbookZ15</t>
  </si>
  <si>
    <t>ITDGTOL00063531</t>
  </si>
  <si>
    <t>Hopetrack1234</t>
  </si>
  <si>
    <t>CND60821KR</t>
  </si>
  <si>
    <t>Esposito Andrea (IDG1973)</t>
  </si>
  <si>
    <t>ITDGTOL00063532</t>
  </si>
  <si>
    <t>Linetoast4567</t>
  </si>
  <si>
    <t>CND60821LM</t>
  </si>
  <si>
    <t>Gamba Fabrizio (IDG1974)</t>
  </si>
  <si>
    <t>ITDGTOL00063533</t>
  </si>
  <si>
    <t>Lamiamoto1768</t>
  </si>
  <si>
    <t>CND60821KV</t>
  </si>
  <si>
    <t>Giacometti Fabrizio (IDG1978)</t>
  </si>
  <si>
    <t>ITDGTOL00063535</t>
  </si>
  <si>
    <t>Llycasshinemat9</t>
  </si>
  <si>
    <t>CND60821K5</t>
  </si>
  <si>
    <t>Andreis Mauro (IDG1964)</t>
  </si>
  <si>
    <t>ITDGTOL00063528</t>
  </si>
  <si>
    <t>Openrowy341</t>
  </si>
  <si>
    <t>CND60821KY</t>
  </si>
  <si>
    <t>Benedetto Davide (IDG1965)</t>
  </si>
  <si>
    <t>ITDGTOL00063525</t>
  </si>
  <si>
    <t>Rearleft014</t>
  </si>
  <si>
    <t>CND60821KQ</t>
  </si>
  <si>
    <t>Andriani Antonio (chiedi Daniele/Vito)</t>
  </si>
  <si>
    <t>ITDGTOL00063547</t>
  </si>
  <si>
    <t>Sbrisiatiockle1</t>
  </si>
  <si>
    <t>CND60821L1</t>
  </si>
  <si>
    <t>Sofia Davide (IDG1968)</t>
  </si>
  <si>
    <t>ITDGTOL00063527</t>
  </si>
  <si>
    <t>Closeappen020</t>
  </si>
  <si>
    <t>CND60821LK</t>
  </si>
  <si>
    <t>Torsten Kalpen (IDD WOB)</t>
  </si>
  <si>
    <t>ITDGTOL00063546</t>
  </si>
  <si>
    <t>Delllatitude017</t>
  </si>
  <si>
    <t>CND60821L0</t>
  </si>
  <si>
    <t>Dainese Flavio (IDG1966)</t>
  </si>
  <si>
    <t>ITDGTOL00063526</t>
  </si>
  <si>
    <t>Rearright016</t>
  </si>
  <si>
    <t>CND60821KW</t>
  </si>
  <si>
    <t>Massimo Barbero (IDG2062)</t>
  </si>
  <si>
    <t>ITDGTOL00063551</t>
  </si>
  <si>
    <t>Sifertaispire78</t>
  </si>
  <si>
    <t>CND60821L9</t>
  </si>
  <si>
    <t>Lillo Franco (IDG1930)</t>
  </si>
  <si>
    <t>ITDGTOL00063550</t>
  </si>
  <si>
    <t>Serianiformim48</t>
  </si>
  <si>
    <t>CND60821LB</t>
  </si>
  <si>
    <t>Gervasio Maurizio (IDG1969)</t>
  </si>
  <si>
    <t>ITDGTOL00063529</t>
  </si>
  <si>
    <t>Sniagiacateri46</t>
  </si>
  <si>
    <t>CND60821LL</t>
  </si>
  <si>
    <t>Pace Marco (IDG1993)</t>
  </si>
  <si>
    <t>ITDGTOL00063545</t>
  </si>
  <si>
    <t>Sapneedathong22</t>
  </si>
  <si>
    <t>CND60821LG</t>
  </si>
  <si>
    <t>Melissano Giuseppe (IDG1935)</t>
  </si>
  <si>
    <t>ITDGTOL00063523</t>
  </si>
  <si>
    <t>Dicsaushummen31</t>
  </si>
  <si>
    <t>CND60821L5</t>
  </si>
  <si>
    <t>Zanforlin Giuliano (IDG1970)</t>
  </si>
  <si>
    <t>ITDGTOL00063548</t>
  </si>
  <si>
    <t>Sentlyforeculi2</t>
  </si>
  <si>
    <t>CND60821KT</t>
  </si>
  <si>
    <t>Martini Paolo (IDG1997)</t>
  </si>
  <si>
    <t>ITDGTOL00063544</t>
  </si>
  <si>
    <t>Snedswisttelti3</t>
  </si>
  <si>
    <t>CND60821L2</t>
  </si>
  <si>
    <t>Valsania Enrico</t>
  </si>
  <si>
    <t>ITDGTOL00063549</t>
  </si>
  <si>
    <t>Sydropturmoni28</t>
  </si>
  <si>
    <t>CND60821KZ</t>
  </si>
  <si>
    <t>Bertinotti Simone (IDG1977)</t>
  </si>
  <si>
    <t>ITDGTOL00063534</t>
  </si>
  <si>
    <t>Delriotre1956</t>
  </si>
  <si>
    <t>CND60821L4</t>
  </si>
  <si>
    <t>Zacco Annalisa (IDG1990)</t>
  </si>
  <si>
    <t>ITDGTOL00063522</t>
  </si>
  <si>
    <t>Jnidaednaltio19</t>
  </si>
  <si>
    <t>CND60821L8</t>
  </si>
  <si>
    <t>Mantoni Paolo (IDG1998)</t>
  </si>
  <si>
    <t>ITDGTOL00063540</t>
  </si>
  <si>
    <t>Nyclintastistr7</t>
  </si>
  <si>
    <t>CND60821L7</t>
  </si>
  <si>
    <t>Capellaro Livio (IDG1996)</t>
  </si>
  <si>
    <t>ITDGTOL00063570</t>
  </si>
  <si>
    <t>Kes0nn0k3h0</t>
  </si>
  <si>
    <t>Ferrara Raffaele (IDG2041)</t>
  </si>
  <si>
    <t>ITDGTOL00063538</t>
  </si>
  <si>
    <t>Catelessensla64</t>
  </si>
  <si>
    <t>CND60821L6</t>
  </si>
  <si>
    <t>SERRA ALESSANDRO</t>
  </si>
  <si>
    <t>ITDGTOL00063537</t>
  </si>
  <si>
    <t>Ingluscidishi53</t>
  </si>
  <si>
    <t>CND60821LD</t>
  </si>
  <si>
    <t>Gatti Alessandro (IDG2040)</t>
  </si>
  <si>
    <t>ITDGTOL00063539</t>
  </si>
  <si>
    <t>Smentasodiali88</t>
  </si>
  <si>
    <t>CND60821LJ</t>
  </si>
  <si>
    <t>Liberti Eugenio (IDG1991)</t>
  </si>
  <si>
    <t>ITDGTOL00063572</t>
  </si>
  <si>
    <t>PuntoVirgola1</t>
  </si>
  <si>
    <t>Castiglione Alfredo (IDG2037)</t>
  </si>
  <si>
    <t>ITDGTOL00063542</t>
  </si>
  <si>
    <t>Spinalamanial60</t>
  </si>
  <si>
    <t>CND60821LN</t>
  </si>
  <si>
    <t>Scafi Stefano (IDG2042)</t>
  </si>
  <si>
    <t>ITDGTOL00063543</t>
  </si>
  <si>
    <t>Dgicisomidysi44</t>
  </si>
  <si>
    <t>CND60821LH</t>
  </si>
  <si>
    <t>Christopher Balthasar Murr</t>
  </si>
  <si>
    <t>ITDGTOL00063574</t>
  </si>
  <si>
    <t>TiSperono16</t>
  </si>
  <si>
    <t>Truffo Massimo (IDG1994)</t>
  </si>
  <si>
    <t>Henn Hans Christian (INGO)</t>
  </si>
  <si>
    <t>ITDGTOL00063571</t>
  </si>
  <si>
    <t>Overloop571</t>
  </si>
  <si>
    <t>Sittel Theresa (INGO)</t>
  </si>
  <si>
    <t>ITDGTOL00063541</t>
  </si>
  <si>
    <t>Rioncreholopro9</t>
  </si>
  <si>
    <t>CND60821KX</t>
  </si>
  <si>
    <t>Racano Davide (IDG1999)</t>
  </si>
  <si>
    <t>ITDGTOL00063536</t>
  </si>
  <si>
    <t>Overloop536</t>
  </si>
  <si>
    <t>CND60821L3</t>
  </si>
  <si>
    <t>Agosto Marco (diventa interno)</t>
  </si>
  <si>
    <t>ePOIscappo5</t>
  </si>
  <si>
    <t>BILLARDELLO DIEGO</t>
  </si>
  <si>
    <t>RASETTI GIANCARLO</t>
  </si>
  <si>
    <t>IG/EC-1 (in sostituzione di IDG1979)</t>
  </si>
  <si>
    <t>ITDGTOL00063530</t>
  </si>
  <si>
    <t>Clygiacketche20</t>
  </si>
  <si>
    <t>CND60821LC</t>
  </si>
  <si>
    <t>Rapelli Gianluca (IDG1980)</t>
  </si>
  <si>
    <t>ITDGTOL00063569</t>
  </si>
  <si>
    <t>Millopoi1977</t>
  </si>
  <si>
    <t>Maggiolo Sara (IDG1997)</t>
  </si>
  <si>
    <t>ITDGTOL00063913</t>
  </si>
  <si>
    <t>VIN3Raus</t>
  </si>
  <si>
    <t>CND246KV0</t>
  </si>
  <si>
    <t>vassallo alberto (sostituzione pc rubato)</t>
  </si>
  <si>
    <t>ITDGTOL00063905</t>
  </si>
  <si>
    <t>Ecallica88</t>
  </si>
  <si>
    <t>CND246KV7</t>
  </si>
  <si>
    <t>Cena Gualtiero (IDG2038)</t>
  </si>
  <si>
    <t>ITDGTOL00063911</t>
  </si>
  <si>
    <t>PIADin4</t>
  </si>
  <si>
    <t>CND246KVP</t>
  </si>
  <si>
    <t>Scalvenzi Claudio (IDG2044)</t>
  </si>
  <si>
    <t>ITDGTOL00063874</t>
  </si>
  <si>
    <t>Luca Cananzi</t>
  </si>
  <si>
    <t>ITDGTOL00063899</t>
  </si>
  <si>
    <t>Ninsongici69</t>
  </si>
  <si>
    <t>CND246KV6</t>
  </si>
  <si>
    <t>Sarcone Alessandro (IDG2058)</t>
  </si>
  <si>
    <t>ITDGTOL00063900</t>
  </si>
  <si>
    <t>Aglypent00</t>
  </si>
  <si>
    <t>CND246KVZ</t>
  </si>
  <si>
    <t>La Braca Franco (IDG1963)</t>
  </si>
  <si>
    <t>ITDGTOL00063909</t>
  </si>
  <si>
    <t>COMOest4</t>
  </si>
  <si>
    <t>CND246KVQ</t>
  </si>
  <si>
    <t>Carta Massimo (IDG1969)</t>
  </si>
  <si>
    <t>ITDGTOL00063910</t>
  </si>
  <si>
    <t>PLAYAs0l</t>
  </si>
  <si>
    <t>CND246KTX</t>
  </si>
  <si>
    <t>Callipo Mauro (IDG2061)</t>
  </si>
  <si>
    <t>ITDGTOL00063891</t>
  </si>
  <si>
    <t>Utbalent24</t>
  </si>
  <si>
    <t>CND246KV4</t>
  </si>
  <si>
    <t>Sarotto Giuseppe (ITDGTOC00060617)</t>
  </si>
  <si>
    <t>ITDGTOL00063901</t>
  </si>
  <si>
    <t>Racitypo41</t>
  </si>
  <si>
    <t>CND246KVD</t>
  </si>
  <si>
    <t>Gino Roberto (IDG2050)</t>
  </si>
  <si>
    <t>ITDGTOL00063893</t>
  </si>
  <si>
    <t>8BRUTTO999</t>
  </si>
  <si>
    <t>CND246KVC</t>
  </si>
  <si>
    <t>Sonia Lettry</t>
  </si>
  <si>
    <t>ITDGTOL00063892</t>
  </si>
  <si>
    <t>Zoaforlai9</t>
  </si>
  <si>
    <t>CND246KTS</t>
  </si>
  <si>
    <t>Agostino Andrea (IDG2043)</t>
  </si>
  <si>
    <t>ITDGTOL00063902</t>
  </si>
  <si>
    <t>Ishicing97</t>
  </si>
  <si>
    <t>CND246KTY</t>
  </si>
  <si>
    <t>BARCELLONA - Llibert -</t>
  </si>
  <si>
    <t>ITDGTOL00098501</t>
  </si>
  <si>
    <t>Streetreal1913</t>
  </si>
  <si>
    <t>ITDGTOL00098502</t>
  </si>
  <si>
    <t>Streetreal1914</t>
  </si>
  <si>
    <t>ITDGTOL00098503</t>
  </si>
  <si>
    <t>Streetreal1915</t>
  </si>
  <si>
    <t>Rivella Emanuele</t>
  </si>
  <si>
    <t>ITDGTOL00063898</t>
  </si>
  <si>
    <t>Omiandowi6</t>
  </si>
  <si>
    <t>CND246KVB</t>
  </si>
  <si>
    <t>Innocenti Florenz</t>
  </si>
  <si>
    <t>ITDGTOL00063890</t>
  </si>
  <si>
    <t>Tuarconac5</t>
  </si>
  <si>
    <t>CND246KW0</t>
  </si>
  <si>
    <t>Pasini Valerio (IDG2032)</t>
  </si>
  <si>
    <t>ITDGTOL00063887</t>
  </si>
  <si>
    <t>Kerangoma8</t>
  </si>
  <si>
    <t>CND246KTR</t>
  </si>
  <si>
    <t>Galati Gianluigi (IDG2045)</t>
  </si>
  <si>
    <t>ITDGTOL00063879</t>
  </si>
  <si>
    <t>Enessepr69</t>
  </si>
  <si>
    <t>CND246KTT</t>
  </si>
  <si>
    <t>Maruca Giulio (IDG2033)</t>
  </si>
  <si>
    <t>ITDGTOL00063907</t>
  </si>
  <si>
    <t>QUEpas4</t>
  </si>
  <si>
    <t>Bertino Giovanni (IDG2049)</t>
  </si>
  <si>
    <t>ITDGTOL00063895</t>
  </si>
  <si>
    <t>Igzationf1</t>
  </si>
  <si>
    <t>CND246KV9</t>
  </si>
  <si>
    <t>frese nichelino (rif Sarcone)</t>
  </si>
  <si>
    <t>Clickcrick2405</t>
  </si>
  <si>
    <t>Bertinotti Marco (IDG2202)</t>
  </si>
  <si>
    <t>ITDGTOL00063888</t>
  </si>
  <si>
    <t>Oncheryl07</t>
  </si>
  <si>
    <t>CND246KVG</t>
  </si>
  <si>
    <t>Marenghi Denis (IDG2006)</t>
  </si>
  <si>
    <t>ITDGTOL00063889</t>
  </si>
  <si>
    <t>Tithuino55</t>
  </si>
  <si>
    <t>CND246KV3</t>
  </si>
  <si>
    <t>Vitolo Carmine (IDG2002)</t>
  </si>
  <si>
    <t>ITDGTOL00063881</t>
  </si>
  <si>
    <t>Nessitic59</t>
  </si>
  <si>
    <t>CND246KVW</t>
  </si>
  <si>
    <t>Roberto Ghignone (IDG2059)</t>
  </si>
  <si>
    <t>ITDGTOL00063880</t>
  </si>
  <si>
    <t>Onockine86</t>
  </si>
  <si>
    <t>CND246KVV</t>
  </si>
  <si>
    <t>Pompele Daniele (IDG2007)</t>
  </si>
  <si>
    <t>Themenife5</t>
  </si>
  <si>
    <t>CND246KTZ</t>
  </si>
  <si>
    <t>Cagno Francesco (IDG2014)</t>
  </si>
  <si>
    <t>ITDGTOL00063897</t>
  </si>
  <si>
    <t>Malpopter7</t>
  </si>
  <si>
    <t>CND246KVY</t>
  </si>
  <si>
    <t>Barbon Paolo (IDG2039)</t>
  </si>
  <si>
    <t>ITDGTOL00063883</t>
  </si>
  <si>
    <t>Ueeplazi21</t>
  </si>
  <si>
    <t>CND246KVF</t>
  </si>
  <si>
    <t>Gattuso Yanez (IDG2179)</t>
  </si>
  <si>
    <t>Castorina Riccardo (IDG2051)</t>
  </si>
  <si>
    <t>Buttignoni Enrico (IDG2081)</t>
  </si>
  <si>
    <t>Nallercum0</t>
  </si>
  <si>
    <t>CND246KTV</t>
  </si>
  <si>
    <t>Gisso Carlo (IDG2063)</t>
  </si>
  <si>
    <t>ITDGTOL00063884</t>
  </si>
  <si>
    <t>Lientist07</t>
  </si>
  <si>
    <t>CND246KVM</t>
  </si>
  <si>
    <t>Boschi Vittorio (IDG2047)</t>
  </si>
  <si>
    <t>ITDGTOL00063882</t>
  </si>
  <si>
    <t>Quatisec73</t>
  </si>
  <si>
    <t>CND246KVH</t>
  </si>
  <si>
    <t>Martino Luca Antonio (IDG2041)</t>
  </si>
  <si>
    <t>ITDGTOL00063903</t>
  </si>
  <si>
    <t>CND246KVL</t>
  </si>
  <si>
    <t>Mei Yujie (IDG2068)</t>
  </si>
  <si>
    <t>Massa Massimiliano (IDG2040)</t>
  </si>
  <si>
    <t>ITDGTOL00063885</t>
  </si>
  <si>
    <t>Equodeada3</t>
  </si>
  <si>
    <t>CND246KVS</t>
  </si>
  <si>
    <t>Mininno Giuseppe (IDG2056)</t>
  </si>
  <si>
    <t>ITDGTOL00063906</t>
  </si>
  <si>
    <t>NELLAbenu7</t>
  </si>
  <si>
    <t>CND246KVT</t>
  </si>
  <si>
    <t xml:space="preserve">Daniel Walch </t>
  </si>
  <si>
    <t>ITDGTOL00063871</t>
  </si>
  <si>
    <t>Alinglypo9</t>
  </si>
  <si>
    <t>CND246KVX</t>
  </si>
  <si>
    <t>Guida Andrea (IDG1973)</t>
  </si>
  <si>
    <t>ITDGTOL00063875</t>
  </si>
  <si>
    <t>Brastoad67</t>
  </si>
  <si>
    <t>CND246KVN</t>
  </si>
  <si>
    <t>Allegrezza Davide (IDG2116)</t>
  </si>
  <si>
    <t>Vectalaw50</t>
  </si>
  <si>
    <t>CND246KT9</t>
  </si>
  <si>
    <t>Bosco Franco (IDG2046)</t>
  </si>
  <si>
    <t>ITDGTOL00063904</t>
  </si>
  <si>
    <t>Sneadjibi8</t>
  </si>
  <si>
    <t>CND246KVK</t>
  </si>
  <si>
    <t>weidmann martin - zagato</t>
  </si>
  <si>
    <t>ITDGTOL00064265</t>
  </si>
  <si>
    <t>CiaptMust4</t>
  </si>
  <si>
    <t>CND631400X</t>
  </si>
  <si>
    <t>Ignoti Fiorella (IDG2069)</t>
  </si>
  <si>
    <t>ITDGTOL00063873</t>
  </si>
  <si>
    <t>Nethodinc3</t>
  </si>
  <si>
    <t>CND246KV5</t>
  </si>
  <si>
    <t>nenad milic</t>
  </si>
  <si>
    <t>ITDGTOL00063872</t>
  </si>
  <si>
    <t>Petrucit25</t>
  </si>
  <si>
    <t>CND246KW1</t>
  </si>
  <si>
    <t>Rota Alessandro</t>
  </si>
  <si>
    <t>Xitlon%0</t>
  </si>
  <si>
    <t>Bosco Bartolomeo (IDG2013) - Verificare</t>
  </si>
  <si>
    <t>ITDGTOL00063896</t>
  </si>
  <si>
    <t>Ayoderic37</t>
  </si>
  <si>
    <t>CND246KV8</t>
  </si>
  <si>
    <t>Nicelli</t>
  </si>
  <si>
    <t>Sito Valerio (IDG2075)</t>
  </si>
  <si>
    <t>Balbi Giovanni</t>
  </si>
  <si>
    <t>15/01/2017</t>
  </si>
  <si>
    <t>ITDGTOL00063876</t>
  </si>
  <si>
    <t>CND246KTP</t>
  </si>
  <si>
    <t>Falchi Giuseppe (IDG2078)</t>
  </si>
  <si>
    <t>ITDGTOL00063877</t>
  </si>
  <si>
    <t>CND246KW3</t>
  </si>
  <si>
    <t>D'Esposito Barbara</t>
  </si>
  <si>
    <t>ITDGTOL00063524</t>
  </si>
  <si>
    <t>Ghiotto Giovanni (IDG2064)</t>
  </si>
  <si>
    <t>Costantino Vessis (IDG2136)</t>
  </si>
  <si>
    <t>Boaglio Daniele</t>
  </si>
  <si>
    <t>Alba Andrea (IDG2074)</t>
  </si>
  <si>
    <t>ITDGTOL00063908</t>
  </si>
  <si>
    <t>Boido Claudio (ITDGTOL00054740)</t>
  </si>
  <si>
    <t>Zagato Alessio</t>
  </si>
  <si>
    <t>ITDGTOL00064580</t>
  </si>
  <si>
    <t xml:space="preserve">Hu Xuzhou (ITDGTOL00054758) </t>
  </si>
  <si>
    <t>ITDGTOL00064581</t>
  </si>
  <si>
    <t>SCARATI DAVIDE</t>
  </si>
  <si>
    <t>ITDGTOL00064577</t>
  </si>
  <si>
    <t>Mazzanti Sergio</t>
  </si>
  <si>
    <t>ITDGTOL00064583</t>
  </si>
  <si>
    <t>Gariano Gian Carlo IG/P-61</t>
  </si>
  <si>
    <t>ITDGTOL00064582</t>
  </si>
  <si>
    <t>Villata Maria Luisa (IDG2083)</t>
  </si>
  <si>
    <t>ITDGTOL00064564</t>
  </si>
  <si>
    <t>Bianco Davide (IDG2082)</t>
  </si>
  <si>
    <t>ITDGTOL00064578</t>
  </si>
  <si>
    <t>Trisoglio Luca (IDG2079)</t>
  </si>
  <si>
    <t>Di Caro Lorenzo (IDG1973)</t>
  </si>
  <si>
    <t>Trombin Marco (IDG2187)</t>
  </si>
  <si>
    <t>ITDGTOL00064576</t>
  </si>
  <si>
    <t>Marino Loris Giovanni (IDG2191)</t>
  </si>
  <si>
    <t>ITDGTOL00064584</t>
  </si>
  <si>
    <t>Cappini Simone IG/EE</t>
  </si>
  <si>
    <t>ITDGTOL00064562</t>
  </si>
  <si>
    <t>Parodi Andrea (IDG2037)</t>
  </si>
  <si>
    <t>ITDGTOL00064574</t>
  </si>
  <si>
    <t>Polese Giampaolo (IDG2186)</t>
  </si>
  <si>
    <t>ITDGTOL00064570</t>
  </si>
  <si>
    <t>Paolo Bocca (GOM)</t>
  </si>
  <si>
    <t>Moschini Stefano (IDG2183)</t>
  </si>
  <si>
    <t>ITDGTOL00064569</t>
  </si>
  <si>
    <t>Berchialla Davide (IDG2177)</t>
  </si>
  <si>
    <t>ITDGTOL00064565</t>
  </si>
  <si>
    <t>Dallavalle Claudio (IDG2080)</t>
  </si>
  <si>
    <t>ITDGTOL00064579</t>
  </si>
  <si>
    <t>Travaglianti Vito (IDG2070)</t>
  </si>
  <si>
    <t>Rainaudo Davide (IDG2180)</t>
  </si>
  <si>
    <t>Milani Federico</t>
  </si>
  <si>
    <t>Musso Gabriele (IDG2084)</t>
  </si>
  <si>
    <t>ITDGTOL00064566</t>
  </si>
  <si>
    <t>Cavaglia Renato</t>
  </si>
  <si>
    <t xml:space="preserve">Leone Amedeo </t>
  </si>
  <si>
    <t>ITDGTOL00064571</t>
  </si>
  <si>
    <t>Tardito Marcello (IDG2081)</t>
  </si>
  <si>
    <t>ITDGTOL00064855</t>
  </si>
  <si>
    <t>CND7126GPH</t>
  </si>
  <si>
    <t>Lisco Giulia (IDG2190)</t>
  </si>
  <si>
    <t>ITDGTOL00064849</t>
  </si>
  <si>
    <t>CND7126GPP</t>
  </si>
  <si>
    <t>Pautassi Luca (ITDGTOC0EXT0197)</t>
  </si>
  <si>
    <t>ITDGTOL00064561</t>
  </si>
  <si>
    <t>CND65146WC</t>
  </si>
  <si>
    <t>Bosco Bartolomeo (IDG2013)</t>
  </si>
  <si>
    <t>Giacometti Fabrizio(ITDGTOL00063535)</t>
  </si>
  <si>
    <t>ITDGTOL00064841</t>
  </si>
  <si>
    <t>CND7126GQ2</t>
  </si>
  <si>
    <t>Rastelli Elisa(IDG2362)</t>
  </si>
  <si>
    <t>Giovanni Balbi</t>
  </si>
  <si>
    <t>ITDGTOL00064839</t>
  </si>
  <si>
    <t>Cucinella Giacomo(IDG2269)</t>
  </si>
  <si>
    <t>ITDGTOL00064851</t>
  </si>
  <si>
    <t>CND7126GPS</t>
  </si>
  <si>
    <t>Venza Davide (IDG2387)</t>
  </si>
  <si>
    <t>ITDGTOL00064850</t>
  </si>
  <si>
    <t>CND7126GPN</t>
  </si>
  <si>
    <t>Vespa Daniele (IDG2205)</t>
  </si>
  <si>
    <t>ITDGTOL00064844</t>
  </si>
  <si>
    <t>CND7126GPF</t>
  </si>
  <si>
    <t>Sonetto Roberto (IDG2188)</t>
  </si>
  <si>
    <t>ITDGTOL00064843</t>
  </si>
  <si>
    <t>Bonnardel Riccardo (IDG2215)</t>
  </si>
  <si>
    <t>ITDGTOL00064848</t>
  </si>
  <si>
    <t>CND7126GQ6</t>
  </si>
  <si>
    <t>Puggia Giorgio (IDG2199)</t>
  </si>
  <si>
    <t>CND7126GQ3</t>
  </si>
  <si>
    <t>Giordano Salvatore(IDG2073)</t>
  </si>
  <si>
    <t>ITDGTOL00064842</t>
  </si>
  <si>
    <t>CND7126GPB</t>
  </si>
  <si>
    <t>Graglia Cesare (IDG2210)</t>
  </si>
  <si>
    <t>CND7126GPX</t>
  </si>
  <si>
    <t>Albano Marco (IDG2209)</t>
  </si>
  <si>
    <t>CND7126GQ0</t>
  </si>
  <si>
    <t>Scalvenzi Claudio</t>
  </si>
  <si>
    <t>ITDGTOL00064854</t>
  </si>
  <si>
    <t>CND7126GQ1</t>
  </si>
  <si>
    <t>Maccari Massimo (IDG2204)</t>
  </si>
  <si>
    <t>ITDGTOL00064840</t>
  </si>
  <si>
    <t>CND7126GQ5</t>
  </si>
  <si>
    <t>Modica Ignazio (IDG2221)</t>
  </si>
  <si>
    <t>ITDGTOL00064922</t>
  </si>
  <si>
    <t>CND720130R</t>
  </si>
  <si>
    <t>Di Corso Francesco (IDG2211)</t>
  </si>
  <si>
    <t>ITDGTOL00064853</t>
  </si>
  <si>
    <t>CND7126GP8</t>
  </si>
  <si>
    <t>Turra Giuseppe (IDG2055)</t>
  </si>
  <si>
    <t>ITDGTOL00064563</t>
  </si>
  <si>
    <t>CND65146VY</t>
  </si>
  <si>
    <t>Marzo Antonio (IDG2180)</t>
  </si>
  <si>
    <t>ITDGTOL00064836</t>
  </si>
  <si>
    <t xml:space="preserve">CND7126GPM </t>
  </si>
  <si>
    <t>Caveglia Maurizio (IDG2200)</t>
  </si>
  <si>
    <t>ITDGTOL00064838</t>
  </si>
  <si>
    <t>CND7126GPQ</t>
  </si>
  <si>
    <t>Scaliti Alessio (IDG2214)</t>
  </si>
  <si>
    <t>ITDGTOL00064925</t>
  </si>
  <si>
    <t>CND720130V</t>
  </si>
  <si>
    <t>Capriotti Eduardo (IDG2201)</t>
  </si>
  <si>
    <t>ITDGTOL00064834</t>
  </si>
  <si>
    <t>CND7126GPY</t>
  </si>
  <si>
    <t>Pierpaolo Pomponio(IDG2372)</t>
  </si>
  <si>
    <t>ITDGTOL00064835</t>
  </si>
  <si>
    <t>CND7126GQ4</t>
  </si>
  <si>
    <t>Fernandes Ricardo</t>
  </si>
  <si>
    <t>ITDGTOL00064923</t>
  </si>
  <si>
    <t>CND720130T</t>
  </si>
  <si>
    <t>Rondina Massimo (IDG2189)</t>
  </si>
  <si>
    <t>ITDGTOL00064837</t>
  </si>
  <si>
    <t xml:space="preserve">CND7126GPJ </t>
  </si>
  <si>
    <t>Prota Ciro (IDG2192)</t>
  </si>
  <si>
    <t>ITDGTOL00064833</t>
  </si>
  <si>
    <t xml:space="preserve">CND7126GPV </t>
  </si>
  <si>
    <t>Giusto Michele (IDG2206)</t>
  </si>
  <si>
    <t>ITDGTOL00064847</t>
  </si>
  <si>
    <t>CND7126GPT</t>
  </si>
  <si>
    <t>Grimaldi Oscar(IDG2254)</t>
  </si>
  <si>
    <t>ITDGTOL00064921</t>
  </si>
  <si>
    <t>CND720130S</t>
  </si>
  <si>
    <t>Gerbino Daniele(IDG2282)</t>
  </si>
  <si>
    <t>ITDGTOL00064828</t>
  </si>
  <si>
    <t>CND7126GPD</t>
  </si>
  <si>
    <t>Burelli Cristian(IDG2293)</t>
  </si>
  <si>
    <t>ITDGTOL00064830</t>
  </si>
  <si>
    <t>CND7126GPZ</t>
  </si>
  <si>
    <t>Marini Davide(IDG2274)</t>
  </si>
  <si>
    <t>ITDGTOL00064829</t>
  </si>
  <si>
    <t>CND7126GPW</t>
  </si>
  <si>
    <t>Leone Amedeo (IDG2218)</t>
  </si>
  <si>
    <t>ITDGTOL00064832</t>
  </si>
  <si>
    <t>CND7126GPG</t>
  </si>
  <si>
    <t>Salvatore Di Gesaro (IDG2419)</t>
  </si>
  <si>
    <t>ITDGTOL00064831</t>
  </si>
  <si>
    <t>CND7126GPK</t>
  </si>
  <si>
    <t>Usai Walter (IDG2222)</t>
  </si>
  <si>
    <t>ITDGTOL00064826</t>
  </si>
  <si>
    <t>CND7126GP9</t>
  </si>
  <si>
    <t>Cordero Lorenzo (ITDGTOL00058570)</t>
  </si>
  <si>
    <t>CND7126GPC</t>
  </si>
  <si>
    <t>Giorgis Maurizio (IDG2358)</t>
  </si>
  <si>
    <t>ITDGTOL00065039</t>
  </si>
  <si>
    <t>CND72704VD</t>
  </si>
  <si>
    <t>Muletto CAE (IDG2360)</t>
  </si>
  <si>
    <t>ITDGTOL00064924</t>
  </si>
  <si>
    <t>CND720130W</t>
  </si>
  <si>
    <t>Bono, Barbara (IDG2296)</t>
  </si>
  <si>
    <t>ITDGTOL00065032</t>
  </si>
  <si>
    <t>CND72704VK</t>
  </si>
  <si>
    <t>Villanelli Debora(IDG2416)</t>
  </si>
  <si>
    <t>ITDGTOL00065040</t>
  </si>
  <si>
    <t>CND72704V3</t>
  </si>
  <si>
    <t>Muletto</t>
  </si>
  <si>
    <t>ITDGTOL00065033</t>
  </si>
  <si>
    <t>CND72704V6</t>
  </si>
  <si>
    <t>ITDGTOL00065034</t>
  </si>
  <si>
    <t>CND72704TR</t>
  </si>
  <si>
    <t>ITDGTOL00065035</t>
  </si>
  <si>
    <t>CND72704VW</t>
  </si>
  <si>
    <t>Ceaglio Marco (IDG2361)</t>
  </si>
  <si>
    <t>ITDGTOL00065025</t>
  </si>
  <si>
    <t>CND72704V8</t>
  </si>
  <si>
    <t>Crescenzi, Leonardo (IDG2287)</t>
  </si>
  <si>
    <t>ITDGTOL00065024</t>
  </si>
  <si>
    <t>CND72704V2</t>
  </si>
  <si>
    <t>Borrelli Massimo</t>
  </si>
  <si>
    <t>CND60821KS</t>
  </si>
  <si>
    <t>Bezzan, Patrizio (IDG2294)</t>
  </si>
  <si>
    <t>ITDGTOL00065023</t>
  </si>
  <si>
    <t>CND72704VG</t>
  </si>
  <si>
    <t>Fracchia Cristiano</t>
  </si>
  <si>
    <t>ITDGTOL00065022</t>
  </si>
  <si>
    <t>CND72704TT</t>
  </si>
  <si>
    <t>Cirulli, Luca Giuseppe (IDG2277)</t>
  </si>
  <si>
    <t>ITDGTOL00065010</t>
  </si>
  <si>
    <t xml:space="preserve">CND72704V4 </t>
  </si>
  <si>
    <t>Massimino, Claudio (IDG2295)</t>
  </si>
  <si>
    <t>ITDGTOL00065009</t>
  </si>
  <si>
    <t>CND72704VH</t>
  </si>
  <si>
    <t>Ullio, Andrea (IDG2278)</t>
  </si>
  <si>
    <t>ITDGTOL00065008</t>
  </si>
  <si>
    <t xml:space="preserve">CND72704VB </t>
  </si>
  <si>
    <t>Stefani, Flavio (IDG2285)*</t>
  </si>
  <si>
    <t>ITDGTOL00065021</t>
  </si>
  <si>
    <t xml:space="preserve">CND72704VM </t>
  </si>
  <si>
    <t>Siciliano Luca (IDG2365)</t>
  </si>
  <si>
    <t>ITDGTOL00065020</t>
  </si>
  <si>
    <t xml:space="preserve">CND72704VR </t>
  </si>
  <si>
    <t>Mezzacappa Federico (idg2364)*</t>
  </si>
  <si>
    <t>ITDGTOL00065029</t>
  </si>
  <si>
    <t>CND72704TV</t>
  </si>
  <si>
    <t>Nerone, Edoardo (IDG2272)*</t>
  </si>
  <si>
    <t>ITDGTOL00065026</t>
  </si>
  <si>
    <t>CND72704VV</t>
  </si>
  <si>
    <t>Giuffrida Andrea (IDG2366)*</t>
  </si>
  <si>
    <t>CND72704VQ</t>
  </si>
  <si>
    <t>Peddone, Mario (IDG2292)*</t>
  </si>
  <si>
    <t>ITDGTOL00065030</t>
  </si>
  <si>
    <t>CND72704VS</t>
  </si>
  <si>
    <t>Pecoraro, Antonio (IDG2288)*</t>
  </si>
  <si>
    <t>ITDGTOL00065031</t>
  </si>
  <si>
    <t>CND72704TY</t>
  </si>
  <si>
    <t>Scarfidi Rossano (IDG2240)</t>
  </si>
  <si>
    <t>ITDGTOL00065028</t>
  </si>
  <si>
    <t>CND72704VC</t>
  </si>
  <si>
    <t>Paderi, Efisio Francesco (IDG2271)*</t>
  </si>
  <si>
    <t>ITDGTOL00065041</t>
  </si>
  <si>
    <t>CND72704VF</t>
  </si>
  <si>
    <t>Valsania Marco (IDG2390)</t>
  </si>
  <si>
    <t>ITDGTOL00065038</t>
  </si>
  <si>
    <t>CND72704TW</t>
  </si>
  <si>
    <t>Ammirata Franco</t>
  </si>
  <si>
    <t>ITDGTOL00065036</t>
  </si>
  <si>
    <t>CND72704V5</t>
  </si>
  <si>
    <t>Caiero Dario (IDG2394)</t>
  </si>
  <si>
    <t>ITDGTOL00065005</t>
  </si>
  <si>
    <t>CND72704V9</t>
  </si>
  <si>
    <t>Mastromatteo Salvatore (IDG2369)</t>
  </si>
  <si>
    <t>ITDGTOL00065013</t>
  </si>
  <si>
    <t>CND72704TZ</t>
  </si>
  <si>
    <t>Domanski, Maks Jakub</t>
  </si>
  <si>
    <t>ITDGTOL00065037</t>
  </si>
  <si>
    <t>CND72704TS</t>
  </si>
  <si>
    <t>Moro Flavio (IDG2382)</t>
  </si>
  <si>
    <t>ITDGTOL00065012</t>
  </si>
  <si>
    <t>CND72704VN</t>
  </si>
  <si>
    <t>Davide Fragassi</t>
  </si>
  <si>
    <t>Mazzardis Roberto (IDG2395)</t>
  </si>
  <si>
    <t>ITDGTOL00065011</t>
  </si>
  <si>
    <t>CND72704VP</t>
  </si>
  <si>
    <t>Sabba Diego (IDG2375)</t>
  </si>
  <si>
    <t>CND72704VX</t>
  </si>
  <si>
    <t>Agnelli Marco (IDG2377)</t>
  </si>
  <si>
    <t>ITDGTOL00065018</t>
  </si>
  <si>
    <t>CND72704VJ</t>
  </si>
  <si>
    <t>Marinello Maurizio (IDG2376)</t>
  </si>
  <si>
    <t>CND72704V7</t>
  </si>
  <si>
    <t>Danna Fabio (IDG2367)</t>
  </si>
  <si>
    <t>ITDGTOL00065017</t>
  </si>
  <si>
    <t>CND72704VT</t>
  </si>
  <si>
    <t>Muletto EC (IDG2033)</t>
  </si>
  <si>
    <t>ITDGTOL00065006</t>
  </si>
  <si>
    <t>CND72704V1</t>
  </si>
  <si>
    <t>Muletto EC (IDG2298)</t>
  </si>
  <si>
    <t>ITDGTOL00065007</t>
  </si>
  <si>
    <t>CND72704TX</t>
  </si>
  <si>
    <t>Bocca Paolo (IDG2378)</t>
  </si>
  <si>
    <t>ITDGTOL00065014</t>
  </si>
  <si>
    <t>CND72704V0</t>
  </si>
  <si>
    <t>Cavallero, Piercostanzo (IDG2284)</t>
  </si>
  <si>
    <t>ITDGTOL00065145</t>
  </si>
  <si>
    <t>CND7296QK3</t>
  </si>
  <si>
    <t>OK*</t>
  </si>
  <si>
    <t>Franzoso Paolo (IDG2373)</t>
  </si>
  <si>
    <t>CND7296QJW</t>
  </si>
  <si>
    <t>Urbino Pasquale (IDG2379)</t>
  </si>
  <si>
    <t>ITDGTOL00065015</t>
  </si>
  <si>
    <t>CND72704VL</t>
  </si>
  <si>
    <t>Di Ottavio Simone (IDG2307)*</t>
  </si>
  <si>
    <t>ITDGTOL00065141</t>
  </si>
  <si>
    <t>CND7296QK0</t>
  </si>
  <si>
    <t>Orsogna Pasqualino (IDG2374)*</t>
  </si>
  <si>
    <t>ITDGTOL00065140</t>
  </si>
  <si>
    <t>CND7296QJZ</t>
  </si>
  <si>
    <t>Cavallaro(ITDGTOL00058553)</t>
  </si>
  <si>
    <t>ITDGTOL00065139</t>
  </si>
  <si>
    <t>CND7296QJY</t>
  </si>
  <si>
    <t>Berghi Dario (IDG2359)</t>
  </si>
  <si>
    <t>ITDGTOL00065138</t>
  </si>
  <si>
    <t>CND7296QJX</t>
  </si>
  <si>
    <t>Muletto CAD Nichelino</t>
  </si>
  <si>
    <t>Chieca Giuseppe (ITDGTOL00058546)</t>
  </si>
  <si>
    <t>CND743268M</t>
  </si>
  <si>
    <t>Rizzo Giuseppe</t>
  </si>
  <si>
    <t>ITDGTOL00065142</t>
  </si>
  <si>
    <t>CND7296QK2</t>
  </si>
  <si>
    <t>Sirchia Federico</t>
  </si>
  <si>
    <t>ITDGTOL00065511</t>
  </si>
  <si>
    <t xml:space="preserve">CND743268R </t>
  </si>
  <si>
    <t>Fisicaro Mirko</t>
  </si>
  <si>
    <t>ITDGTOL00065510</t>
  </si>
  <si>
    <t>CND743268P</t>
  </si>
  <si>
    <t>Jiao Yang (stage IG/GT-2)</t>
  </si>
  <si>
    <t>HP Zbook 15 G2</t>
  </si>
  <si>
    <t>Lequio Marziella</t>
  </si>
  <si>
    <t>HP Zbook 15 G3</t>
  </si>
  <si>
    <t>ITDGTOL00065509</t>
  </si>
  <si>
    <t>CND743268N</t>
  </si>
  <si>
    <t>Car Giacomo (IDG2381)</t>
  </si>
  <si>
    <t>ITDGTOL00065137</t>
  </si>
  <si>
    <t>CND7296QJT</t>
  </si>
  <si>
    <t>Bruzzese Mirko(ITDGTOL00058551)</t>
  </si>
  <si>
    <t>CND7296QK1</t>
  </si>
  <si>
    <t>Massimo Ellena</t>
  </si>
  <si>
    <t>HP ZBOOK 15</t>
  </si>
  <si>
    <t>Fulfaro Alessandro</t>
  </si>
  <si>
    <t>HP ZBOOK 15 G3</t>
  </si>
  <si>
    <t>ITDGTOL00065613</t>
  </si>
  <si>
    <t>CND7487ZP1</t>
  </si>
  <si>
    <t>CND7487ZP2</t>
  </si>
  <si>
    <t>Berardo Davide(ITDGTOL00059141)</t>
  </si>
  <si>
    <t>ITDGTOL00065143</t>
  </si>
  <si>
    <t>CND7296QJV</t>
  </si>
  <si>
    <t xml:space="preserve"> Sigloch Bernd</t>
  </si>
  <si>
    <t>ITDGTOL00065507</t>
  </si>
  <si>
    <t>CND743268S</t>
  </si>
  <si>
    <t>Wiedner Sunhilde</t>
  </si>
  <si>
    <t>Nikolova Tereza(ITDGTOC00058673)</t>
  </si>
  <si>
    <t>ITDGTOL00065512</t>
  </si>
  <si>
    <t>CND743268Q</t>
  </si>
  <si>
    <t>Langione Giuseppe</t>
  </si>
  <si>
    <t>ITDGTOL00065513</t>
  </si>
  <si>
    <t>CND743268W</t>
  </si>
  <si>
    <t>De Martini Laura</t>
  </si>
  <si>
    <t>ITDGTOL00065728</t>
  </si>
  <si>
    <t>CND8043TND</t>
  </si>
  <si>
    <t>FUORI DOMINIO</t>
  </si>
  <si>
    <t>ITDGTOL00065729</t>
  </si>
  <si>
    <t>CND8043TNC</t>
  </si>
  <si>
    <t>ITDGTOL00065730</t>
  </si>
  <si>
    <t>CND8043TN8</t>
  </si>
  <si>
    <t>ITDGTOL00065731</t>
  </si>
  <si>
    <t>Bertipaglia Niccolò</t>
  </si>
  <si>
    <t>ITDGTOL00065514</t>
  </si>
  <si>
    <t>CND743268X</t>
  </si>
  <si>
    <t>Antonetti Sergio (IDG2420)</t>
  </si>
  <si>
    <t>Musco Nunzio (IDG2437)</t>
  </si>
  <si>
    <t>Fiore Gian Luca (VirtualBox 59744)</t>
  </si>
  <si>
    <t>CND8054ZW8</t>
  </si>
  <si>
    <t>Burelli Roberto (VirtualBox 59747)</t>
  </si>
  <si>
    <t>ITDGTOL00065760</t>
  </si>
  <si>
    <t>CND8054ZVM</t>
  </si>
  <si>
    <t>Corradin Stefano (VirtualBox 59412)</t>
  </si>
  <si>
    <t>CND8054ZVL</t>
  </si>
  <si>
    <t>Ferrero Laura (VirtualBox 60161)</t>
  </si>
  <si>
    <t>CND8054ZWB</t>
  </si>
  <si>
    <t>Jacomassi Everton</t>
  </si>
  <si>
    <t>CND65146W3</t>
  </si>
  <si>
    <t>Ivaldi Davide (VirtualBox 59409)</t>
  </si>
  <si>
    <t xml:space="preserve">CND8054ZVC </t>
  </si>
  <si>
    <t>La Coppola Mattia</t>
  </si>
  <si>
    <t>ITDGTOL00065515</t>
  </si>
  <si>
    <t>CND743268V</t>
  </si>
  <si>
    <t>Renna Simone (VirtualBox 60155)</t>
  </si>
  <si>
    <t xml:space="preserve">CND8054ZVD </t>
  </si>
  <si>
    <t>Buttiglieri Alberto (Videofotometro)</t>
  </si>
  <si>
    <t>ITDGTOL00065761</t>
  </si>
  <si>
    <t>CND8054ZVF</t>
  </si>
  <si>
    <t>Ceccio Giuseppe</t>
  </si>
  <si>
    <t>ITDGTOL00065770</t>
  </si>
  <si>
    <t>CND8054ZVQ</t>
  </si>
  <si>
    <t>Minerdo Matteo (IDG2216)</t>
  </si>
  <si>
    <t>ITDGTOL00065765</t>
  </si>
  <si>
    <t>CND8054ZVB</t>
  </si>
  <si>
    <t>Quesito Francesco (VirtualBox 64505)</t>
  </si>
  <si>
    <t>ITDGTOL00065759</t>
  </si>
  <si>
    <t>CND8054ZW6</t>
  </si>
  <si>
    <t>Taddeo Angelo(IDG2483)</t>
  </si>
  <si>
    <t>ITDGTOL00065767</t>
  </si>
  <si>
    <t>CND8054ZW2</t>
  </si>
  <si>
    <t>Enrico Moccia(ITDGTOL00064521)</t>
  </si>
  <si>
    <t>ITDGTOL00065771</t>
  </si>
  <si>
    <t>CND8054ZV8</t>
  </si>
  <si>
    <t>Montanaro Fabrizio (VirtualBox 60157 + IDG2076)</t>
  </si>
  <si>
    <t>CND8054ZWC</t>
  </si>
  <si>
    <t>Bruno Salvatore (IDG2383)</t>
  </si>
  <si>
    <t>CND8054ZWG</t>
  </si>
  <si>
    <t>D'Araio Stefano (ITDGTOC00059050)</t>
  </si>
  <si>
    <t>ITDGTOL00065736</t>
  </si>
  <si>
    <t>CND8054ZVZ</t>
  </si>
  <si>
    <t>Rutigliano Roberto (ITDGTOC00059298)</t>
  </si>
  <si>
    <t>ITDGTOL00065737</t>
  </si>
  <si>
    <t>CND8054ZVX</t>
  </si>
  <si>
    <t>Sarcone Alessandro (Frese Nichelino)</t>
  </si>
  <si>
    <t>ITDGTOL00065755</t>
  </si>
  <si>
    <t>CND8054ZV7</t>
  </si>
  <si>
    <t>ITDGTOL00065756</t>
  </si>
  <si>
    <t>CND8054ZVT</t>
  </si>
  <si>
    <t>Cojuhar Taras(assunzione aprile 4)</t>
  </si>
  <si>
    <t>CND8054ZVJ</t>
  </si>
  <si>
    <t>Negro Elena(IDG2502)</t>
  </si>
  <si>
    <t>ITDGTOL00065754</t>
  </si>
  <si>
    <t>CND8054ZW9</t>
  </si>
  <si>
    <t>Folli Moreno (IDG2489)</t>
  </si>
  <si>
    <t>CND65146W4</t>
  </si>
  <si>
    <t>Actis Gianluca (IDG2436)</t>
  </si>
  <si>
    <t>CND8054ZV6</t>
  </si>
  <si>
    <t>Biasori Andrea(ITDGTOL00059811)</t>
  </si>
  <si>
    <t>HP ZBOOK 15 G2</t>
  </si>
  <si>
    <t>CND6246KV5</t>
  </si>
  <si>
    <t>Contardo Fabio(assunzione aprile 3)</t>
  </si>
  <si>
    <t>CND81294MR</t>
  </si>
  <si>
    <t>Limonetti Pasquale(assunzione aprile 2)</t>
  </si>
  <si>
    <t>ITDGTOL00065739</t>
  </si>
  <si>
    <t>CND81294MK</t>
  </si>
  <si>
    <t>Latte Massimo (VirtualBox 60153)</t>
  </si>
  <si>
    <t>CND8054ZVY</t>
  </si>
  <si>
    <t>Gori Matteo (VirtualBox 63580)</t>
  </si>
  <si>
    <t>CND81294MT</t>
  </si>
  <si>
    <t>Castellaro Marco (VirtualBox 60158)</t>
  </si>
  <si>
    <t>CND8054ZW7</t>
  </si>
  <si>
    <t>Iurlaro Luigi (VirtualBox 64502)</t>
  </si>
  <si>
    <t>CND8054ZW3</t>
  </si>
  <si>
    <t>Piccioni Matilde(Assunzione maggio 10)</t>
  </si>
  <si>
    <t xml:space="preserve">CND8054ZVN </t>
  </si>
  <si>
    <t>Serafin Claudio (Assunzione maggio 9)</t>
  </si>
  <si>
    <t>CND8054ZVP</t>
  </si>
  <si>
    <t>Ciurca Sorin (VirtualBox)</t>
  </si>
  <si>
    <t>CND8054ZV9</t>
  </si>
  <si>
    <t>Ramella Vittorio(ITDGTOL00060041)</t>
  </si>
  <si>
    <t>Haack Christopher (assunzione aprile 1)</t>
  </si>
  <si>
    <t>CND8054ZW1</t>
  </si>
  <si>
    <t>Brignolo Simone (IDG2482)</t>
  </si>
  <si>
    <t>CND8054ZVG</t>
  </si>
  <si>
    <t>Gardiol Claudio</t>
  </si>
  <si>
    <t>ITDGTOL00065936</t>
  </si>
  <si>
    <t>CND8054ZVH</t>
  </si>
  <si>
    <t>Morra Riccardo (IDG2424)</t>
  </si>
  <si>
    <t>CND8054ZVR</t>
  </si>
  <si>
    <t>Mancini Stefano(Assunzione maggio 8) IDG2177</t>
  </si>
  <si>
    <t>CND8054ZW0</t>
  </si>
  <si>
    <t>Puro Marco (IDG2335)</t>
  </si>
  <si>
    <t xml:space="preserve">CND81294MW </t>
  </si>
  <si>
    <t>Fumarola Marco (IDG2388)</t>
  </si>
  <si>
    <t>ITDGTOL00065939</t>
  </si>
  <si>
    <t>CND81294MH</t>
  </si>
  <si>
    <t>Ciocca Stefano (virtualbox 64501)</t>
  </si>
  <si>
    <t>CND8054ZVK</t>
  </si>
  <si>
    <t>Cianci (virtualbox 59411)</t>
  </si>
  <si>
    <t>ITDGTOL00065748</t>
  </si>
  <si>
    <t>CND8054ZW4</t>
  </si>
  <si>
    <t>Torta Paola(virtualbox 60154)</t>
  </si>
  <si>
    <t>CND8054ZWD</t>
  </si>
  <si>
    <t>Obradovic Johan (virtualbox 64503)</t>
  </si>
  <si>
    <t>CND8054ZVW</t>
  </si>
  <si>
    <t>Gatti Alessandra(virtualbox idg2020v)</t>
  </si>
  <si>
    <t>ITDGTOL00065772</t>
  </si>
  <si>
    <t>CND8054ZVV</t>
  </si>
  <si>
    <t>Garbolino Daniele (virtualbox 59410)</t>
  </si>
  <si>
    <t>ITDGTOL00065757</t>
  </si>
  <si>
    <t>CND8054ZWF</t>
  </si>
  <si>
    <t>Claudio Giovanni</t>
  </si>
  <si>
    <t>Balbi LINUX</t>
  </si>
  <si>
    <t>ITDGTOL00065948</t>
  </si>
  <si>
    <t>Bertino Ilaria Virtualbox 63578</t>
  </si>
  <si>
    <t>CND8193JJ1</t>
  </si>
  <si>
    <t>Cavaglià Fabio Virtualbox 60156</t>
  </si>
  <si>
    <t>ITDGTOL00068218</t>
  </si>
  <si>
    <t>CND8193JJ4</t>
  </si>
  <si>
    <t>Moretti Luca virtualbox (nuova assunzione VB)</t>
  </si>
  <si>
    <t>CND81294MQ</t>
  </si>
  <si>
    <t>Cioffi Monica Virtualbox 63576</t>
  </si>
  <si>
    <t>CND8193JHZ</t>
  </si>
  <si>
    <t>Destreri Marco Virtualbox  58850</t>
  </si>
  <si>
    <t>ITDGTOL00068220</t>
  </si>
  <si>
    <t>CND8193JJ0</t>
  </si>
  <si>
    <t>Redi Massimo Virtualbox 64499</t>
  </si>
  <si>
    <t>CND8193JJN</t>
  </si>
  <si>
    <t>Agata Szota (Boa + Marchisio autorizzazione)</t>
  </si>
  <si>
    <t>Temporaneo</t>
  </si>
  <si>
    <t>ITDGTOL00065946</t>
  </si>
  <si>
    <t>CND81294MN</t>
  </si>
  <si>
    <t>Lamancusa Stefania EB3 (Assunzione giugno 7)</t>
  </si>
  <si>
    <t>CND81294MJ</t>
  </si>
  <si>
    <t>Luera Marco Virtualbox 63579</t>
  </si>
  <si>
    <t>CND8193JHV</t>
  </si>
  <si>
    <t>Milic Mirjana Virtualbox 60160</t>
  </si>
  <si>
    <t xml:space="preserve">CND8193JJM </t>
  </si>
  <si>
    <t>Montesi Diego Virtualbox 60162</t>
  </si>
  <si>
    <t>CND8193JH3</t>
  </si>
  <si>
    <t>Miserere Silvio Virtualbox 59745</t>
  </si>
  <si>
    <t>CND8193JH7</t>
  </si>
  <si>
    <t>Oberto Giuseppe Virtualbox 58849</t>
  </si>
  <si>
    <t>CND8193JJD</t>
  </si>
  <si>
    <t>OttavianellI Roberta Virtualbox 64504</t>
  </si>
  <si>
    <t>CND8193JHR</t>
  </si>
  <si>
    <t>Gardino Stefano Virtualbox 60159</t>
  </si>
  <si>
    <t>ITDGTOL00068227</t>
  </si>
  <si>
    <t>CND8193JHT</t>
  </si>
  <si>
    <t>Paoloni Piermattia (virtualbox 64500)</t>
  </si>
  <si>
    <t>CND743268T</t>
  </si>
  <si>
    <t>Carbone Laura (Nuova assunzione EC-1)</t>
  </si>
  <si>
    <t>ITDGTOL00068232</t>
  </si>
  <si>
    <t>CND8193JJ8</t>
  </si>
  <si>
    <t>Sarti Stefano (assunzione giugno 7) EA</t>
  </si>
  <si>
    <t>ITDGTOL00068251</t>
  </si>
  <si>
    <t>CND8193JJJ</t>
  </si>
  <si>
    <t>Antonelli Antonio (assunzione giugno 5) EA</t>
  </si>
  <si>
    <t>ITDGTOL00068253</t>
  </si>
  <si>
    <t>CND8193JHC</t>
  </si>
  <si>
    <t>Rocco Pietro (assunzione giugno 4) EA</t>
  </si>
  <si>
    <t>ITDGTOL00068254</t>
  </si>
  <si>
    <t>CND8193JJ5</t>
  </si>
  <si>
    <t>Cicuttin Massimiliano (assunzione giugno 3) EA</t>
  </si>
  <si>
    <t>De Sibio Cesare (assunzione giugno 2) EA</t>
  </si>
  <si>
    <t>CND8193JHK</t>
  </si>
  <si>
    <t>Denevi Fabio (assunzione giungo 1) EA</t>
  </si>
  <si>
    <t>CND8193JJC</t>
  </si>
  <si>
    <t>Franzosi Marco (assunzione giugno 6) EA</t>
  </si>
  <si>
    <t>CND8193JHJ</t>
  </si>
  <si>
    <t>Di Nicola Francesca (ITDGTOL00065790)</t>
  </si>
  <si>
    <t>CND8193JHF</t>
  </si>
  <si>
    <t>Botticelli Entrico (ITDGTOL00065805)</t>
  </si>
  <si>
    <t>ITDGTOL00068229</t>
  </si>
  <si>
    <t>CND8193JJ6</t>
  </si>
  <si>
    <t>Carignano Vittorio (ITDGTOL00065793)</t>
  </si>
  <si>
    <t>CND8193JH8</t>
  </si>
  <si>
    <t>Carignano Vittorio (ITDGTOL00068230)</t>
  </si>
  <si>
    <t>CND8193JJG</t>
  </si>
  <si>
    <t>Mauro Ughetti (ITDGTOC00058838)</t>
  </si>
  <si>
    <t>Mail Daniele</t>
  </si>
  <si>
    <t>CND81294MG</t>
  </si>
  <si>
    <t>Maurizio Lo Munno (IDG2475)</t>
  </si>
  <si>
    <t>ITDGTOL00065746</t>
  </si>
  <si>
    <t>CND8054ZVS</t>
  </si>
  <si>
    <t>Capitanio Monica (IDG2492)</t>
  </si>
  <si>
    <t>ITDGTOL00065944</t>
  </si>
  <si>
    <t>CND81294MP</t>
  </si>
  <si>
    <t>Vanek Roberto (DG2476)</t>
  </si>
  <si>
    <t>ITDGTOL00065947</t>
  </si>
  <si>
    <t>CND81294MF</t>
  </si>
  <si>
    <t>Crivello massimo (IDG2487)</t>
  </si>
  <si>
    <t>ITDGTOL00065949</t>
  </si>
  <si>
    <t>CND81294MM</t>
  </si>
  <si>
    <t>Colonna Giovanni (ITDGTOL00060599)</t>
  </si>
  <si>
    <t>CND8193JHP</t>
  </si>
  <si>
    <t>Botticelli Enrico(ITDGTOL00068229)</t>
  </si>
  <si>
    <t>ITDGTOL00068241</t>
  </si>
  <si>
    <t>CND8193JHM</t>
  </si>
  <si>
    <t>Mariotto Ernesto (IDG2500)</t>
  </si>
  <si>
    <t>CND8193JJ7</t>
  </si>
  <si>
    <t>Di Frenza Luigi (IDG2495)</t>
  </si>
  <si>
    <t>CND81294ML</t>
  </si>
  <si>
    <t>Dalmasso Maria Teresa (IDG2479)</t>
  </si>
  <si>
    <t>CND8193JHB</t>
  </si>
  <si>
    <t>Vinci Nikolas (IDG2370)</t>
  </si>
  <si>
    <t>Sesia Marco (ITDGTOL00058894)</t>
  </si>
  <si>
    <t>Ravinale(IDG2225)</t>
  </si>
  <si>
    <t>Bray Andrea (IDG2383)</t>
  </si>
  <si>
    <t>Ravera Chiara (IDG2368)</t>
  </si>
  <si>
    <t>Bosco Bartolomeo (Fresa Nichelino)</t>
  </si>
  <si>
    <t>ITDGTOL00065950</t>
  </si>
  <si>
    <t>CND81294MV</t>
  </si>
  <si>
    <t>Denis Marenghi(ITDGTOL00060024)</t>
  </si>
  <si>
    <t>ITDGTOL00068236</t>
  </si>
  <si>
    <t>CND8193JH4</t>
  </si>
  <si>
    <t>Adiletta Giuseppe(tesista politecnico)</t>
  </si>
  <si>
    <t>Scoleri Alberto (nuova assunzione EK/S)</t>
  </si>
  <si>
    <t>CND8193JH6</t>
  </si>
  <si>
    <t>Ceglia Daniele (nuova assunzione IG/EC-1)</t>
  </si>
  <si>
    <t>ITDGTOL00068242</t>
  </si>
  <si>
    <t>CND8193JHG</t>
  </si>
  <si>
    <t>Muletto ITDGTOL00058556</t>
  </si>
  <si>
    <t>Sonia Lettry (mail dani garrone) 63892</t>
  </si>
  <si>
    <t>ITDGTOL00068231</t>
  </si>
  <si>
    <t>CND8193JJP</t>
  </si>
  <si>
    <t>Carena Fabio - IDG2484</t>
  </si>
  <si>
    <t>Franzoso Marco (IDG2288)</t>
  </si>
  <si>
    <t>ITDGTOL00068238</t>
  </si>
  <si>
    <t>CND8193JH5</t>
  </si>
  <si>
    <t>Lamonaca Michele(stage -&gt; assunzione)</t>
  </si>
  <si>
    <t>ITDGTOL00068234</t>
  </si>
  <si>
    <t>CND8193JHH</t>
  </si>
  <si>
    <t>Ducato Fabio(stage -&gt; 01/09/2018)</t>
  </si>
  <si>
    <t>CND8193JJK</t>
  </si>
  <si>
    <t>Antonetti Sergio (ITDGTOL00065758)</t>
  </si>
  <si>
    <t>ITDGTOL00068250</t>
  </si>
  <si>
    <t>CND8193JHX</t>
  </si>
  <si>
    <t>Marco Reggiani (ITDGTOL00058549)</t>
  </si>
  <si>
    <t>Fasolio Federica (nuova assunzione IG/EC-5)</t>
  </si>
  <si>
    <t>ITDGTOL00068265</t>
  </si>
  <si>
    <t>CND8193JJH</t>
  </si>
  <si>
    <t>Cangiano Andrea (nuova assunzione IG/EC-1)</t>
  </si>
  <si>
    <t>CND8193JHD</t>
  </si>
  <si>
    <t>Kuzeci Yapincak (ITDGTOL00058563)</t>
  </si>
  <si>
    <t>CND8193JHS</t>
  </si>
  <si>
    <t>Cicuttin, Massimiliano (ITDGTOL00068255)</t>
  </si>
  <si>
    <t>CND8193JHL</t>
  </si>
  <si>
    <t>Gosmar Davide (ITDGTOL00058822)</t>
  </si>
  <si>
    <t>CND8193JJ3</t>
  </si>
  <si>
    <t>Giannico Giacomo (fornitore -&gt; dipendente EK25)</t>
  </si>
  <si>
    <t>CND8193JHW</t>
  </si>
  <si>
    <t>Andriolo Sara (ITDGTOL00059495)</t>
  </si>
  <si>
    <t>CND8193JHY</t>
  </si>
  <si>
    <t>Chursin Wladimir (Nuova assunzione EK-S)</t>
  </si>
  <si>
    <t>CND8193JH9</t>
  </si>
  <si>
    <t>Bartoletta Giovanni (IDG2485)</t>
  </si>
  <si>
    <t>CND82111ZR</t>
  </si>
  <si>
    <t>Camarca Guido (ITDGTOL00059096)</t>
  </si>
  <si>
    <t>CND82111ZG</t>
  </si>
  <si>
    <t>Guida, Andrea (IG/P-65)</t>
  </si>
  <si>
    <t>ITDGTOL00068259</t>
  </si>
  <si>
    <t>CND8193JHQ</t>
  </si>
  <si>
    <t>Sagliocco Antonio (IDG2421)</t>
  </si>
  <si>
    <t>CND82111ZM</t>
  </si>
  <si>
    <t>De Gregorio Simona (ITDGTOL00058829)</t>
  </si>
  <si>
    <t>ITDGTOL00068260</t>
  </si>
  <si>
    <t>CND8193JJL</t>
  </si>
  <si>
    <t>Billardello Diego (ITDGTOL00058886)</t>
  </si>
  <si>
    <t>ITDGTOL00068351</t>
  </si>
  <si>
    <t>CND82111ZQ</t>
  </si>
  <si>
    <t>La Braca Franco (ITDGTOL00063909)</t>
  </si>
  <si>
    <t>ITDGTOL00068261</t>
  </si>
  <si>
    <t>CND8193JJB</t>
  </si>
  <si>
    <t>Raspante, Massimiliano (IG/EE-3)</t>
  </si>
  <si>
    <t>ITDGTOL00068767</t>
  </si>
  <si>
    <t>CND8365TBZ</t>
  </si>
  <si>
    <t>ITDGTOL00068768</t>
  </si>
  <si>
    <t>CND8365TC0</t>
  </si>
  <si>
    <t>ITDGTOL00068769</t>
  </si>
  <si>
    <t>ITDGTOL00068770</t>
  </si>
  <si>
    <t>CND8365TBX</t>
  </si>
  <si>
    <t>Corigliano Alessandro ITDGTOL00058890</t>
  </si>
  <si>
    <t>CND8193JHN</t>
  </si>
  <si>
    <t>Albino Giovanni (ITDGTOL00059094)</t>
  </si>
  <si>
    <t>CND82111ZX</t>
  </si>
  <si>
    <t>Ghione Cesare (IDG2425)</t>
  </si>
  <si>
    <t>CND82111ZH</t>
  </si>
  <si>
    <t>Paraboschi Paolo(ITDGTOL00059393)</t>
  </si>
  <si>
    <t>CND82111ZS</t>
  </si>
  <si>
    <t>Ghigno Roberto / Postazione Niche Autoform</t>
  </si>
  <si>
    <t>ITDGTOL00068353</t>
  </si>
  <si>
    <t>CND82111ZJ</t>
  </si>
  <si>
    <t>Roselli Alessandro (IDG2480)</t>
  </si>
  <si>
    <t>CND8193JJ2</t>
  </si>
  <si>
    <t>Boarolo Antonio (ITDGTOL00058893)</t>
  </si>
  <si>
    <t>ITDGTOL00068354</t>
  </si>
  <si>
    <t>CND82111ZV</t>
  </si>
  <si>
    <t>Di Lorenzo Giacomo</t>
  </si>
  <si>
    <t>CND8396TCS</t>
  </si>
  <si>
    <t>Porfino Vincenzo</t>
  </si>
  <si>
    <t>ITDGTOL00068792</t>
  </si>
  <si>
    <t>CND8396TCP</t>
  </si>
  <si>
    <t>Antonini Stefano</t>
  </si>
  <si>
    <t>CND8396TDD</t>
  </si>
  <si>
    <t>Oliva Enrico</t>
  </si>
  <si>
    <t>CND8396TD0</t>
  </si>
  <si>
    <t>Ejibenam C. Patrick</t>
  </si>
  <si>
    <t>ITDGTOL00068355</t>
  </si>
  <si>
    <t>CND82111ZT</t>
  </si>
  <si>
    <t>Sahand Richiesta Ribet ITDGTOL00065777</t>
  </si>
  <si>
    <t>CND8193JJF</t>
  </si>
  <si>
    <t>Schiaffini Giorgio</t>
  </si>
  <si>
    <t>ITDGTOL00068794</t>
  </si>
  <si>
    <t>CND8396TDF</t>
  </si>
  <si>
    <t>Piccioni Simone</t>
  </si>
  <si>
    <t>CND8396TCZ</t>
  </si>
  <si>
    <t>Mariani Carlos Alberto</t>
  </si>
  <si>
    <t>CND8396TD4</t>
  </si>
  <si>
    <t>Giuliani Laura</t>
  </si>
  <si>
    <t>ITDGTOL00068797</t>
  </si>
  <si>
    <t>CND8396TCX</t>
  </si>
  <si>
    <t>Galvagna Gabriele Gaspare</t>
  </si>
  <si>
    <t>ITDGTOL00068799</t>
  </si>
  <si>
    <t>CND8396TCT</t>
  </si>
  <si>
    <t>Digrandi Francesco</t>
  </si>
  <si>
    <t>CND8396TD6</t>
  </si>
  <si>
    <t>Fantino Christian</t>
  </si>
  <si>
    <t>CND8396TCN</t>
  </si>
  <si>
    <t>Sorrentino Francesco</t>
  </si>
  <si>
    <t>CND8396TD9</t>
  </si>
  <si>
    <t>Giorgi Lorenzo</t>
  </si>
  <si>
    <t>ITDGTOL00068803</t>
  </si>
  <si>
    <t>CND8396TCR</t>
  </si>
  <si>
    <t>Rolle Sergio ITDGTOL00060038</t>
  </si>
  <si>
    <t>ITDGTOL00068358</t>
  </si>
  <si>
    <t>CND82111ZK</t>
  </si>
  <si>
    <t>Bergero Marco (Ubuntu)</t>
  </si>
  <si>
    <t>ITDGTOL00068811</t>
  </si>
  <si>
    <t>CND8396TCV</t>
  </si>
  <si>
    <t>Belmonte Vincenzo (ITDGTOL00058546)</t>
  </si>
  <si>
    <t>ITDGTOL00068360</t>
  </si>
  <si>
    <t>CND82111ZW</t>
  </si>
  <si>
    <t>Raco Andrea (IDG2389)</t>
  </si>
  <si>
    <t>ITDGTOL00068359</t>
  </si>
  <si>
    <t>CND82111ZP</t>
  </si>
  <si>
    <t>Marcenta Claudio (ITDGTOL00059391)</t>
  </si>
  <si>
    <t>CND82111ZL</t>
  </si>
  <si>
    <t>Paolo Bocca</t>
  </si>
  <si>
    <t>Carbotti Antonio (ITDGTOL00058896)</t>
  </si>
  <si>
    <t>ITDGTOL00068804</t>
  </si>
  <si>
    <t>CND8396TD5</t>
  </si>
  <si>
    <t>Galliano Silvio (ITDGTOL00058564)</t>
  </si>
  <si>
    <t>CND8396TDC</t>
  </si>
  <si>
    <t>Rossetti Stefano (ITDGTOL00058898)</t>
  </si>
  <si>
    <t>CND8396TCY</t>
  </si>
  <si>
    <t>Zaccaro Giuseppe (Nuova assunzione)</t>
  </si>
  <si>
    <t>ITDGTOL00068815</t>
  </si>
  <si>
    <t xml:space="preserve">CND8396TCQ </t>
  </si>
  <si>
    <t>Odisio Emanuele(ITDGTOL00058823)</t>
  </si>
  <si>
    <t>CND8396TD7</t>
  </si>
  <si>
    <t>Chidichimo Massimiliano ITDGTOL00058892</t>
  </si>
  <si>
    <t>CND8396TD1</t>
  </si>
  <si>
    <t>Trovato Sebastiano ITDGTOL00058548</t>
  </si>
  <si>
    <t>ITDGTOL00068810</t>
  </si>
  <si>
    <t>CND8396TDB</t>
  </si>
  <si>
    <t>Frazzetto Gian Vito IDG2385</t>
  </si>
  <si>
    <t>Zagato / Niche</t>
  </si>
  <si>
    <t>ITDGTOL00068362</t>
  </si>
  <si>
    <t>CND82111ZN</t>
  </si>
  <si>
    <t>Marziali Andrea IDG2482 stage -&gt; assunzione</t>
  </si>
  <si>
    <t>CND8396TD3</t>
  </si>
  <si>
    <t>Stefania Masuelli - Lucidshape</t>
  </si>
  <si>
    <t>Repetto Valerio (nuova assunzione)</t>
  </si>
  <si>
    <t>ITDGTOL00068812</t>
  </si>
  <si>
    <t>CND8396TD2</t>
  </si>
  <si>
    <t>Buttiglieri Alberto (UBUNTU)</t>
  </si>
  <si>
    <t>ITDGTOL00068942</t>
  </si>
  <si>
    <t>CND8473XG3</t>
  </si>
  <si>
    <t>Buttarelli Marco (IDG2489) nuova assunzione</t>
  </si>
  <si>
    <t>5CG826272F</t>
  </si>
  <si>
    <t>Munir Asim (nuova assunzione)</t>
  </si>
  <si>
    <t>ITDGTOL00068932</t>
  </si>
  <si>
    <t>CND8473XG8</t>
  </si>
  <si>
    <t>Cantiello Roberto (nuova assunzione)</t>
  </si>
  <si>
    <t>CND8396TD8</t>
  </si>
  <si>
    <t>Bona Massimiliano ITDGTOL00058562</t>
  </si>
  <si>
    <t>ITDGTOL00068814</t>
  </si>
  <si>
    <t>CND8396TCW</t>
  </si>
  <si>
    <t>Mastrorilli Giuseppe (nuova assunzione)</t>
  </si>
  <si>
    <t>CND8473XG9</t>
  </si>
  <si>
    <t>Bravin Marco ITDGTOL00058569</t>
  </si>
  <si>
    <t>ITDGTOL00068934</t>
  </si>
  <si>
    <t>CND8473XG6</t>
  </si>
  <si>
    <t>Musco Nunzio</t>
  </si>
  <si>
    <t>Giargia Livio ITDGTOL00058568</t>
  </si>
  <si>
    <t>CND8473XGF</t>
  </si>
  <si>
    <t>Cirulli Pasquale ITDGTOL00058821</t>
  </si>
  <si>
    <t>ITDGTOL00068936</t>
  </si>
  <si>
    <t>CND8473XGB</t>
  </si>
  <si>
    <t>Gastaldi Gabriele (nuova assunzione)</t>
  </si>
  <si>
    <t>ITDGTOL00068937</t>
  </si>
  <si>
    <t xml:space="preserve">CND8473XG4 </t>
  </si>
  <si>
    <t>Di Lascio Vito (nuova assunzione)</t>
  </si>
  <si>
    <t>ITDGTOL00068938</t>
  </si>
  <si>
    <t>CND8473XGC</t>
  </si>
  <si>
    <t>Patuelli Cesare (tesista calcoli)</t>
  </si>
  <si>
    <t xml:space="preserve">CND65146W9 </t>
  </si>
  <si>
    <t>Trebisacce Ivan (nuova assunzione)</t>
  </si>
  <si>
    <t>Tassi Gian Marco ITDGTOL00058549</t>
  </si>
  <si>
    <t>ITDGTOL00068940</t>
  </si>
  <si>
    <t>CND8473XG5</t>
  </si>
  <si>
    <t>Facente Fabio ITDGTOL00058550</t>
  </si>
  <si>
    <t>CND8473XGD</t>
  </si>
  <si>
    <t>Cremato Claudia IDG2487</t>
  </si>
  <si>
    <t>CND8473XG2</t>
  </si>
  <si>
    <t>Moroni Guido ITDGTOL00059826</t>
  </si>
  <si>
    <t>Mantovani Luca (nuova assunzione IDD)</t>
  </si>
  <si>
    <t>CND65146VS</t>
  </si>
  <si>
    <t>Seren Rosso Riccardo ITDGTOL00059395</t>
  </si>
  <si>
    <t>Raimondo Giustina (nuova assunzione)</t>
  </si>
  <si>
    <t>Lauriola Dario (fornitore -&gt; dipendente)</t>
  </si>
  <si>
    <t>Aldo Vito ITDGTOL00065803</t>
  </si>
  <si>
    <t>Stanton Benjamin ITDGTOC00060214</t>
  </si>
  <si>
    <t>Sergio Malta ITDGTOL00060258</t>
  </si>
  <si>
    <t>Moroni Guido ITDGTOL00068353</t>
  </si>
  <si>
    <t>ITDGTOL00069181</t>
  </si>
  <si>
    <t>5CD9132X6G</t>
  </si>
  <si>
    <t>SR883391</t>
  </si>
  <si>
    <t xml:space="preserve"> La Grotteria (IDG2499)</t>
  </si>
  <si>
    <t>ITDGTOL00069182</t>
  </si>
  <si>
    <t>5CD9132X63</t>
  </si>
  <si>
    <t>SR883884</t>
  </si>
  <si>
    <t>ITDGTOL00069183</t>
  </si>
  <si>
    <t>5CD9132X6C</t>
  </si>
  <si>
    <t>SR880150</t>
  </si>
  <si>
    <t>Farinato Angelo</t>
  </si>
  <si>
    <t>ITDGTOL00069219</t>
  </si>
  <si>
    <t>5CD9132X65</t>
  </si>
  <si>
    <t>SR890815</t>
  </si>
  <si>
    <t>Sanino Marco (ITDGTOL00058889)</t>
  </si>
  <si>
    <t>5CD9132X66</t>
  </si>
  <si>
    <t>SR882188</t>
  </si>
  <si>
    <t>Avidano Roberto (ITDGTOL00059103)</t>
  </si>
  <si>
    <t>5CD9132X5Y</t>
  </si>
  <si>
    <t>SR890331</t>
  </si>
  <si>
    <t>Alfinito Dario (ITDGTOL00058887)</t>
  </si>
  <si>
    <t>ITDGTOL00069184</t>
  </si>
  <si>
    <t>5CD9132X6S</t>
  </si>
  <si>
    <t>SR891928</t>
  </si>
  <si>
    <t>Bulone Massimo (ITDGTOL00058899)</t>
  </si>
  <si>
    <t>SR880460</t>
  </si>
  <si>
    <t>La Rocca Luigi (ITDGTOL00059095)</t>
  </si>
  <si>
    <t>5CD9132X6D</t>
  </si>
  <si>
    <t>SR895848</t>
  </si>
  <si>
    <t>Ferracane Fabio (ITDGTOL00059097)</t>
  </si>
  <si>
    <t>ITDGTOL00069185</t>
  </si>
  <si>
    <t>5CD9132X70</t>
  </si>
  <si>
    <t>Fragola</t>
  </si>
  <si>
    <t>ITDGTOL00063517</t>
  </si>
  <si>
    <t>5CG608367M</t>
  </si>
  <si>
    <t>SR890801</t>
  </si>
  <si>
    <t>Pietropaolo Marco (ITDGTOL00058888)</t>
  </si>
  <si>
    <t>5CD9132X73</t>
  </si>
  <si>
    <t>SR883244</t>
  </si>
  <si>
    <t xml:space="preserve"> Negro Frer Marco (IDG2476)</t>
  </si>
  <si>
    <t>Getac</t>
  </si>
  <si>
    <t>Toughbook</t>
  </si>
  <si>
    <t>ITDGTOL00069297</t>
  </si>
  <si>
    <t>RK503S2129</t>
  </si>
  <si>
    <t>SR902109</t>
  </si>
  <si>
    <t>Ferrero Livio (ITDGTOL00059106)</t>
  </si>
  <si>
    <t>5CD9132X6V</t>
  </si>
  <si>
    <t>SR904787</t>
  </si>
  <si>
    <t>Giorgi Luca (ITDGTOL00059104)</t>
  </si>
  <si>
    <t>ITDGTOL00069191</t>
  </si>
  <si>
    <t>5CD9132X68</t>
  </si>
  <si>
    <t>SR909100</t>
  </si>
  <si>
    <t>Passarelli Simone (ITDGTOL00065097)</t>
  </si>
  <si>
    <t>ITDGTOL00069180</t>
  </si>
  <si>
    <t>SR895866</t>
  </si>
  <si>
    <t>Pampara Umberto (ITDGTOL00059098)</t>
  </si>
  <si>
    <t>5CD9132X6K</t>
  </si>
  <si>
    <t> SR914550</t>
  </si>
  <si>
    <t>Scardaci Andrea</t>
  </si>
  <si>
    <t>5CG9223Z38</t>
  </si>
  <si>
    <t>SR891922</t>
  </si>
  <si>
    <t>Tamboia Riccardo (ITDGTOL00058891)</t>
  </si>
  <si>
    <t>ITDGTOL00069187</t>
  </si>
  <si>
    <t>5CD9132X5Z</t>
  </si>
  <si>
    <t xml:space="preserve">SR916265 </t>
  </si>
  <si>
    <t>Lo Gioco Alberto (ITDGTOL00059142)</t>
  </si>
  <si>
    <t>ITDGTOL00069199</t>
  </si>
  <si>
    <t>5CD9132X64</t>
  </si>
  <si>
    <t>SR917223</t>
  </si>
  <si>
    <t>Rastelli Giuseppe (ITDGTOL00059093)</t>
  </si>
  <si>
    <t>ITDGTOL00069201</t>
  </si>
  <si>
    <t>5CD9132X71</t>
  </si>
  <si>
    <t>SR919842</t>
  </si>
  <si>
    <t>Prestagiovanni Camillo (ITDGTOL00059140)</t>
  </si>
  <si>
    <t>ITDGTOL00069203</t>
  </si>
  <si>
    <t>5CD9132X6X</t>
  </si>
  <si>
    <t> SR897860</t>
  </si>
  <si>
    <t>Barra Parisi Alfredo (ITDGTOL00059100)</t>
  </si>
  <si>
    <t>SR922072</t>
  </si>
  <si>
    <t>Cauteruccio Gianfranco (ITDGTOL00059400)</t>
  </si>
  <si>
    <t>ITDGTOL00069207</t>
  </si>
  <si>
    <t>5CD9132X6F</t>
  </si>
  <si>
    <t>SR922078</t>
  </si>
  <si>
    <t>Foti Simone (ITDGTOL00059399)</t>
  </si>
  <si>
    <t>5CD9132X72</t>
  </si>
  <si>
    <t> SR932691</t>
  </si>
  <si>
    <t xml:space="preserve">Pizzi Giovanni </t>
  </si>
  <si>
    <t>ITDGTOL00069211</t>
  </si>
  <si>
    <t>SR932667</t>
  </si>
  <si>
    <t>Farina Gianluca (ITDGTOL00059814)</t>
  </si>
  <si>
    <t>ITDGTOL00069195</t>
  </si>
  <si>
    <t>5CD9132X6L</t>
  </si>
  <si>
    <t> SR932679</t>
  </si>
  <si>
    <t>Bombara Veronica (Nuova Risorsa)</t>
  </si>
  <si>
    <t>SR918725</t>
  </si>
  <si>
    <t>Grabowski, Alessandro (IG/D-3)</t>
  </si>
  <si>
    <t>Zbook Z15</t>
  </si>
  <si>
    <t>ITDGTOT00059098</t>
  </si>
  <si>
    <t>SR918731</t>
  </si>
  <si>
    <t>Pizzolato, Matteo (IG/D-3)</t>
  </si>
  <si>
    <t>SR922525</t>
  </si>
  <si>
    <t xml:space="preserve">GIACCHE’ CAMILLA </t>
  </si>
  <si>
    <t>Carenzo Michela (ITDGTOL00063912)</t>
  </si>
  <si>
    <t>5CD9132X6T</t>
  </si>
  <si>
    <t> SR932685</t>
  </si>
  <si>
    <t>Policaro Domenico (Nuova Risorsa)</t>
  </si>
  <si>
    <t>5CD9132X6J</t>
  </si>
  <si>
    <t>SR922060</t>
  </si>
  <si>
    <t>VERGARA ECHEVERRI DANIEL  (Nuova Risorsa)</t>
  </si>
  <si>
    <t>5CD9132X6W</t>
  </si>
  <si>
    <t>SR919824</t>
  </si>
  <si>
    <t>Pellegrino Antonio (ITDGTOL00059105)</t>
  </si>
  <si>
    <t>ITDGTOL00069202</t>
  </si>
  <si>
    <t>5CD9132X69</t>
  </si>
  <si>
    <t>SR936471</t>
  </si>
  <si>
    <t>Ferrero Antonella (ITDGTOL00059138)</t>
  </si>
  <si>
    <t>ITDGTOL00069213</t>
  </si>
  <si>
    <t>5CD9132X5X</t>
  </si>
  <si>
    <t>SR936477</t>
  </si>
  <si>
    <t>Michela Marco (ITDGTOL00059496)</t>
  </si>
  <si>
    <t>ITDGTOL00069214</t>
  </si>
  <si>
    <t>5CD9132X6Z</t>
  </si>
  <si>
    <t>SR939407</t>
  </si>
  <si>
    <t>Fischetti Eugenio (ITDGTOL00059816)</t>
  </si>
  <si>
    <t>axigxhu</t>
  </si>
  <si>
    <t>5CD92180G6</t>
  </si>
  <si>
    <t>SR939457</t>
  </si>
  <si>
    <t>Amato Raffaele (ITDGTOL00060450)</t>
  </si>
  <si>
    <t>axigz1c</t>
  </si>
  <si>
    <t>ITDGTOL00069305</t>
  </si>
  <si>
    <t>5CD92180G7</t>
  </si>
  <si>
    <t>SR936483</t>
  </si>
  <si>
    <t>Bruno Giovanni (ITDGTOL00059389)</t>
  </si>
  <si>
    <t>ITDGTOL00069215</t>
  </si>
  <si>
    <t>5CD9132X6B</t>
  </si>
  <si>
    <t>SR939181</t>
  </si>
  <si>
    <t>Piscitello Antonino (ITDGTOL00059817)</t>
  </si>
  <si>
    <t>AXIGUXV</t>
  </si>
  <si>
    <t>ITDGTOL00069302</t>
  </si>
  <si>
    <t>5CD92180G8</t>
  </si>
  <si>
    <t>SR939175</t>
  </si>
  <si>
    <t>Morabito Antonio (ITDGTOL00059820)</t>
  </si>
  <si>
    <t>EIT4YIT</t>
  </si>
  <si>
    <t>ITDGTOL00069301</t>
  </si>
  <si>
    <t>5CD92180G9</t>
  </si>
  <si>
    <t>SR939187</t>
  </si>
  <si>
    <t>Rottura Alessandro (ITDGTOL00059805)</t>
  </si>
  <si>
    <t>ITDGTOL00069303</t>
  </si>
  <si>
    <t>5CD92180G1</t>
  </si>
  <si>
    <t xml:space="preserve"> SR922066</t>
  </si>
  <si>
    <t>Sciarpa Flaviano (59394)</t>
  </si>
  <si>
    <t>5CD9132X6H</t>
  </si>
  <si>
    <t>SR916531</t>
  </si>
  <si>
    <t>ITDGTOL00069200</t>
  </si>
  <si>
    <t>5CD9132X6Q</t>
  </si>
  <si>
    <t>SR937951</t>
  </si>
  <si>
    <t>Azzolina Paolo (ITDGTOL00059143)</t>
  </si>
  <si>
    <t>5CD9132X6R</t>
  </si>
  <si>
    <t> SR939049</t>
  </si>
  <si>
    <t>ITDGTOL00069217</t>
  </si>
  <si>
    <t>SR946849</t>
  </si>
  <si>
    <t>Zanforlin Federico (ITDGTOL00060447)</t>
  </si>
  <si>
    <t>ITDGTOL00069310</t>
  </si>
  <si>
    <t>Milanoit69310</t>
  </si>
  <si>
    <t>SR945957</t>
  </si>
  <si>
    <t>Coscia Daniele (ITDGTOL00059830)</t>
  </si>
  <si>
    <t>Autocad69309</t>
  </si>
  <si>
    <t>Catia V5, Connect  09/10/2019 a partire dalle 13:15</t>
  </si>
  <si>
    <t>Saracco - Linea assemblaggio</t>
  </si>
  <si>
    <t>ITDGTOC00059056</t>
  </si>
  <si>
    <t>Orkpiddyloceb85</t>
  </si>
  <si>
    <t>CZC4280S5K</t>
  </si>
  <si>
    <t>Marenghi - Linea assemblaggio</t>
  </si>
  <si>
    <t>ITDGTOC00059057</t>
  </si>
  <si>
    <t>Telpfuristenur1</t>
  </si>
  <si>
    <t>CZC4280S5C</t>
  </si>
  <si>
    <t>ITDGTOC00059058</t>
  </si>
  <si>
    <t>CZC4280S5J</t>
  </si>
  <si>
    <t>Rizzo Giuseppe (IDG1338)</t>
  </si>
  <si>
    <t>Onsonantermen88</t>
  </si>
  <si>
    <t>ITDGTOC00059059</t>
  </si>
  <si>
    <t>CZC4280S5G</t>
  </si>
  <si>
    <t>Vendrame Marco**</t>
  </si>
  <si>
    <t>Odimarkerfulac6</t>
  </si>
  <si>
    <t>ITDGTOC00059060</t>
  </si>
  <si>
    <t>CZC4280S5D</t>
  </si>
  <si>
    <t>Ationillyanti51</t>
  </si>
  <si>
    <t>ITDGTOC00059061</t>
  </si>
  <si>
    <t>CZC4280S5H</t>
  </si>
  <si>
    <t>Gagino Emanuela</t>
  </si>
  <si>
    <t>Ariummacirayan2</t>
  </si>
  <si>
    <t>ITDGTOC00059062</t>
  </si>
  <si>
    <t>CZC4280S5F</t>
  </si>
  <si>
    <t>Pizzi Giovanni</t>
  </si>
  <si>
    <t>Ossireolommenn7</t>
  </si>
  <si>
    <t>ITDGTOC00059063</t>
  </si>
  <si>
    <t>CZC4280S5M</t>
  </si>
  <si>
    <t>Rutigliano Roberto (officina)</t>
  </si>
  <si>
    <t>Tiveroppectrat5</t>
  </si>
  <si>
    <t>ITDGTOC00059064</t>
  </si>
  <si>
    <t>CZC4280S5B</t>
  </si>
  <si>
    <t>D'Araio Stefano (Officina)</t>
  </si>
  <si>
    <t>Tediontiverbee0</t>
  </si>
  <si>
    <t>ITDGTOC00059065</t>
  </si>
  <si>
    <t>Streshingficro4</t>
  </si>
  <si>
    <t>CZC4280S5L</t>
  </si>
  <si>
    <t>Scarfidi - Servizio generico</t>
  </si>
  <si>
    <t>ITDGTOC00059066</t>
  </si>
  <si>
    <t>Freetour177blue</t>
  </si>
  <si>
    <t>CZC4280W0L</t>
  </si>
  <si>
    <t>Rolle/Valsania/Bocca**</t>
  </si>
  <si>
    <t>ITDGTOC00059347</t>
  </si>
  <si>
    <t>Upyrrenymplan17</t>
  </si>
  <si>
    <t>CZC4390GTY</t>
  </si>
  <si>
    <t>Degiovanni Enrico (IDG1738)</t>
  </si>
  <si>
    <t>ITDGTOC00059348</t>
  </si>
  <si>
    <t>Ammadesselosiv0</t>
  </si>
  <si>
    <t>CZC4390GTW</t>
  </si>
  <si>
    <t>Amantea Davide Loris*</t>
  </si>
  <si>
    <t>ITDGTOC00059349</t>
  </si>
  <si>
    <t>Athilycalnolo58</t>
  </si>
  <si>
    <t>CZC4390GTT</t>
  </si>
  <si>
    <t>Simone Canepa (IDG1861)</t>
  </si>
  <si>
    <t>ITDGTOC00059351</t>
  </si>
  <si>
    <t>Lococassnesidi0</t>
  </si>
  <si>
    <t>CZC4390GV1</t>
  </si>
  <si>
    <t>Antonietta Iannuzzi (IDG1886)</t>
  </si>
  <si>
    <t>ITDGTOC00059352</t>
  </si>
  <si>
    <t>Leferoneschant1</t>
  </si>
  <si>
    <t>CZC4390GV0</t>
  </si>
  <si>
    <t>Brencella Leonardo***</t>
  </si>
  <si>
    <t>ITDGTOC00059350</t>
  </si>
  <si>
    <t>Atopidactioun83</t>
  </si>
  <si>
    <t>CZC4390GV2</t>
  </si>
  <si>
    <t>Chiotti Simone</t>
  </si>
  <si>
    <t>ITDGTOC00059355</t>
  </si>
  <si>
    <t>Ciacrimuticar45</t>
  </si>
  <si>
    <t>CZC4390GTX</t>
  </si>
  <si>
    <t>Colaiacovo Andrea (IG/D-11)</t>
  </si>
  <si>
    <t>ITDGTOC00059356</t>
  </si>
  <si>
    <t>Pshiparcysila55</t>
  </si>
  <si>
    <t>CZC4390GTV</t>
  </si>
  <si>
    <t>Borrelli Massimo (IG/D-11)</t>
  </si>
  <si>
    <t>ITDGTOC00059354</t>
  </si>
  <si>
    <t>Stenessismista4</t>
  </si>
  <si>
    <t>CZC4390GTS</t>
  </si>
  <si>
    <t>Wenquan Zhang</t>
  </si>
  <si>
    <t>ITDGTOC00059353</t>
  </si>
  <si>
    <t>Enogeadenterin0</t>
  </si>
  <si>
    <t>CZC4390GTZ</t>
  </si>
  <si>
    <t>Claudia Gilardi</t>
  </si>
  <si>
    <t>ITDGTOC00059972</t>
  </si>
  <si>
    <t>Eisockeleinse77</t>
  </si>
  <si>
    <t>CZC5150V79</t>
  </si>
  <si>
    <t>Lago Enrico</t>
  </si>
  <si>
    <t>ITDGTOC00059973</t>
  </si>
  <si>
    <t>Vivastreet20151</t>
  </si>
  <si>
    <t>CZC5150V78</t>
  </si>
  <si>
    <t>HP Z440 WorkStation</t>
  </si>
  <si>
    <t>Tissnessiandul5</t>
  </si>
  <si>
    <t>CZC52801RP</t>
  </si>
  <si>
    <t>Sala 1 Giugiaro Design</t>
  </si>
  <si>
    <t>ITDGTOC00060211</t>
  </si>
  <si>
    <t>Rlentealcosti58</t>
  </si>
  <si>
    <t>CZC5280GMT</t>
  </si>
  <si>
    <t>Sala Cas</t>
  </si>
  <si>
    <t>Agialualetrei42</t>
  </si>
  <si>
    <t>Stanton, Benjamin (IG/D-242)</t>
  </si>
  <si>
    <t>Simcity88yellow1</t>
  </si>
  <si>
    <t>CZC5280GMS</t>
  </si>
  <si>
    <t>Sala 3 Giugiaro Design</t>
  </si>
  <si>
    <t>ITDGTOC00060213</t>
  </si>
  <si>
    <t>Anamenounforsa4</t>
  </si>
  <si>
    <t>CZC5280GMV</t>
  </si>
  <si>
    <t>Cagnoni Giovanni (IG/D-11)</t>
  </si>
  <si>
    <t>ITDGTOC00060628</t>
  </si>
  <si>
    <t>Superteatre1945</t>
  </si>
  <si>
    <t>CZC5487J7W</t>
  </si>
  <si>
    <t>Guelfo Nicola</t>
  </si>
  <si>
    <t>ITDGTOC00060625</t>
  </si>
  <si>
    <t>Delmioportare1234</t>
  </si>
  <si>
    <t>CZC5487J85</t>
  </si>
  <si>
    <t>ITDGTOC00060621</t>
  </si>
  <si>
    <t>Cilonetre1978</t>
  </si>
  <si>
    <t>CZC5487J84</t>
  </si>
  <si>
    <t>Bussetti</t>
  </si>
  <si>
    <t>ITDGTOC00060623</t>
  </si>
  <si>
    <t>Zlatantherio99</t>
  </si>
  <si>
    <t>CZC5487J7Y</t>
  </si>
  <si>
    <t>Lunghi</t>
  </si>
  <si>
    <t>ITDGTOC00060620</t>
  </si>
  <si>
    <t>POInoiTRE20</t>
  </si>
  <si>
    <t>CZC5487J81</t>
  </si>
  <si>
    <t>Fracchia</t>
  </si>
  <si>
    <t>ITDGTOC00060622</t>
  </si>
  <si>
    <t>poiVOIquattro88</t>
  </si>
  <si>
    <t>CZC5487J7V</t>
  </si>
  <si>
    <t>Sarotto</t>
  </si>
  <si>
    <t>ITDGTOC00060617</t>
  </si>
  <si>
    <t>LAVANDer1n4</t>
  </si>
  <si>
    <t>CZC5487J82</t>
  </si>
  <si>
    <t>ITDGTOC00060618</t>
  </si>
  <si>
    <t>HopeTest34</t>
  </si>
  <si>
    <t>CZC5487J86</t>
  </si>
  <si>
    <t>Zhang</t>
  </si>
  <si>
    <t>ITDGTOC00060619</t>
  </si>
  <si>
    <t>CREAtur4KK</t>
  </si>
  <si>
    <t>CZC5487J80</t>
  </si>
  <si>
    <t>OK**</t>
  </si>
  <si>
    <t>Cantaro Oscar (IDG2012)</t>
  </si>
  <si>
    <t>ITDGTOC00060626</t>
  </si>
  <si>
    <t>HopeTest35</t>
  </si>
  <si>
    <t>CZC5487J83</t>
  </si>
  <si>
    <t>Iannuzzi F.</t>
  </si>
  <si>
    <t>ITDGTOC00060624</t>
  </si>
  <si>
    <t>Mapercheilmio99</t>
  </si>
  <si>
    <t>CZC5487J77</t>
  </si>
  <si>
    <t>Tarasco Silvio (IDG2005)</t>
  </si>
  <si>
    <t>ITDGTOC00060627</t>
  </si>
  <si>
    <t>Poinoidue55</t>
  </si>
  <si>
    <t>CZC5487J7X</t>
  </si>
  <si>
    <t>Bocca Paolo</t>
  </si>
  <si>
    <t>ITDGTOC00060643</t>
  </si>
  <si>
    <t>MbutuRai3</t>
  </si>
  <si>
    <t xml:space="preserve">Domansky - IDG1888 </t>
  </si>
  <si>
    <t>STAGISTI STILE</t>
  </si>
  <si>
    <t>HP Z420 WorkStation</t>
  </si>
  <si>
    <t>Peter Szegedi(Stage)</t>
  </si>
  <si>
    <t>Lequio Marziella ITDGTOC00059060</t>
  </si>
  <si>
    <t>HP Z4 G4</t>
  </si>
  <si>
    <t>Fullmetaljacket88</t>
  </si>
  <si>
    <t>CZC836830V</t>
  </si>
  <si>
    <t>Gilardi Claudia ITDGTOC00059972</t>
  </si>
  <si>
    <t>SoulFood88</t>
  </si>
  <si>
    <t>CZC836830W</t>
  </si>
  <si>
    <t>Pizzi Giovanni (ITDGTOC00059062)</t>
  </si>
  <si>
    <t>Clurios1937</t>
  </si>
  <si>
    <t>Gagino Emanuela ITDGTOC00059061</t>
  </si>
  <si>
    <t>MoronicoHP95</t>
  </si>
  <si>
    <t>CZC836830Z</t>
  </si>
  <si>
    <t>Rizzo Giuseppe (ITDGTOC00059058)</t>
  </si>
  <si>
    <t>Claclap3200</t>
  </si>
  <si>
    <t xml:space="preserve">Bussetti Nicolas ITDGTOC00060623 + ITDGTOC00065961 </t>
  </si>
  <si>
    <t>Tritichello77</t>
  </si>
  <si>
    <t>CZC8397J47</t>
  </si>
  <si>
    <t>Gavioli Mario / Gestione Antonio Saracco</t>
  </si>
  <si>
    <t>Z440</t>
  </si>
  <si>
    <t>ITDGTOC00064602</t>
  </si>
  <si>
    <t>BurnTestHp2018</t>
  </si>
  <si>
    <t>CZC7077J21</t>
  </si>
  <si>
    <t>Kirste Andreas ITDGTOC00059403</t>
  </si>
  <si>
    <t>ITDGTOC00068599</t>
  </si>
  <si>
    <t>Altifenante45</t>
  </si>
  <si>
    <t>CZC836830Y</t>
  </si>
  <si>
    <t>Tuffanelli Marco ITDGTOL00058566</t>
  </si>
  <si>
    <t>ITDGTOC00068771</t>
  </si>
  <si>
    <t>Trentorello98</t>
  </si>
  <si>
    <t>CZC8397J45</t>
  </si>
  <si>
    <t>Marenghi Denis ITDGTOC00059056</t>
  </si>
  <si>
    <t>ITDGTOC00068774</t>
  </si>
  <si>
    <t>Trullurello44</t>
  </si>
  <si>
    <t>CZC8397J48</t>
  </si>
  <si>
    <t>Marenghi Denis ITDGTOC00059057</t>
  </si>
  <si>
    <t>ITDGTOC00068775</t>
  </si>
  <si>
    <t>Ratifirico52</t>
  </si>
  <si>
    <t>CZC8397J46</t>
  </si>
  <si>
    <t>Monnerjan Carsten IDG2334 (Sala Cave)</t>
  </si>
  <si>
    <t>Milic Nenad IDG1804 (Microscopio Leica)</t>
  </si>
  <si>
    <t>Casu Antonio IDG2393 (DMU Project House)</t>
  </si>
  <si>
    <t>ITDGTOC00068773</t>
  </si>
  <si>
    <t>Minniliktreno88</t>
  </si>
  <si>
    <t>CZC8397J44</t>
  </si>
  <si>
    <t>Z820 Workstation</t>
  </si>
  <si>
    <t>ITDGTOC00058847</t>
  </si>
  <si>
    <t>Nonchileentra04</t>
  </si>
  <si>
    <t>CZC4160617</t>
  </si>
  <si>
    <t>HP Z820 Workstation</t>
  </si>
  <si>
    <t>Balestreros4</t>
  </si>
  <si>
    <t>ITDGTOC00058848</t>
  </si>
  <si>
    <t>Rantanen5</t>
  </si>
  <si>
    <t>CZC4160618</t>
  </si>
  <si>
    <t>ITDGTOC00058849</t>
  </si>
  <si>
    <t>Lablikersegam54</t>
  </si>
  <si>
    <t>CZC4160687</t>
  </si>
  <si>
    <t>ITDGTOC00058850</t>
  </si>
  <si>
    <t>Atormallescul73</t>
  </si>
  <si>
    <t>CZC4160688</t>
  </si>
  <si>
    <t>ITDGTOC00058934</t>
  </si>
  <si>
    <t>CZC421152G</t>
  </si>
  <si>
    <t>ITDGTOC00058935</t>
  </si>
  <si>
    <t>CZC421152F</t>
  </si>
  <si>
    <t>ITDGTOC00058936</t>
  </si>
  <si>
    <t>CZC42119R2</t>
  </si>
  <si>
    <t>Costa Daniele</t>
  </si>
  <si>
    <t>ITDGTOC00059177</t>
  </si>
  <si>
    <t>Supercarrozza1009</t>
  </si>
  <si>
    <t>CZC4361D78</t>
  </si>
  <si>
    <t>Vassallo Alberto</t>
  </si>
  <si>
    <t>ITDGTOC00059178</t>
  </si>
  <si>
    <t>Vivaicreativi55</t>
  </si>
  <si>
    <t>CZC4361D79</t>
  </si>
  <si>
    <t>Pirri Fabio</t>
  </si>
  <si>
    <t>ITDGTOC00059273</t>
  </si>
  <si>
    <t>Penconpencon2014</t>
  </si>
  <si>
    <t>CZC4384CNG</t>
  </si>
  <si>
    <t>Render Farm Industrial Design</t>
  </si>
  <si>
    <t>ITDGTOC00059274</t>
  </si>
  <si>
    <t>Vivalaapple111</t>
  </si>
  <si>
    <t>CZC4384CNH</t>
  </si>
  <si>
    <t>D'Esposito Barbara (IDG1872)</t>
  </si>
  <si>
    <t>ITDGTOC00059402</t>
  </si>
  <si>
    <t>Pepresildibelo6</t>
  </si>
  <si>
    <t>CZC4412ZW0</t>
  </si>
  <si>
    <t>Papiashvili Sami (IDG1871)</t>
  </si>
  <si>
    <t>ITDGTOC00059403</t>
  </si>
  <si>
    <t>Ungensurginti06</t>
  </si>
  <si>
    <t>CZC4412ZWZ</t>
  </si>
  <si>
    <t>Salton (Linux)</t>
  </si>
  <si>
    <t>ITDGTOC00059408</t>
  </si>
  <si>
    <t>nkealisgilentr3</t>
  </si>
  <si>
    <t>CZC4412ZVT</t>
  </si>
  <si>
    <t>Sirchia (Linux)</t>
  </si>
  <si>
    <t>ITDGTOC00059409</t>
  </si>
  <si>
    <t>warnicablellis4</t>
  </si>
  <si>
    <t>CZC4412ZVW</t>
  </si>
  <si>
    <t>Garbolino (Linux)</t>
  </si>
  <si>
    <t>ITDGTOC000410</t>
  </si>
  <si>
    <t>disupeinaceris0</t>
  </si>
  <si>
    <t>CZC4412ZVX</t>
  </si>
  <si>
    <t>Cianci (Linux)</t>
  </si>
  <si>
    <t>ITDGTOC000411</t>
  </si>
  <si>
    <t>shabirptuphiao6</t>
  </si>
  <si>
    <t>CZC4412ZVY</t>
  </si>
  <si>
    <t>Corradin (Linux)</t>
  </si>
  <si>
    <t>ITDGTOC000412</t>
  </si>
  <si>
    <t>nailistrannyll4</t>
  </si>
  <si>
    <t>CZC4412ZVV</t>
  </si>
  <si>
    <t>VITO</t>
  </si>
  <si>
    <t>ITDGTOC00059743</t>
  </si>
  <si>
    <t>CZC50442FW</t>
  </si>
  <si>
    <t>ITDGTOC00059744</t>
  </si>
  <si>
    <t>CZC50442FS</t>
  </si>
  <si>
    <t>ITDGTOC00059745</t>
  </si>
  <si>
    <t>CZC50442FT</t>
  </si>
  <si>
    <t>ITDGTOC00059746</t>
  </si>
  <si>
    <t>CZC50442FV</t>
  </si>
  <si>
    <t>ITDGTOC00059747</t>
  </si>
  <si>
    <t>CZC50442FX</t>
  </si>
  <si>
    <t>ITDGTOC00059882</t>
  </si>
  <si>
    <t>Sala I.D. - Guelfo -</t>
  </si>
  <si>
    <t>ITDGTOC00060012</t>
  </si>
  <si>
    <t>Timlopio1987</t>
  </si>
  <si>
    <t>JP013QYH2</t>
  </si>
  <si>
    <t>Montesi Diego</t>
  </si>
  <si>
    <t>ITDGTOC00060162</t>
  </si>
  <si>
    <t>Rantanen43</t>
  </si>
  <si>
    <t>CZC5241TPF</t>
  </si>
  <si>
    <t>Ferrero Laura</t>
  </si>
  <si>
    <t>ITDGTOC00060161</t>
  </si>
  <si>
    <t>Retuning68</t>
  </si>
  <si>
    <t>CZC5241TPL</t>
  </si>
  <si>
    <t>Bartoletta Gianluca</t>
  </si>
  <si>
    <t>Backtotime99</t>
  </si>
  <si>
    <t>CZC5241TPG</t>
  </si>
  <si>
    <t>Torta Paola</t>
  </si>
  <si>
    <t>ITDGTOC00060154</t>
  </si>
  <si>
    <t>Villaboatta4</t>
  </si>
  <si>
    <t>CZC5241TPH</t>
  </si>
  <si>
    <t>Gardino Stefano</t>
  </si>
  <si>
    <t>ITDGTOC00060159</t>
  </si>
  <si>
    <t>Greenpark34</t>
  </si>
  <si>
    <t>CZC5241TPJ</t>
  </si>
  <si>
    <t>Montanaro Fabrizio</t>
  </si>
  <si>
    <t>ITDGTOC00060157</t>
  </si>
  <si>
    <t>Bluicerint5</t>
  </si>
  <si>
    <t>CZC5241TPN</t>
  </si>
  <si>
    <t>Virtual Cad</t>
  </si>
  <si>
    <t>ITDGTOC00060216</t>
  </si>
  <si>
    <t>Tovalerkeudino5</t>
  </si>
  <si>
    <t>CZC52809HQ</t>
  </si>
  <si>
    <t>Sala Brivido</t>
  </si>
  <si>
    <t>Grintossonetti3</t>
  </si>
  <si>
    <t>CZC52809HP</t>
  </si>
  <si>
    <t>VITO/TONY_LINUX</t>
  </si>
  <si>
    <t>Sassicaia303</t>
  </si>
  <si>
    <t>CZC5241TPD</t>
  </si>
  <si>
    <t>ITDGTOC00060156</t>
  </si>
  <si>
    <t>Clograputibone6</t>
  </si>
  <si>
    <t>CZC5241TPM</t>
  </si>
  <si>
    <t>ITDGTOC00060155</t>
  </si>
  <si>
    <t>Terziadella2</t>
  </si>
  <si>
    <t>CZC5241TPK</t>
  </si>
  <si>
    <t>Render Stile (Vassallo)</t>
  </si>
  <si>
    <t>ITDGTOC00060656</t>
  </si>
  <si>
    <t>BallaLinda16</t>
  </si>
  <si>
    <t>CZC54972NJ</t>
  </si>
  <si>
    <t>CHIEDERE VITO</t>
  </si>
  <si>
    <t>ITDGTOC00060153</t>
  </si>
  <si>
    <t>Renumerato90</t>
  </si>
  <si>
    <t>CZC5241TPC</t>
  </si>
  <si>
    <t>Redi Massimo (IDG2027)</t>
  </si>
  <si>
    <t>Aldo Vito</t>
  </si>
  <si>
    <t>Ottavianelli Roberta (IDG1941)</t>
  </si>
  <si>
    <t>Ciocca Stefano (IDG2025)</t>
  </si>
  <si>
    <t>17/01/2017</t>
  </si>
  <si>
    <t>Sciarpa Flaviano</t>
  </si>
  <si>
    <t>ITDGTOC00064603</t>
  </si>
  <si>
    <t>ITDGTOC00064496</t>
  </si>
  <si>
    <t>CZC6479Q9B</t>
  </si>
  <si>
    <t>ITDGTOC00064497</t>
  </si>
  <si>
    <t>CZC6479Q9C</t>
  </si>
  <si>
    <t>ITDGTOC00064498</t>
  </si>
  <si>
    <t>CZC6479Q9D</t>
  </si>
  <si>
    <t>Balbinot Carlo Giuseppe (IG/EB-3)</t>
  </si>
  <si>
    <t>ITDGTOC00064822</t>
  </si>
  <si>
    <t>CZC71282ZF</t>
  </si>
  <si>
    <t>ITDGTOC00064934</t>
  </si>
  <si>
    <t>CZC72184CD</t>
  </si>
  <si>
    <t>Vignola Carlo</t>
  </si>
  <si>
    <t>SR1002486</t>
  </si>
  <si>
    <t>SR1002260</t>
  </si>
  <si>
    <t>SR1002472</t>
  </si>
  <si>
    <t>Borrelli Massimo (IG/D-1) (ITDGTOC00059354)</t>
  </si>
  <si>
    <t>ITDGTOC00069595</t>
  </si>
  <si>
    <t>Trusted33</t>
  </si>
  <si>
    <t>SR1002466</t>
  </si>
  <si>
    <t>Guelfo Nicola (IG/D-1) (ITDGTOC00060625)</t>
  </si>
  <si>
    <t>ITDGTOC00069474</t>
  </si>
  <si>
    <t>Interupt82</t>
  </si>
  <si>
    <t>SR1002492</t>
  </si>
  <si>
    <t>Lago Enrico (IG/D-1) (ITDGTOC00059973) EITLB3E</t>
  </si>
  <si>
    <t>ITDGTOC00069475</t>
  </si>
  <si>
    <t>Sunrise2020</t>
  </si>
  <si>
    <t>SR1002498</t>
  </si>
  <si>
    <t>Fracchia Cristiano (ITDGTOC00060622)</t>
  </si>
  <si>
    <t>ITDGTOC00069473</t>
  </si>
  <si>
    <t>Dropped123</t>
  </si>
  <si>
    <t>07/02 mattina</t>
  </si>
  <si>
    <t>SR1002236</t>
  </si>
  <si>
    <t>Milani Federico (IG/D-3) (ITDGTOC00060621)</t>
  </si>
  <si>
    <t>10/02/2020 alias design, alias surface, photoshop, vred</t>
  </si>
  <si>
    <t>SR1171699</t>
  </si>
  <si>
    <t>ITDGTOC00070592</t>
  </si>
  <si>
    <t>AstaToro121</t>
  </si>
  <si>
    <t>SR1171709</t>
  </si>
  <si>
    <t>ITDGTOC00070593</t>
  </si>
  <si>
    <t>AstaToro122</t>
  </si>
  <si>
    <t>SR1171715</t>
  </si>
  <si>
    <t>ITDGTOC00070594</t>
  </si>
  <si>
    <t>AstaToro123</t>
  </si>
  <si>
    <t>SR1171721</t>
  </si>
  <si>
    <t>ITDGTOC00070595</t>
  </si>
  <si>
    <t>AstaToro124</t>
  </si>
  <si>
    <t>SR1171727</t>
  </si>
  <si>
    <t>ITDGTOC00070596</t>
  </si>
  <si>
    <t>AstaToro125</t>
  </si>
  <si>
    <t>SR1171733</t>
  </si>
  <si>
    <t>ITDGTOC00070597</t>
  </si>
  <si>
    <t>AstaToro126</t>
  </si>
  <si>
    <r>
      <t xml:space="preserve">Destreri Marco </t>
    </r>
    <r>
      <rPr>
        <i/>
        <sz val="10"/>
        <color theme="1"/>
        <rFont val="Prompt Light"/>
      </rPr>
      <t>(ITDGTOC00058850)</t>
    </r>
  </si>
  <si>
    <t>Vito</t>
  </si>
  <si>
    <t>ITDGTOC00069476</t>
  </si>
  <si>
    <r>
      <t xml:space="preserve">Ivaldi Daniele </t>
    </r>
    <r>
      <rPr>
        <i/>
        <sz val="10"/>
        <color theme="1"/>
        <rFont val="Prompt Light"/>
      </rPr>
      <t>(ITDGTOC00059409)</t>
    </r>
  </si>
  <si>
    <t>ITDGTOC00069477</t>
  </si>
  <si>
    <r>
      <t xml:space="preserve">Miserere Silvio </t>
    </r>
    <r>
      <rPr>
        <i/>
        <sz val="10"/>
        <color theme="1"/>
        <rFont val="Prompt Light"/>
      </rPr>
      <t>(ITDGTOC00059745)</t>
    </r>
  </si>
  <si>
    <t>ITDGTOC00069478</t>
  </si>
  <si>
    <r>
      <t xml:space="preserve">Salton Lorenzo </t>
    </r>
    <r>
      <rPr>
        <i/>
        <sz val="10"/>
        <color theme="1"/>
        <rFont val="Prompt Light"/>
      </rPr>
      <t>(ITDGTOC00059408)</t>
    </r>
  </si>
  <si>
    <t>ITDGTOC00069599</t>
  </si>
  <si>
    <r>
      <t xml:space="preserve">Garbolino Daniele </t>
    </r>
    <r>
      <rPr>
        <i/>
        <sz val="10"/>
        <color theme="1"/>
        <rFont val="Prompt Light"/>
      </rPr>
      <t>(ITDGTOC00059410)</t>
    </r>
  </si>
  <si>
    <t>ITDGTOC00069600</t>
  </si>
  <si>
    <r>
      <t xml:space="preserve">Burelli Roberto </t>
    </r>
    <r>
      <rPr>
        <i/>
        <sz val="10"/>
        <color theme="1"/>
        <rFont val="Prompt Light"/>
      </rPr>
      <t>(ITDGTOC00059747)</t>
    </r>
  </si>
  <si>
    <t>ITDGTOC00069601</t>
  </si>
  <si>
    <t>Ughetti IDG2133</t>
  </si>
  <si>
    <t>ITDGTOC00068455</t>
  </si>
  <si>
    <t>CZC82774ST</t>
  </si>
  <si>
    <t>Pellegrino IDG2448</t>
  </si>
  <si>
    <t>ITDGTOC00068470</t>
  </si>
  <si>
    <t>CZC82774S8</t>
  </si>
  <si>
    <t>Pellegrino IDG2450</t>
  </si>
  <si>
    <t>ITDGTOC00068471</t>
  </si>
  <si>
    <t>CZC82774SR</t>
  </si>
  <si>
    <t>Pellegrino ITDGTOC00060937</t>
  </si>
  <si>
    <t>chiavi</t>
  </si>
  <si>
    <t>ITDGTOC00068472</t>
  </si>
  <si>
    <t>CZC82774SS</t>
  </si>
  <si>
    <t>Ughetti ITDGTOC00063925</t>
  </si>
  <si>
    <t>ITDGTOC00068473</t>
  </si>
  <si>
    <t>CZC82774SP</t>
  </si>
  <si>
    <t>Ughetti ITDGTOC00063926</t>
  </si>
  <si>
    <t>ITDGTOC00068474</t>
  </si>
  <si>
    <t>CZC82774SF</t>
  </si>
  <si>
    <t>Pellegrino Postazione aggiuntiva</t>
  </si>
  <si>
    <t>ITDGTOC00068475</t>
  </si>
  <si>
    <t>CZC82774S9</t>
  </si>
  <si>
    <t>Ficco Davide (IG/P-2)</t>
  </si>
  <si>
    <t>ITDGTOC00068451</t>
  </si>
  <si>
    <t>CZC82774S0</t>
  </si>
  <si>
    <t>COM7</t>
  </si>
  <si>
    <t>ITDGTOC00068452</t>
  </si>
  <si>
    <t>CZC82774T0</t>
  </si>
  <si>
    <t>ITDGTOC00068453</t>
  </si>
  <si>
    <t>CZC82774S2</t>
  </si>
  <si>
    <t>ITDGTOC00068454</t>
  </si>
  <si>
    <t>CZC82774SL</t>
  </si>
  <si>
    <t>CZC82774SC</t>
  </si>
  <si>
    <t>ITDGTOC00068457</t>
  </si>
  <si>
    <t>CZC82774SY</t>
  </si>
  <si>
    <t>ITDGTOC00068458</t>
  </si>
  <si>
    <t>CZC82774S7</t>
  </si>
  <si>
    <t>ITDGTOC00068459</t>
  </si>
  <si>
    <t>CZC82774SW</t>
  </si>
  <si>
    <t>ITDGTOC00068460</t>
  </si>
  <si>
    <t>CZC82774RY</t>
  </si>
  <si>
    <t>ITDGTOC00068461</t>
  </si>
  <si>
    <t>CZC82774SZ</t>
  </si>
  <si>
    <t>CZC82774RV</t>
  </si>
  <si>
    <t>ITDGTOC00068463</t>
  </si>
  <si>
    <t>CZC82774S6</t>
  </si>
  <si>
    <t>OO</t>
  </si>
  <si>
    <t>ITDGTOC00068464</t>
  </si>
  <si>
    <t>CZC82774RW</t>
  </si>
  <si>
    <t>ITDGTOC00068465</t>
  </si>
  <si>
    <t>CZC82774SH</t>
  </si>
  <si>
    <t>ITDGTOC00068466</t>
  </si>
  <si>
    <t>CZC82774SQ</t>
  </si>
  <si>
    <t>ITDGTOC00068467</t>
  </si>
  <si>
    <t>CZC82774SJ</t>
  </si>
  <si>
    <t>ITDGTOC00068468</t>
  </si>
  <si>
    <t>CZC82774RZ</t>
  </si>
  <si>
    <t>Del Rosso, Marco (IG/EC-5)</t>
  </si>
  <si>
    <t xml:space="preserve">Ilie Marius </t>
  </si>
  <si>
    <t>ITDGTOC00068476</t>
  </si>
  <si>
    <t>CZC82774SB</t>
  </si>
  <si>
    <t>ITDGTOC00068477</t>
  </si>
  <si>
    <t>CZC82774SX</t>
  </si>
  <si>
    <t>ITDGTOC00068478</t>
  </si>
  <si>
    <t>CZC82774S4</t>
  </si>
  <si>
    <t>ITDGTOC00068479</t>
  </si>
  <si>
    <t>CZC82774SM</t>
  </si>
  <si>
    <t>ITDGTOC00068480</t>
  </si>
  <si>
    <t>CZC82774RX</t>
  </si>
  <si>
    <t>SR953946</t>
  </si>
  <si>
    <t>Carta Massimo (Utilizzo generico)</t>
  </si>
  <si>
    <t>SR953928</t>
  </si>
  <si>
    <t>Gavioli Francesco (ITDGTOL00065809)</t>
  </si>
  <si>
    <t>Ilmiotesssoro2</t>
  </si>
  <si>
    <t>SR953884</t>
  </si>
  <si>
    <t>Peretti Fabio (ITDGTOC00060181)</t>
  </si>
  <si>
    <t>Ilmiotesssoro3</t>
  </si>
  <si>
    <t>Jorg Astalosch ITDGTOL00068393</t>
  </si>
  <si>
    <t>5CG9103CBQ</t>
  </si>
  <si>
    <t>Gamberini Giorgio (Nuova assunzione)</t>
  </si>
  <si>
    <t>Franco Bay ITDGTOL00059076</t>
  </si>
  <si>
    <t>5CG9100J45</t>
  </si>
  <si>
    <t>Volpengo Marco</t>
  </si>
  <si>
    <t>HP EliteBook Folio 1040</t>
  </si>
  <si>
    <t>Ateneseerflem12</t>
  </si>
  <si>
    <t>8CG43901PM</t>
  </si>
  <si>
    <t>Volontà Dario</t>
  </si>
  <si>
    <t>ITDGTOL00059379</t>
  </si>
  <si>
    <t>Recalaceougali5</t>
  </si>
  <si>
    <t>8CG43901PL</t>
  </si>
  <si>
    <t>Cazzato Pietro</t>
  </si>
  <si>
    <t>ITDGTOL00059381</t>
  </si>
  <si>
    <t>Ubeturimatutc87</t>
  </si>
  <si>
    <t>8CG43901PH</t>
  </si>
  <si>
    <t>Martinotti</t>
  </si>
  <si>
    <t>ITDGTOL00059378</t>
  </si>
  <si>
    <t>Atuscreelmott78</t>
  </si>
  <si>
    <t>8CG43901PJ</t>
  </si>
  <si>
    <t>Marchisio Daniele</t>
  </si>
  <si>
    <t>ITDGTOL00059380</t>
  </si>
  <si>
    <t>Enizessubbisib4</t>
  </si>
  <si>
    <t>8CG43901PK</t>
  </si>
  <si>
    <t>D'Alessandro Michele (IG/D-1)</t>
  </si>
  <si>
    <t>Natyperouceli20</t>
  </si>
  <si>
    <t>8CG504097R</t>
  </si>
  <si>
    <t>Mantelli Riccardo (IG/D-1)</t>
  </si>
  <si>
    <t>ITDGTOL00059833</t>
  </si>
  <si>
    <t>Ciondessalisa31</t>
  </si>
  <si>
    <t>8CG504097N</t>
  </si>
  <si>
    <t>Becchio Corrado (IG/D-1)</t>
  </si>
  <si>
    <t>ITDGTOL00059834</t>
  </si>
  <si>
    <t>Wlessachratio95</t>
  </si>
  <si>
    <t>8CG504097Q</t>
  </si>
  <si>
    <t>Burbui Sergio (IG/D-1)</t>
  </si>
  <si>
    <t>ITDGTOL00059836</t>
  </si>
  <si>
    <t>Hchechiftnian42</t>
  </si>
  <si>
    <t>8CG504097P</t>
  </si>
  <si>
    <t>Antognoli Giancarlo (IDG2312)</t>
  </si>
  <si>
    <t>HP EliteBook 1040</t>
  </si>
  <si>
    <t>8CG504097S</t>
  </si>
  <si>
    <t>Artiom</t>
  </si>
  <si>
    <t>Ftentiopateria7</t>
  </si>
  <si>
    <t>Cuzzi (IDG2001)</t>
  </si>
  <si>
    <t>ITDGTOL00060832</t>
  </si>
  <si>
    <t>Nonsoloore55</t>
  </si>
  <si>
    <t>8CG5521NMV</t>
  </si>
  <si>
    <t>OK***</t>
  </si>
  <si>
    <t>Ralph Schuenemann</t>
  </si>
  <si>
    <t>ITDGTOL00060833</t>
  </si>
  <si>
    <t>Verytest1678</t>
  </si>
  <si>
    <t>8CG5521NMT</t>
  </si>
  <si>
    <t>Volpengo(ITDGTOL00059377)</t>
  </si>
  <si>
    <t>Folio 1040</t>
  </si>
  <si>
    <t>Lorenzi Simone (IDG2233)</t>
  </si>
  <si>
    <t>EliteBook Folio 1040G1</t>
  </si>
  <si>
    <t>Annarita Nulchis</t>
  </si>
  <si>
    <t>Piccatto Andrea</t>
  </si>
  <si>
    <t>Panasonic Corporation</t>
  </si>
  <si>
    <t>CF-54-2</t>
  </si>
  <si>
    <t>ITDGTOL00065122</t>
  </si>
  <si>
    <t>7CTCA20326</t>
  </si>
  <si>
    <t>Garrone (ITDGTOL00063822)</t>
  </si>
  <si>
    <t>ITDGTOT00065481</t>
  </si>
  <si>
    <t>5CG7402JYK</t>
  </si>
  <si>
    <t>Amatucci Andrea(IG/EE)</t>
  </si>
  <si>
    <t>Microsoft Corporation</t>
  </si>
  <si>
    <t>Surface Studio</t>
  </si>
  <si>
    <t>ITDGTOC00068201</t>
  </si>
  <si>
    <t>Ehrke, Jens (IG/EE)</t>
  </si>
  <si>
    <t>ITDGTOC00068202</t>
  </si>
  <si>
    <t>Simone Passarelli (IG/EE)</t>
  </si>
  <si>
    <t>ITDGTOC00068203</t>
  </si>
  <si>
    <t>Stornanti Vincenzo Graziano (IG/EE)</t>
  </si>
  <si>
    <t>ITDGTOC00068205</t>
  </si>
  <si>
    <t>Enrico Moccia(IG/EE)</t>
  </si>
  <si>
    <t>ITDGTOC00068206</t>
  </si>
  <si>
    <t>0000-75273158</t>
  </si>
  <si>
    <t>Rivella Emanuele (IG/EE)</t>
  </si>
  <si>
    <t>ITDGTOC00068204</t>
  </si>
  <si>
    <t>000-757272758</t>
  </si>
  <si>
    <t>Sergio Carena(IG/EE)</t>
  </si>
  <si>
    <t>ITDGTOC00068207</t>
  </si>
  <si>
    <t>000-885772758</t>
  </si>
  <si>
    <t>Garrone Antonello(ITDGTOT00065481)</t>
  </si>
  <si>
    <t>HP Elite x2 1012 G2</t>
  </si>
  <si>
    <t>ITDGTOT00065989</t>
  </si>
  <si>
    <t>5CG8195G54</t>
  </si>
  <si>
    <t>Antonio Casu ITDGTOT00065483</t>
  </si>
  <si>
    <t>ITDGTOT00065990</t>
  </si>
  <si>
    <t>5CG8195G65</t>
  </si>
  <si>
    <t>-</t>
  </si>
  <si>
    <t>Rif. Cazzato</t>
  </si>
  <si>
    <t>Apple</t>
  </si>
  <si>
    <t>Mac Mini</t>
  </si>
  <si>
    <t>ITDGTOC00068846</t>
  </si>
  <si>
    <t>ITDGTOC00068847</t>
  </si>
  <si>
    <t>ITDGTOC00068848</t>
  </si>
  <si>
    <t>ITDGTOC00068849</t>
  </si>
  <si>
    <t>ITDGTOC00068850</t>
  </si>
  <si>
    <t>ITDGTOC00068851</t>
  </si>
  <si>
    <t>ITDGTOC00068852</t>
  </si>
  <si>
    <t>ITDGTOC00068853</t>
  </si>
  <si>
    <t>ITDGTOC00068854</t>
  </si>
  <si>
    <t>ITDGTOC00068855</t>
  </si>
  <si>
    <t>ITDGTOC00068856</t>
  </si>
  <si>
    <t>ITDGTOC00068857</t>
  </si>
  <si>
    <t>ITDGTOC00068858</t>
  </si>
  <si>
    <t>ITDGTOC00068859</t>
  </si>
  <si>
    <t>ITDGTOC00068860</t>
  </si>
  <si>
    <t>ITDGTOC00068861</t>
  </si>
  <si>
    <t>ITDGTOC00068862</t>
  </si>
  <si>
    <t>ITDGTOC00068863</t>
  </si>
  <si>
    <t>ITDGTOC00068864</t>
  </si>
  <si>
    <t>ITDGTOC00068865</t>
  </si>
  <si>
    <t>Niero Stefano (Stage IG/M)</t>
  </si>
  <si>
    <t>Peyron ITDGTOL00063520</t>
  </si>
  <si>
    <t>ITDGTOT00065483</t>
  </si>
  <si>
    <t>5CG7402JZ4</t>
  </si>
  <si>
    <t>Microsoft</t>
  </si>
  <si>
    <t>Microsoft Suface Book 2</t>
  </si>
  <si>
    <t>ITDGTOL00068271</t>
  </si>
  <si>
    <t>SR919472</t>
  </si>
  <si>
    <t>Zazzarini</t>
  </si>
  <si>
    <t>Surface Go 128 GB</t>
  </si>
  <si>
    <t>ITDGTOT00069357</t>
  </si>
  <si>
    <t>SR1173480</t>
  </si>
  <si>
    <t>Riccioli Roberto IG/B-2 - rif. Lombardi Luigi</t>
  </si>
  <si>
    <t>Stage dal 18/01/2021 - ThinkCell</t>
  </si>
  <si>
    <t>SR1173808</t>
  </si>
  <si>
    <t>Rizzo Daniele IG/D-3 - rif. Pizzi Giovanni</t>
  </si>
  <si>
    <t>Balbi/Nicolosi</t>
  </si>
  <si>
    <t>Stage dal 18/01/2021 - photoshop, Alias Design, Maya, V-red</t>
  </si>
  <si>
    <t>SR1173826</t>
  </si>
  <si>
    <t>Capone Christian IG/D-3 - rif. Lequio Marziella</t>
  </si>
  <si>
    <t>Stage dal 18/01/2021 - Adobe Creative Suite, illustrator, xd, photoshop, after effect, premiere</t>
  </si>
  <si>
    <t>SR1173858</t>
  </si>
  <si>
    <t>Zhu Jiaqi IG/D-3 - fir. Gilardi Claudia</t>
  </si>
  <si>
    <t>Stage dal 18/01/2021 - Photoshop, Indesign, Adobe Illustrator, Powerpoint, Alias Design, V-red, Keyshot</t>
  </si>
  <si>
    <t>SR1173550</t>
  </si>
  <si>
    <t>Natella Domenico IG/EE-2</t>
  </si>
  <si>
    <t>ITDGTOL00064689</t>
  </si>
  <si>
    <t>Stage dal 18/01/2021</t>
  </si>
  <si>
    <t>LICHTNER AXEL IG/EE-2</t>
  </si>
  <si>
    <t>ITDGTOL00070531</t>
  </si>
  <si>
    <t>Spedito</t>
  </si>
  <si>
    <t>Ingresso dal 01/02/2021 IDD - NO SW NECESSARI AL MOMENTO</t>
  </si>
  <si>
    <t>DUBIAN THOMAS – IG/EE-2</t>
  </si>
  <si>
    <t>ITDGTOL00070522</t>
  </si>
  <si>
    <t xml:space="preserve">DESBARGES GRÉGORY ANDRE MARCEL </t>
  </si>
  <si>
    <t>Cutrona Francesco IG/EK-33 rif. Vignola</t>
  </si>
  <si>
    <t>Nicolosi</t>
  </si>
  <si>
    <t>Ingresso il 01/02/2021 - Pc Office/ no sw per ora</t>
  </si>
  <si>
    <t>Bianco, Paolo (IG/EE-3)  ITDGTOL0EXT0452</t>
  </si>
  <si>
    <t>ITDGTOL00070438</t>
  </si>
  <si>
    <t>Vedi mail del 29/01</t>
  </si>
  <si>
    <t>SR1247994</t>
  </si>
  <si>
    <t>Gao Sai IG/GT</t>
  </si>
  <si>
    <t>Hp</t>
  </si>
  <si>
    <t>840 G7</t>
  </si>
  <si>
    <t>ITDGTOL00070627</t>
  </si>
  <si>
    <t>si</t>
  </si>
  <si>
    <t>SR1247567</t>
  </si>
  <si>
    <t>Scopelliti Antonio IG/EE-2</t>
  </si>
  <si>
    <t>SR1249471</t>
  </si>
  <si>
    <t>Costa Tommaso Junior IG/EE-2</t>
  </si>
  <si>
    <t>ITDGTOL00070636</t>
  </si>
  <si>
    <t>Chieca (Scanner stile)</t>
  </si>
  <si>
    <t>HP EliteDesk 800</t>
  </si>
  <si>
    <t>ITDGTOC00058837</t>
  </si>
  <si>
    <t>Santiago18water</t>
  </si>
  <si>
    <t>CZC4152WKH</t>
  </si>
  <si>
    <t>ITDGTOC00058838</t>
  </si>
  <si>
    <t>Mundialao2014</t>
  </si>
  <si>
    <t>CZC4152WKL</t>
  </si>
  <si>
    <t>Roberto Bolognesi BTE LOGIS</t>
  </si>
  <si>
    <t>ITDGTOC00058839</t>
  </si>
  <si>
    <t>Germaniaargentina31</t>
  </si>
  <si>
    <t>CZC4152WKG</t>
  </si>
  <si>
    <t>Lionello Patrizio***</t>
  </si>
  <si>
    <t>HP EliteDesk 800 G1 TWR</t>
  </si>
  <si>
    <t>ITDGTOC00058840</t>
  </si>
  <si>
    <t>Torennateraff94</t>
  </si>
  <si>
    <t>CZC4152WKN</t>
  </si>
  <si>
    <t>Taverna Rosa*</t>
  </si>
  <si>
    <t>ITDGTOC00058841</t>
  </si>
  <si>
    <t>Rackystistocoa8</t>
  </si>
  <si>
    <t>CZC4152WKD</t>
  </si>
  <si>
    <t>Torre Isabella (Polo Logistico)</t>
  </si>
  <si>
    <t>ITDGTOC00058842</t>
  </si>
  <si>
    <t>Lingdowpliters4</t>
  </si>
  <si>
    <t>CZC4152WKM</t>
  </si>
  <si>
    <t>Moro Mose (frese)</t>
  </si>
  <si>
    <t>ITDGTOC00058843</t>
  </si>
  <si>
    <t>CZC4152WKK</t>
  </si>
  <si>
    <t>ITDGTOC00058844</t>
  </si>
  <si>
    <t>Alisishereosyc8</t>
  </si>
  <si>
    <t>CZC4152WKC</t>
  </si>
  <si>
    <t>Bocca Paolo (Braccio Faro)</t>
  </si>
  <si>
    <t>CZC4152WKJ</t>
  </si>
  <si>
    <t>Bertoglio Elisa (Ficco Davide)</t>
  </si>
  <si>
    <t>ITDGTOC00058846</t>
  </si>
  <si>
    <t>Juventushp2015</t>
  </si>
  <si>
    <t>CZC4152WKF</t>
  </si>
  <si>
    <t>Rumbirkinedise1</t>
  </si>
  <si>
    <t>CZC4281388</t>
  </si>
  <si>
    <t>Corvasce Roberto</t>
  </si>
  <si>
    <t>Recheolismons92</t>
  </si>
  <si>
    <t>Pellegrino Antonio (nuovo)</t>
  </si>
  <si>
    <t>ITDGTOC00059049</t>
  </si>
  <si>
    <t>Enotalcentiou21</t>
  </si>
  <si>
    <t>CZC4281389</t>
  </si>
  <si>
    <t>IDG1476 Rutigliano Roberto</t>
  </si>
  <si>
    <t>Rinoissemotrin3</t>
  </si>
  <si>
    <t>ITDGTOC00059051</t>
  </si>
  <si>
    <t>Honsclenedism78</t>
  </si>
  <si>
    <t>CZC4281386</t>
  </si>
  <si>
    <t>Scanner Polo - Artiom - Ughetti</t>
  </si>
  <si>
    <t>ITDGTOC00059052</t>
  </si>
  <si>
    <t>Elyseprerecep22</t>
  </si>
  <si>
    <t>CZC4281385</t>
  </si>
  <si>
    <t>Rip plotter ID (Guelfo - IDG1498)</t>
  </si>
  <si>
    <t>ITDGTOC00059053</t>
  </si>
  <si>
    <t>Xingyiquan14 </t>
  </si>
  <si>
    <t>CZC4281387</t>
  </si>
  <si>
    <t>Cingolani Bruno (IDG1633)*</t>
  </si>
  <si>
    <t>ITDGTOC00059054</t>
  </si>
  <si>
    <t>Lescavorronara1</t>
  </si>
  <si>
    <t>CZC4281384</t>
  </si>
  <si>
    <t>ITDGTOC00059055</t>
  </si>
  <si>
    <t>Eperoparantab22</t>
  </si>
  <si>
    <t>CZC428138C</t>
  </si>
  <si>
    <t>Illuminato - Videosorveglianza</t>
  </si>
  <si>
    <t>ITDGTOC00059084</t>
  </si>
  <si>
    <t>Reptornallyps25</t>
  </si>
  <si>
    <t>CZC42924LY</t>
  </si>
  <si>
    <t>Niglypoleviti11</t>
  </si>
  <si>
    <t>CZC42924LZ</t>
  </si>
  <si>
    <t>ITDGTOC00059086</t>
  </si>
  <si>
    <t>Gormatereliter1</t>
  </si>
  <si>
    <t>CZC42924M0</t>
  </si>
  <si>
    <t>ITDGTOC00059087</t>
  </si>
  <si>
    <t>Atrumanningled8</t>
  </si>
  <si>
    <t>CZC42924M1</t>
  </si>
  <si>
    <t>IDG1482 D’Araio Stefano</t>
  </si>
  <si>
    <t>ITDGTOC00059298</t>
  </si>
  <si>
    <t>Akeedeporderop5</t>
  </si>
  <si>
    <t>CZC4383NP5</t>
  </si>
  <si>
    <t>Cotugno Cosimo</t>
  </si>
  <si>
    <t>ITDGTOC00059299</t>
  </si>
  <si>
    <t>Tongontandamot5</t>
  </si>
  <si>
    <t>CZC4383NP1</t>
  </si>
  <si>
    <t>ITDGTOC00059300</t>
  </si>
  <si>
    <t>Ilmionome15!</t>
  </si>
  <si>
    <t>CZC4383NP4</t>
  </si>
  <si>
    <t>ITDGTOC00059301</t>
  </si>
  <si>
    <t>Agnesilicanod49</t>
  </si>
  <si>
    <t>CZC4383NP8</t>
  </si>
  <si>
    <t>Manutenzione</t>
  </si>
  <si>
    <t>ITDGTOC00059302</t>
  </si>
  <si>
    <t>Stoceouleutic23</t>
  </si>
  <si>
    <t>CZC4383NP6</t>
  </si>
  <si>
    <t>Caruso Carmela (IDG1627)***</t>
  </si>
  <si>
    <t>ITDGTOC00059305</t>
  </si>
  <si>
    <t>Tentervissines2</t>
  </si>
  <si>
    <t>CZC4383NP3</t>
  </si>
  <si>
    <t>Atzori M. Laura (IDG1634)</t>
  </si>
  <si>
    <t>ITDGTOC00059306</t>
  </si>
  <si>
    <t>Sburammaraceye5</t>
  </si>
  <si>
    <t>CZC4383NP7</t>
  </si>
  <si>
    <t>Gorlato Franco (IDG1630)*</t>
  </si>
  <si>
    <t>ITDGTOC00059307</t>
  </si>
  <si>
    <t>Edicactiofessi4</t>
  </si>
  <si>
    <t>CZC4383NP9</t>
  </si>
  <si>
    <t>Borge Giacomino (IDG1480)***</t>
  </si>
  <si>
    <t>ITDGTOC00059304</t>
  </si>
  <si>
    <t>Volecalnetrosi6</t>
  </si>
  <si>
    <t>CZC4383NP2</t>
  </si>
  <si>
    <t>Blangero Maurizio</t>
  </si>
  <si>
    <t>ITDGTOC00059303</t>
  </si>
  <si>
    <t>Supertioulpul50</t>
  </si>
  <si>
    <t>CZC4383NP0</t>
  </si>
  <si>
    <t>Fasciola Elena</t>
  </si>
  <si>
    <t>Testera Ivan idg1748**</t>
  </si>
  <si>
    <t>De Giorgis, Valerio (IG/D-322)</t>
  </si>
  <si>
    <t>Elite Desk 800</t>
  </si>
  <si>
    <t>ITDGTOC060174</t>
  </si>
  <si>
    <t>Yindianamessic8</t>
  </si>
  <si>
    <t>CZC526333G</t>
  </si>
  <si>
    <t>Ughetti</t>
  </si>
  <si>
    <t>Zafarana, Salvatore (IG/P-4)</t>
  </si>
  <si>
    <t>ITDGTOC060175</t>
  </si>
  <si>
    <t>Uinculogynaus14</t>
  </si>
  <si>
    <t>CZC526333B</t>
  </si>
  <si>
    <t>Zerbin Mario</t>
  </si>
  <si>
    <t>ITDGTOC060177</t>
  </si>
  <si>
    <t>Mantemeshessio7</t>
  </si>
  <si>
    <t>CZC526333H</t>
  </si>
  <si>
    <t>Bosco Piera</t>
  </si>
  <si>
    <t>ITDGTOC00060193</t>
  </si>
  <si>
    <t>Teedrudistoph91</t>
  </si>
  <si>
    <t>CZC526332R</t>
  </si>
  <si>
    <t>Macri Maurizio</t>
  </si>
  <si>
    <t>ITDGTOC00060176</t>
  </si>
  <si>
    <t>Tcapharioninga4</t>
  </si>
  <si>
    <t>CZC526333J</t>
  </si>
  <si>
    <t>Allegra Rodolfo</t>
  </si>
  <si>
    <t>ITDGTOC00060192</t>
  </si>
  <si>
    <t>Tboteesingoot83</t>
  </si>
  <si>
    <t>CZC5263335</t>
  </si>
  <si>
    <t>Stramaglia Maria</t>
  </si>
  <si>
    <t>Tphablormorapa8</t>
  </si>
  <si>
    <t>Coppola Rosa</t>
  </si>
  <si>
    <t>ITDGTOC00060194</t>
  </si>
  <si>
    <t>Tritioclolofello66</t>
  </si>
  <si>
    <t>CZC5263338</t>
  </si>
  <si>
    <t>Ponzio Paolo</t>
  </si>
  <si>
    <t>ITDGTOC00060191</t>
  </si>
  <si>
    <t>Turisniestire66</t>
  </si>
  <si>
    <t>CZC5263333</t>
  </si>
  <si>
    <t>Abate Daniela</t>
  </si>
  <si>
    <t>ITDGTOC00060188</t>
  </si>
  <si>
    <t>Pollinomiloso77</t>
  </si>
  <si>
    <t>CZC526332J</t>
  </si>
  <si>
    <t>Russo Giuseppe</t>
  </si>
  <si>
    <t>ITDGTOC00060189</t>
  </si>
  <si>
    <t>Temogratorpho36</t>
  </si>
  <si>
    <t>Ughetti Mauro (IDG1950)</t>
  </si>
  <si>
    <t>ITDGTOC00060185</t>
  </si>
  <si>
    <t>Superforzadue46</t>
  </si>
  <si>
    <t>Ughetti Mauro (IDG1951)</t>
  </si>
  <si>
    <t>Superforzatre45</t>
  </si>
  <si>
    <t>Ughetti Mauro (IDG1949)</t>
  </si>
  <si>
    <t>ITDGTOC00060198</t>
  </si>
  <si>
    <t>Gialitylvalabl4</t>
  </si>
  <si>
    <t>Ughetti Mauro (IDG1952)</t>
  </si>
  <si>
    <t>ITDGTOC00060199</t>
  </si>
  <si>
    <t>Velocipoqua99</t>
  </si>
  <si>
    <t>Ughetti Mauro (IDG1953)</t>
  </si>
  <si>
    <t>Halphicalnese13</t>
  </si>
  <si>
    <t>Antenozio Dario</t>
  </si>
  <si>
    <t>ITDGTOC00060206</t>
  </si>
  <si>
    <t>Treratisceacta0</t>
  </si>
  <si>
    <t>Ferrero Federica</t>
  </si>
  <si>
    <t>Nonilmiotuo87</t>
  </si>
  <si>
    <t>Andruetto Fausto</t>
  </si>
  <si>
    <t>ITDGTOC00060180</t>
  </si>
  <si>
    <t>Supermegaprontone201</t>
  </si>
  <si>
    <t>Peretti Fabio</t>
  </si>
  <si>
    <t>ITDGTOC00060181</t>
  </si>
  <si>
    <t>Pannocchione2015</t>
  </si>
  <si>
    <t>Alabiso Giovanni</t>
  </si>
  <si>
    <t>Volumatoidonts7</t>
  </si>
  <si>
    <t>Cucchiaro Davide</t>
  </si>
  <si>
    <t>ITDGTOC00060184</t>
  </si>
  <si>
    <t>Cenessidiplace6</t>
  </si>
  <si>
    <t>Gnerre Roberta</t>
  </si>
  <si>
    <t>Megatrend1956</t>
  </si>
  <si>
    <t>Alberti Massimo</t>
  </si>
  <si>
    <t>ITDGTOC00060178</t>
  </si>
  <si>
    <t>Linoterum88</t>
  </si>
  <si>
    <t>CZC526332F</t>
  </si>
  <si>
    <t>Soffredini Chiara</t>
  </si>
  <si>
    <t>ITDGTOC00060201</t>
  </si>
  <si>
    <t>Ilmegadell15</t>
  </si>
  <si>
    <t>Mastratisi Franco</t>
  </si>
  <si>
    <t>ITDGTOC00060202</t>
  </si>
  <si>
    <t>Ilmegadell16</t>
  </si>
  <si>
    <t>Simonetti Daniel</t>
  </si>
  <si>
    <t>ITDGTOC00060203</t>
  </si>
  <si>
    <t>Ilmegadell17</t>
  </si>
  <si>
    <t>Rabbone Gisella</t>
  </si>
  <si>
    <t>ITDGTOC00060204</t>
  </si>
  <si>
    <t>Ilmegadell18</t>
  </si>
  <si>
    <t>Ratti Luigi</t>
  </si>
  <si>
    <t>Megatrend1955</t>
  </si>
  <si>
    <t>rip Ricoh IDG1983</t>
  </si>
  <si>
    <t>Trprophentisc51</t>
  </si>
  <si>
    <t>CZC526332T</t>
  </si>
  <si>
    <t>BOAGLIO</t>
  </si>
  <si>
    <t>rip Ricoh IDG1984</t>
  </si>
  <si>
    <t>ITDGTOC00060197</t>
  </si>
  <si>
    <t>Gmetheritelia22</t>
  </si>
  <si>
    <t>CZC526332X</t>
  </si>
  <si>
    <t>Illuminato Gregorio</t>
  </si>
  <si>
    <t>ITDGTOC00060209</t>
  </si>
  <si>
    <t>Pannocchione2014</t>
  </si>
  <si>
    <t>Ughetti/Pellegrino</t>
  </si>
  <si>
    <t>ITDGTOC00060179</t>
  </si>
  <si>
    <t>Supermegaprontone2014</t>
  </si>
  <si>
    <t>ITDGTOC00060195</t>
  </si>
  <si>
    <t>Trkembromabul42</t>
  </si>
  <si>
    <t>CZC526332Q</t>
  </si>
  <si>
    <t>ITDGTOC00060205</t>
  </si>
  <si>
    <t>Megatrend1954</t>
  </si>
  <si>
    <t>UGHETTI (PONTE CONVERGENZA)</t>
  </si>
  <si>
    <t>ITDGTOC00060183</t>
  </si>
  <si>
    <t>Coletremossdr09</t>
  </si>
  <si>
    <t>Pellegrino</t>
  </si>
  <si>
    <t>EliteDesk 800</t>
  </si>
  <si>
    <t>ITDGTOC00060936</t>
  </si>
  <si>
    <t>Senzapsw2016</t>
  </si>
  <si>
    <t>CZC6040KLD</t>
  </si>
  <si>
    <t>ITDGTOC00060937</t>
  </si>
  <si>
    <t>Senzapsw2015</t>
  </si>
  <si>
    <t>CZC6040KL8</t>
  </si>
  <si>
    <t>Corti Chiara</t>
  </si>
  <si>
    <t>ITDGTOC00060938</t>
  </si>
  <si>
    <t>Ilmionostro99</t>
  </si>
  <si>
    <t>CZC6040KLC</t>
  </si>
  <si>
    <t>Ghetti Patrizia</t>
  </si>
  <si>
    <t>Ilmiotuo77</t>
  </si>
  <si>
    <t>Castagneri Elisa</t>
  </si>
  <si>
    <t>ITDGTOC00060935</t>
  </si>
  <si>
    <t>Lillopoitre1945</t>
  </si>
  <si>
    <t>CZC6040KLB</t>
  </si>
  <si>
    <t>Mezza Claudio</t>
  </si>
  <si>
    <t>Rif. Termini</t>
  </si>
  <si>
    <t>HP EliteDesk 800 mini</t>
  </si>
  <si>
    <t>ITDGTOC00060989</t>
  </si>
  <si>
    <t>Canatresta1956</t>
  </si>
  <si>
    <t>Brugiafreddo Silvano (IDG2126)</t>
  </si>
  <si>
    <t>ITDGTOC00063923</t>
  </si>
  <si>
    <t>Lononion88</t>
  </si>
  <si>
    <t>CZC6268KXH</t>
  </si>
  <si>
    <t>Mangialardi Valeria (IDG2127)</t>
  </si>
  <si>
    <t>ITDGTOC00063928</t>
  </si>
  <si>
    <t>Trinicous1</t>
  </si>
  <si>
    <t>CZC6268KXF</t>
  </si>
  <si>
    <t>Serban Stefania (IDG2128)</t>
  </si>
  <si>
    <t>ITDGTOC00063918</t>
  </si>
  <si>
    <t>Sufflent64</t>
  </si>
  <si>
    <t>CZC6268KXM</t>
  </si>
  <si>
    <t>Ughetti Mauro (IDG2130)</t>
  </si>
  <si>
    <t>ITDGTOC00063925</t>
  </si>
  <si>
    <t>Ateroater5</t>
  </si>
  <si>
    <t>CZC6268KXT</t>
  </si>
  <si>
    <t>Rosanna Coppola</t>
  </si>
  <si>
    <t>ITDGTOL00063831</t>
  </si>
  <si>
    <t>Ungedness6</t>
  </si>
  <si>
    <t>5CG62271KB</t>
  </si>
  <si>
    <t>Ughetti Mauro (IDG2129)</t>
  </si>
  <si>
    <t>ITDGTOC00063926</t>
  </si>
  <si>
    <t>STARTfon77</t>
  </si>
  <si>
    <t>CZC6268KXR</t>
  </si>
  <si>
    <t>Bolognesi Roberto per Scansione</t>
  </si>
  <si>
    <t>ITDGTOC00063920</t>
  </si>
  <si>
    <t>Ocychersh9</t>
  </si>
  <si>
    <t>CZC6268KXG</t>
  </si>
  <si>
    <t>Dughera Patrizia (IDG1870)</t>
  </si>
  <si>
    <t>ITDGTOC00063919</t>
  </si>
  <si>
    <t>CZC6268KXL</t>
  </si>
  <si>
    <t>Faletti Valeria (IDG1937)</t>
  </si>
  <si>
    <t>20/01/2017</t>
  </si>
  <si>
    <t>ITDGTOC00063917</t>
  </si>
  <si>
    <t>CZC6268KXJ</t>
  </si>
  <si>
    <t>Caivano Anna (IDG1936)</t>
  </si>
  <si>
    <t>ITDGTOC00063922</t>
  </si>
  <si>
    <t>CZC6268KXS</t>
  </si>
  <si>
    <t>Antonetti</t>
  </si>
  <si>
    <t>Rorato Mario (IDG2016)</t>
  </si>
  <si>
    <t>Ughetti Mauro (IDG2169)</t>
  </si>
  <si>
    <t>CZC5263332</t>
  </si>
  <si>
    <t>Boero Rul Ermanno ITDGTOC00059085</t>
  </si>
  <si>
    <t>HP EliteDesk 800 G1 USDT</t>
  </si>
  <si>
    <t>Boero Rul Ermanno ITDGTOC00059086</t>
  </si>
  <si>
    <t>Boero Rul Ermanno ITDGTOC00059087</t>
  </si>
  <si>
    <t xml:space="preserve">Schwonburg Harald Detlef </t>
  </si>
  <si>
    <t>HP Folio 9470M</t>
  </si>
  <si>
    <t>ITDGTOL00058825</t>
  </si>
  <si>
    <t>Planet88hood453</t>
  </si>
  <si>
    <t>CNU412D3J2</t>
  </si>
  <si>
    <t>Marco Bergero</t>
  </si>
  <si>
    <t>ITDGTOL00058826</t>
  </si>
  <si>
    <t>Believe88love12</t>
  </si>
  <si>
    <t>CNU412D3J8</t>
  </si>
  <si>
    <t>Jozzo Luca</t>
  </si>
  <si>
    <t>ITDGTOL00058827</t>
  </si>
  <si>
    <t>Fanta77lata8abc</t>
  </si>
  <si>
    <t>CNU412D3HT</t>
  </si>
  <si>
    <t>ITDGTOL00058901</t>
  </si>
  <si>
    <t>Balenabianca40</t>
  </si>
  <si>
    <t>CNU417BYXC</t>
  </si>
  <si>
    <t>Onesti Christian</t>
  </si>
  <si>
    <t>ITDGTOL00058902</t>
  </si>
  <si>
    <t>Whatislover2015</t>
  </si>
  <si>
    <t>CNU417BYY8</t>
  </si>
  <si>
    <t>Cassieri Rocco</t>
  </si>
  <si>
    <t>ITDGTOL00058903</t>
  </si>
  <si>
    <t>Dellprecision15</t>
  </si>
  <si>
    <t>CNU417BYXS</t>
  </si>
  <si>
    <t>Pausch Marcus (Entra 03/06)</t>
  </si>
  <si>
    <t>CNU417BYXJ</t>
  </si>
  <si>
    <t>Lograno Saverio</t>
  </si>
  <si>
    <t>ITDGTOL00058905</t>
  </si>
  <si>
    <t>CNU417BYY0</t>
  </si>
  <si>
    <t>Franco Emanuela</t>
  </si>
  <si>
    <t>EliteBook Folio 9470M</t>
  </si>
  <si>
    <t>9470Latitude</t>
  </si>
  <si>
    <t>Vigna Valerio (IDG1676)</t>
  </si>
  <si>
    <t>ITDGTOL00059069</t>
  </si>
  <si>
    <t>Purtuebrapeter9</t>
  </si>
  <si>
    <t>CNU4289LWP</t>
  </si>
  <si>
    <t>Bay Franco</t>
  </si>
  <si>
    <t>ITDGTOL00059076</t>
  </si>
  <si>
    <t>Terradisotto050</t>
  </si>
  <si>
    <t>CNU4289LVW</t>
  </si>
  <si>
    <t xml:space="preserve">Giai Merlera Davide </t>
  </si>
  <si>
    <t>ITDGTOL00059074</t>
  </si>
  <si>
    <t>Foliolatitude70</t>
  </si>
  <si>
    <t>CNU4289LWJ</t>
  </si>
  <si>
    <t>Lunetti Maria Elisa</t>
  </si>
  <si>
    <t>ITDGTOL00059070</t>
  </si>
  <si>
    <t>Nontriassneti89</t>
  </si>
  <si>
    <t>CNU4289LWB</t>
  </si>
  <si>
    <t>Pedussia Luigi</t>
  </si>
  <si>
    <t>ITDGTOL00059071</t>
  </si>
  <si>
    <t>Terradimezzo010</t>
  </si>
  <si>
    <t>CNU4289LTV</t>
  </si>
  <si>
    <t>Caterina Balma</t>
  </si>
  <si>
    <t>ITDGTOL00059067</t>
  </si>
  <si>
    <t>Hionoiddledica1</t>
  </si>
  <si>
    <t>CNU4289LW4</t>
  </si>
  <si>
    <t>Elena Pecchioli</t>
  </si>
  <si>
    <t>Terradicentro010</t>
  </si>
  <si>
    <t>CNU4289LXC</t>
  </si>
  <si>
    <t>Sala Video (assegnato Pacella)</t>
  </si>
  <si>
    <t>ITDGTOL00059068</t>
  </si>
  <si>
    <t>Naidalphypoda62</t>
  </si>
  <si>
    <t>CNU4289LX5</t>
  </si>
  <si>
    <t>Pochettino</t>
  </si>
  <si>
    <t>HP EliteBook 840</t>
  </si>
  <si>
    <t>ITDGTOL00059365</t>
  </si>
  <si>
    <t>Contwaldrouste2</t>
  </si>
  <si>
    <t>5CG4393HSK</t>
  </si>
  <si>
    <t>Cieri Salvatore (IDG1704) - Amm. Del.</t>
  </si>
  <si>
    <t>ITDGTOL00059075</t>
  </si>
  <si>
    <t>Terradisopra040</t>
  </si>
  <si>
    <t>CNU4289LVZ</t>
  </si>
  <si>
    <t>Ferrero Federico</t>
  </si>
  <si>
    <t>Precision M4600</t>
  </si>
  <si>
    <t>ITDGTOL00055383</t>
  </si>
  <si>
    <t>Geopcryb76</t>
  </si>
  <si>
    <t>Rolle Sergio (IDG1432) CR71332</t>
  </si>
  <si>
    <t>Precision M4600 (12GB)</t>
  </si>
  <si>
    <t>IDG2192</t>
  </si>
  <si>
    <t>Onialis7</t>
  </si>
  <si>
    <t>2S88CT1</t>
  </si>
  <si>
    <t>Cavallero Piercostanzo (IDG1671)</t>
  </si>
  <si>
    <t>Precision M4600 (32GB)</t>
  </si>
  <si>
    <t>IDG2284</t>
  </si>
  <si>
    <t>57047</t>
  </si>
  <si>
    <t>Daeatergo8</t>
  </si>
  <si>
    <t>B49T9T1</t>
  </si>
  <si>
    <t>Pochettino Giorgio</t>
  </si>
  <si>
    <t>Precision M4700 (16GB)</t>
  </si>
  <si>
    <t>idg2358</t>
  </si>
  <si>
    <t>58024</t>
  </si>
  <si>
    <t>Eaculate22</t>
  </si>
  <si>
    <t>10ZSXW1</t>
  </si>
  <si>
    <t>Berghi Dario</t>
  </si>
  <si>
    <t>idg2359</t>
  </si>
  <si>
    <t>58025</t>
  </si>
  <si>
    <t>Lusianize0</t>
  </si>
  <si>
    <t>1XSSXW1</t>
  </si>
  <si>
    <t>Pagella Paolo (muletto CAE)</t>
  </si>
  <si>
    <t>idg2360</t>
  </si>
  <si>
    <t>58026</t>
  </si>
  <si>
    <t>Toinkeri19</t>
  </si>
  <si>
    <t>2CVSXW1</t>
  </si>
  <si>
    <t>Ceaglio Marco</t>
  </si>
  <si>
    <t>idg2361</t>
  </si>
  <si>
    <t>58027</t>
  </si>
  <si>
    <t>Niderven43</t>
  </si>
  <si>
    <t>38WSXW1</t>
  </si>
  <si>
    <t>Rastelli Elisa</t>
  </si>
  <si>
    <t>idg2362</t>
  </si>
  <si>
    <t>58028</t>
  </si>
  <si>
    <t>Barcheri77</t>
  </si>
  <si>
    <t>3RYSXW1</t>
  </si>
  <si>
    <t>Braida Alessandro</t>
  </si>
  <si>
    <t>idg2363</t>
  </si>
  <si>
    <t>58029</t>
  </si>
  <si>
    <t>Achodomm64</t>
  </si>
  <si>
    <t>49WSXW1</t>
  </si>
  <si>
    <t>Mezzacappa Federico</t>
  </si>
  <si>
    <t>idg2364</t>
  </si>
  <si>
    <t>58030</t>
  </si>
  <si>
    <t>Zatiffern1</t>
  </si>
  <si>
    <t>51WSXW1</t>
  </si>
  <si>
    <t>Luca Siciliano</t>
  </si>
  <si>
    <t>idg2365</t>
  </si>
  <si>
    <t>58031</t>
  </si>
  <si>
    <t>Aleronde25</t>
  </si>
  <si>
    <t>5NWSXW1</t>
  </si>
  <si>
    <t>Giuffrida Andrea</t>
  </si>
  <si>
    <t>idg2366</t>
  </si>
  <si>
    <t>58032</t>
  </si>
  <si>
    <t>Epilicoid8</t>
  </si>
  <si>
    <t>5PVSXW1</t>
  </si>
  <si>
    <t>Fabio Danna</t>
  </si>
  <si>
    <t>idg2367</t>
  </si>
  <si>
    <t>58033</t>
  </si>
  <si>
    <t>Arinocle33</t>
  </si>
  <si>
    <t>5QVSXW1</t>
  </si>
  <si>
    <t>Sito Claudio</t>
  </si>
  <si>
    <t>idg2368</t>
  </si>
  <si>
    <t>58034</t>
  </si>
  <si>
    <t>Assinellt1</t>
  </si>
  <si>
    <t>7KSSXW1</t>
  </si>
  <si>
    <t>Mastromatteo Salvatore</t>
  </si>
  <si>
    <t>idg2369</t>
  </si>
  <si>
    <t>58035</t>
  </si>
  <si>
    <t>Derazink27</t>
  </si>
  <si>
    <t>7MSSXW1</t>
  </si>
  <si>
    <t>Alneri Stefano</t>
  </si>
  <si>
    <t>idg2370</t>
  </si>
  <si>
    <t>Iolembre18</t>
  </si>
  <si>
    <t>8GXSXW1</t>
  </si>
  <si>
    <t>Bosio Stefano</t>
  </si>
  <si>
    <t>idg2371</t>
  </si>
  <si>
    <t>58037</t>
  </si>
  <si>
    <t>Nallasse30</t>
  </si>
  <si>
    <t>8JXSXW1</t>
  </si>
  <si>
    <t>Pomponio Pierpaolo</t>
  </si>
  <si>
    <t>idg2372</t>
  </si>
  <si>
    <t>58038</t>
  </si>
  <si>
    <t>Cureoctop3</t>
  </si>
  <si>
    <t>8QVSXW1</t>
  </si>
  <si>
    <t>Franzoso Paolo</t>
  </si>
  <si>
    <t>idg2373</t>
  </si>
  <si>
    <t>58039</t>
  </si>
  <si>
    <t>Idianderr2</t>
  </si>
  <si>
    <t>8STSXW1</t>
  </si>
  <si>
    <t>Orsogna Pasqualino</t>
  </si>
  <si>
    <t>idg2374</t>
  </si>
  <si>
    <t>58040</t>
  </si>
  <si>
    <t>Eoclispe08</t>
  </si>
  <si>
    <t>9BWSXW1</t>
  </si>
  <si>
    <t>Sabba Diego</t>
  </si>
  <si>
    <t>idg2375</t>
  </si>
  <si>
    <t>58041</t>
  </si>
  <si>
    <t>Alloetiac0</t>
  </si>
  <si>
    <t>9RYSXW1</t>
  </si>
  <si>
    <t>Marinello Maurizio</t>
  </si>
  <si>
    <t>idg2376</t>
  </si>
  <si>
    <t>58042</t>
  </si>
  <si>
    <t>Rialcong26</t>
  </si>
  <si>
    <t>CNVSXW1</t>
  </si>
  <si>
    <t>Agnelli Marco</t>
  </si>
  <si>
    <t>idg2377</t>
  </si>
  <si>
    <t>58043</t>
  </si>
  <si>
    <t>Comalarqu0</t>
  </si>
  <si>
    <t>DLSSXW1</t>
  </si>
  <si>
    <t>idg2378</t>
  </si>
  <si>
    <t>58044</t>
  </si>
  <si>
    <t>Oustioni64</t>
  </si>
  <si>
    <t>F0WSXW1</t>
  </si>
  <si>
    <t>Urbino Pasquale</t>
  </si>
  <si>
    <t>idg2379</t>
  </si>
  <si>
    <t>Cotacenoc9</t>
  </si>
  <si>
    <t>FKWSXW1</t>
  </si>
  <si>
    <t>Iossetti Franco</t>
  </si>
  <si>
    <t>idg2380</t>
  </si>
  <si>
    <t>58046</t>
  </si>
  <si>
    <t>Bervatur75</t>
  </si>
  <si>
    <t>FWSSXW1</t>
  </si>
  <si>
    <t>Loro Pilone Gabriele</t>
  </si>
  <si>
    <t>idg2381</t>
  </si>
  <si>
    <t>58047</t>
  </si>
  <si>
    <t>Oxylizer64</t>
  </si>
  <si>
    <t>GFVSXW1</t>
  </si>
  <si>
    <t>Moro Flavio</t>
  </si>
  <si>
    <t>idg2382</t>
  </si>
  <si>
    <t>58048</t>
  </si>
  <si>
    <t>Ultistair6</t>
  </si>
  <si>
    <t>H8WSXW1</t>
  </si>
  <si>
    <t>Bruno Salvatore</t>
  </si>
  <si>
    <t>idg2383</t>
  </si>
  <si>
    <t>58049</t>
  </si>
  <si>
    <t>Olverful85</t>
  </si>
  <si>
    <t>HLWSXW1</t>
  </si>
  <si>
    <t>idg2384</t>
  </si>
  <si>
    <t>58050</t>
  </si>
  <si>
    <t>Hodentful9</t>
  </si>
  <si>
    <t>HWWSXW1</t>
  </si>
  <si>
    <t>Frazzetto Gian Vito (nuovo assunto)</t>
  </si>
  <si>
    <t>idg2385</t>
  </si>
  <si>
    <t>58051</t>
  </si>
  <si>
    <t>Refuriplo4</t>
  </si>
  <si>
    <t>JVWSXW1</t>
  </si>
  <si>
    <t>INSTALLATO VW</t>
  </si>
  <si>
    <t>idg2386</t>
  </si>
  <si>
    <t>58052</t>
  </si>
  <si>
    <t>Rianiumne1</t>
  </si>
  <si>
    <t>1JXSXW1</t>
  </si>
  <si>
    <t>idg2387</t>
  </si>
  <si>
    <t>58053</t>
  </si>
  <si>
    <t>Teratigeb5</t>
  </si>
  <si>
    <t>3VTSXW1</t>
  </si>
  <si>
    <t>Fumarola Marco</t>
  </si>
  <si>
    <t>idg2388</t>
  </si>
  <si>
    <t>58054</t>
  </si>
  <si>
    <t>Accifeco50</t>
  </si>
  <si>
    <t>GZVSXW1</t>
  </si>
  <si>
    <t>Raco Andrea</t>
  </si>
  <si>
    <t>idg2389</t>
  </si>
  <si>
    <t>58055</t>
  </si>
  <si>
    <t>Womemoni16</t>
  </si>
  <si>
    <t>63VSXW1</t>
  </si>
  <si>
    <t>Marco Valsania</t>
  </si>
  <si>
    <t>idg2390</t>
  </si>
  <si>
    <t>58056</t>
  </si>
  <si>
    <t>Raterityl5</t>
  </si>
  <si>
    <t>FP0TXW1</t>
  </si>
  <si>
    <t>idg2391</t>
  </si>
  <si>
    <t>58057</t>
  </si>
  <si>
    <t>Ecisters75</t>
  </si>
  <si>
    <t>HVSSXV1</t>
  </si>
  <si>
    <t>Laviano Giuseppe (CATIA)</t>
  </si>
  <si>
    <t>idg2392</t>
  </si>
  <si>
    <t>58058</t>
  </si>
  <si>
    <t>Risommert2</t>
  </si>
  <si>
    <t>C4TSXW1</t>
  </si>
  <si>
    <t>Virgillo Alberto</t>
  </si>
  <si>
    <t>idg2416</t>
  </si>
  <si>
    <t>Oscorynon3</t>
  </si>
  <si>
    <t>1CNGJX1</t>
  </si>
  <si>
    <t>Beller Christian</t>
  </si>
  <si>
    <t>idg2417</t>
  </si>
  <si>
    <t>Chiefluc69</t>
  </si>
  <si>
    <t>44GGJX1</t>
  </si>
  <si>
    <t>Andrea Dutto (assegn. da Cananzi)</t>
  </si>
  <si>
    <t>idg2418</t>
  </si>
  <si>
    <t>Antionsne4</t>
  </si>
  <si>
    <t>68GGJX1</t>
  </si>
  <si>
    <t>Graglia Cesare</t>
  </si>
  <si>
    <t>idg2419</t>
  </si>
  <si>
    <t>Entemede97</t>
  </si>
  <si>
    <t>78HGJX1</t>
  </si>
  <si>
    <t>Antonetti Sergio</t>
  </si>
  <si>
    <t>idg2420</t>
  </si>
  <si>
    <t>Inglystr80</t>
  </si>
  <si>
    <t>C8HGJX1</t>
  </si>
  <si>
    <t>Sagliocco Antonio (assegn. Da Vito)</t>
  </si>
  <si>
    <t>idg2421</t>
  </si>
  <si>
    <t>Tiopitice0</t>
  </si>
  <si>
    <t>F9NGJX1</t>
  </si>
  <si>
    <t>Pregliasco - David Espinosa Doblado</t>
  </si>
  <si>
    <t>idg2422</t>
  </si>
  <si>
    <t>Liteduayb8</t>
  </si>
  <si>
    <t>FNHGJX1</t>
  </si>
  <si>
    <t>Pregliasco - Juan Vargas Munoz</t>
  </si>
  <si>
    <t>idg2423</t>
  </si>
  <si>
    <t>Iummoletc9</t>
  </si>
  <si>
    <t>G3GGJX1</t>
  </si>
  <si>
    <t>Morra Riccardo</t>
  </si>
  <si>
    <t>idg2424</t>
  </si>
  <si>
    <t>Taterpha62</t>
  </si>
  <si>
    <t>H7HGJX1</t>
  </si>
  <si>
    <t>Ghione Cesare</t>
  </si>
  <si>
    <t>idg2425</t>
  </si>
  <si>
    <t>Ogiollybe8</t>
  </si>
  <si>
    <t>JGFGJX1</t>
  </si>
  <si>
    <t>Zecchino Vincenzo (CATIA)</t>
  </si>
  <si>
    <t>idg2473</t>
  </si>
  <si>
    <t>Rerationa9</t>
  </si>
  <si>
    <t>110GMX1</t>
  </si>
  <si>
    <t>Prostamo Antonio - Nichelino</t>
  </si>
  <si>
    <t>idg2474</t>
  </si>
  <si>
    <t>Saglotein8</t>
  </si>
  <si>
    <t>17ZFMX1</t>
  </si>
  <si>
    <t>Lo Munno Maurizio (CATIA)</t>
  </si>
  <si>
    <t>idg2475</t>
  </si>
  <si>
    <t>Dephroca41</t>
  </si>
  <si>
    <t>2NZFMX1</t>
  </si>
  <si>
    <t>Vanek Roberto</t>
  </si>
  <si>
    <t>idg2476</t>
  </si>
  <si>
    <t>Edascopo06</t>
  </si>
  <si>
    <t>2WZFMX1</t>
  </si>
  <si>
    <t>INSTALLATO VW - Silvio Di Biase</t>
  </si>
  <si>
    <t>idg2477</t>
  </si>
  <si>
    <t>Cowededle9</t>
  </si>
  <si>
    <t>3H0GMX1</t>
  </si>
  <si>
    <t>Monteduro Christian (ICEM+AUTODESK+RTT)</t>
  </si>
  <si>
    <t>idg2478</t>
  </si>
  <si>
    <t>Arcenture6</t>
  </si>
  <si>
    <t>3P1GMX1</t>
  </si>
  <si>
    <t>Martin Rodriguez Josè David</t>
  </si>
  <si>
    <t>idg2479</t>
  </si>
  <si>
    <t>Clikinga40</t>
  </si>
  <si>
    <t>492GMX1</t>
  </si>
  <si>
    <t>Roselli Alessandro (CATIA+ICEM+SHOWCASE+VRED)</t>
  </si>
  <si>
    <t>idg2480</t>
  </si>
  <si>
    <t>Flobroto19</t>
  </si>
  <si>
    <t>4Q3GMX1</t>
  </si>
  <si>
    <t>Chiotti Simone (ICEM+AUTODESK)</t>
  </si>
  <si>
    <t>idg2481</t>
  </si>
  <si>
    <t>Torgolear6</t>
  </si>
  <si>
    <t>5G1GMX1</t>
  </si>
  <si>
    <t>Brignolo Simone (ICEM+AUTODESK)</t>
  </si>
  <si>
    <t>idg2482</t>
  </si>
  <si>
    <t>Enosteou15</t>
  </si>
  <si>
    <t>5T0GMX1</t>
  </si>
  <si>
    <t>Taddeo Angelo (CATIA)</t>
  </si>
  <si>
    <t>idg2483</t>
  </si>
  <si>
    <t>Adomentil0</t>
  </si>
  <si>
    <t>712GMX1</t>
  </si>
  <si>
    <t>Carena Fabio (CATIA)</t>
  </si>
  <si>
    <t>idg2484</t>
  </si>
  <si>
    <t>Ernmanton4</t>
  </si>
  <si>
    <t>5V3GMX1</t>
  </si>
  <si>
    <t>Fasani Lorenzo (macchina CAE)</t>
  </si>
  <si>
    <t>idg2485</t>
  </si>
  <si>
    <t>Umystrop03</t>
  </si>
  <si>
    <t>770GMX1</t>
  </si>
  <si>
    <t>Ruocco Francesco (CATIA)</t>
  </si>
  <si>
    <t>idg2486</t>
  </si>
  <si>
    <t>Miderenes9</t>
  </si>
  <si>
    <t>880GMX1</t>
  </si>
  <si>
    <t>Servizio Frese - Nichelino</t>
  </si>
  <si>
    <t>idg2487</t>
  </si>
  <si>
    <t>Acutercal9</t>
  </si>
  <si>
    <t>8V3GMX1</t>
  </si>
  <si>
    <t>INSTALLATO VW - Vidoni Michele</t>
  </si>
  <si>
    <t>idg2488</t>
  </si>
  <si>
    <t>Ortictiot1</t>
  </si>
  <si>
    <t>CL0GMX1</t>
  </si>
  <si>
    <t>Folli Moreno</t>
  </si>
  <si>
    <t>idg2489</t>
  </si>
  <si>
    <t>Engrevolo2</t>
  </si>
  <si>
    <t>DN0GMX1</t>
  </si>
  <si>
    <t>Griotto Gabriella (IDG1486)</t>
  </si>
  <si>
    <t>idg2490</t>
  </si>
  <si>
    <t>Maldessi67</t>
  </si>
  <si>
    <t>DV0GMX1</t>
  </si>
  <si>
    <t xml:space="preserve">Zhang Ling </t>
  </si>
  <si>
    <t>idg2491</t>
  </si>
  <si>
    <t>Scrisman12</t>
  </si>
  <si>
    <t>DV3GMX1</t>
  </si>
  <si>
    <t>Luvison Dario (Stagista Panizzo)</t>
  </si>
  <si>
    <t>idg2492</t>
  </si>
  <si>
    <t>Rademarbe4</t>
  </si>
  <si>
    <t>F11GMX1</t>
  </si>
  <si>
    <t>Lagrotteria Giovanni - Nichelino</t>
  </si>
  <si>
    <t>idg2493</t>
  </si>
  <si>
    <t>Townterhe1</t>
  </si>
  <si>
    <t>FH2GMX1</t>
  </si>
  <si>
    <t>Capitanio Monica</t>
  </si>
  <si>
    <t>idg2494</t>
  </si>
  <si>
    <t>Ronifero17</t>
  </si>
  <si>
    <t>G01GMX1</t>
  </si>
  <si>
    <t>Di Frenza Luigi</t>
  </si>
  <si>
    <t>idg2495</t>
  </si>
  <si>
    <t>Aphorriqu8</t>
  </si>
  <si>
    <t>GW0GMX1</t>
  </si>
  <si>
    <t>Mora Stefano - Nichelino</t>
  </si>
  <si>
    <t>idg2496</t>
  </si>
  <si>
    <t>Telipilli8</t>
  </si>
  <si>
    <t>H10GMX1</t>
  </si>
  <si>
    <t>Anfosso Andrea</t>
  </si>
  <si>
    <t>idg2497</t>
  </si>
  <si>
    <t>Atnessepy5</t>
  </si>
  <si>
    <t>H20GMX1</t>
  </si>
  <si>
    <t>Di Gesaro Salvatore - Nichelino</t>
  </si>
  <si>
    <t>idg2499</t>
  </si>
  <si>
    <t>Seeklegic5</t>
  </si>
  <si>
    <t>HG1GMX1</t>
  </si>
  <si>
    <t>Mariotto Ernesto (nuovo ass. Balbinot) DMU</t>
  </si>
  <si>
    <t>idg2500</t>
  </si>
  <si>
    <t>Ramerphal8</t>
  </si>
  <si>
    <t>HNZFMX1</t>
  </si>
  <si>
    <t>Verrua Daniel (CATIA)</t>
  </si>
  <si>
    <t>idg2501</t>
  </si>
  <si>
    <t>Ultableo81</t>
  </si>
  <si>
    <t>JG0GMX1</t>
  </si>
  <si>
    <t>Elena Negro</t>
  </si>
  <si>
    <t>idg2502</t>
  </si>
  <si>
    <t>Eforusly27</t>
  </si>
  <si>
    <t>JT0GMX1</t>
  </si>
  <si>
    <t>Rorato Mario - Nichelino</t>
  </si>
  <si>
    <t>ITDGTOL00058415 - idg2498</t>
  </si>
  <si>
    <t>Santonatale14</t>
  </si>
  <si>
    <t>HD0GMX1</t>
  </si>
  <si>
    <t>Chieca Giuseppe (Sostituisce Mac Stile)</t>
  </si>
  <si>
    <t>ITDGTOL00058546</t>
  </si>
  <si>
    <t>Precimation60</t>
  </si>
  <si>
    <t>1KXBTY1</t>
  </si>
  <si>
    <t>Sesto Ferreri Salvatore (IDG1538) CR71349</t>
  </si>
  <si>
    <t>ITDGTOL00058547</t>
  </si>
  <si>
    <t>Uzeosicep7rosso</t>
  </si>
  <si>
    <t>254CTY1</t>
  </si>
  <si>
    <t>Trovato Sebastiano (IDG1649)</t>
  </si>
  <si>
    <t>ITDGTOL00058548</t>
  </si>
  <si>
    <t>Primavera32</t>
  </si>
  <si>
    <t>264CTY1</t>
  </si>
  <si>
    <t>Valsania Enrico (IDG1737)</t>
  </si>
  <si>
    <t>ITDGTOL00058549 - idg2509</t>
  </si>
  <si>
    <t>Cemnessam4rosso</t>
  </si>
  <si>
    <t>2F1CTY1</t>
  </si>
  <si>
    <t>Civera Stefano</t>
  </si>
  <si>
    <t>ITDGTOL00058550</t>
  </si>
  <si>
    <t>Octopus2013_2014</t>
  </si>
  <si>
    <t>303CTY1</t>
  </si>
  <si>
    <t>Mirko Bruzzese</t>
  </si>
  <si>
    <t>ITDGTOL00058551</t>
  </si>
  <si>
    <t>325CTY1</t>
  </si>
  <si>
    <t>Poggi Cesare (IDG1605) CR71357</t>
  </si>
  <si>
    <t>ITDGTOL00058552 - idg2512</t>
  </si>
  <si>
    <t>Gnlaterle6rosso</t>
  </si>
  <si>
    <t>703CTY1</t>
  </si>
  <si>
    <t>Cavallaro Pino (IDG1672)</t>
  </si>
  <si>
    <t>ITDGTOL00058553</t>
  </si>
  <si>
    <t>Validation2014</t>
  </si>
  <si>
    <t>754CTY1</t>
  </si>
  <si>
    <t>SAIBEL (da spedire in Germania)</t>
  </si>
  <si>
    <t>ITDGTOL00058554 - idg2514</t>
  </si>
  <si>
    <t>Enisomen87rosso</t>
  </si>
  <si>
    <t>774CTY1</t>
  </si>
  <si>
    <t>Wilkinson David</t>
  </si>
  <si>
    <t>ITDGTOL00058555</t>
  </si>
  <si>
    <t>864CTY1</t>
  </si>
  <si>
    <t>WEIDMANN (da spedire in Germania)</t>
  </si>
  <si>
    <t>ITDGTOL00058556 - idg2516</t>
  </si>
  <si>
    <t>Acroyebr30rosso</t>
  </si>
  <si>
    <t>954CTY1</t>
  </si>
  <si>
    <t>Converso Davide (IDG1653)</t>
  </si>
  <si>
    <t>ITDGTOL00058557 - idg2517</t>
  </si>
  <si>
    <t>Ylabledl95rosso</t>
  </si>
  <si>
    <t>9D4CTY1</t>
  </si>
  <si>
    <t>Ornella Boggio (Sostituisce Mac Stile)</t>
  </si>
  <si>
    <t>ITDGTOL00058558 - idg2518</t>
  </si>
  <si>
    <t>Trionian03rosso</t>
  </si>
  <si>
    <t>B03CTY1</t>
  </si>
  <si>
    <t>Maglione Lamberto (IDG1436) CR71333 Dist. A Wofsburg</t>
  </si>
  <si>
    <t>ITDGTOL00058559</t>
  </si>
  <si>
    <t>B05CTY1</t>
  </si>
  <si>
    <t>Campanella Luca (IDG1516)</t>
  </si>
  <si>
    <t>ITDGTOL00058560</t>
  </si>
  <si>
    <t>CZ4CTY1</t>
  </si>
  <si>
    <t>HERREL (spedito in Germania, Rif. PAONE)</t>
  </si>
  <si>
    <t>ITDGTOL00058561</t>
  </si>
  <si>
    <t>Octopus2012_2013</t>
  </si>
  <si>
    <t>DCZBTY1</t>
  </si>
  <si>
    <t>Bona Massimiliano (IDG1593) CR71359</t>
  </si>
  <si>
    <t>ITDGTOL00058562 - idg2522</t>
  </si>
  <si>
    <t>Soundcheck1708</t>
  </si>
  <si>
    <t>FZ2CTY1</t>
  </si>
  <si>
    <t>Kuezeci Yapincak</t>
  </si>
  <si>
    <t>ITDGTOL00058563 - idg2523</t>
  </si>
  <si>
    <t>Hychilum16rosso</t>
  </si>
  <si>
    <t>G14CTY1</t>
  </si>
  <si>
    <t>Preso da Marchisio Daniele</t>
  </si>
  <si>
    <t>ITDGTOL00058564 - idg2524</t>
  </si>
  <si>
    <t>Elysiotto2rosso</t>
  </si>
  <si>
    <t>G4YBTY1</t>
  </si>
  <si>
    <t>ITDGTOL00058565 - idg2525</t>
  </si>
  <si>
    <t>Soul88Food74Star</t>
  </si>
  <si>
    <t>G54CTY1</t>
  </si>
  <si>
    <t>Tuffanelli Luca (Sostituisce Mac Stile)</t>
  </si>
  <si>
    <t>ITDGTOL00058566</t>
  </si>
  <si>
    <t>G64CTY1</t>
  </si>
  <si>
    <t>Paul Radulescu (Nuovo Assunto)</t>
  </si>
  <si>
    <t>ITDGTOL00058567</t>
  </si>
  <si>
    <t>Lockertip2003</t>
  </si>
  <si>
    <t>GKXBTY1</t>
  </si>
  <si>
    <t>Giargia Livio (IDG1604) CR71358</t>
  </si>
  <si>
    <t>ITDGTOL00058568 - idg2528</t>
  </si>
  <si>
    <t>Efiesiver7rosso</t>
  </si>
  <si>
    <t>GY2CTY1</t>
  </si>
  <si>
    <t>Cavaglia Renato (IDG1645)</t>
  </si>
  <si>
    <t>ITDGTOL00058569</t>
  </si>
  <si>
    <t>HT0CTY1</t>
  </si>
  <si>
    <t>Cordero Lorenzo (IDG1647)</t>
  </si>
  <si>
    <t>ITDGTOL00058570</t>
  </si>
  <si>
    <t>HZXBTY1</t>
  </si>
  <si>
    <t>Salomone Marco (IDG1600) CR71360</t>
  </si>
  <si>
    <t>ITDGTOL00058571</t>
  </si>
  <si>
    <t>Acomintic3rosso</t>
  </si>
  <si>
    <t>J9YBTY1</t>
  </si>
  <si>
    <t>Bravin Marco (IDG1666)</t>
  </si>
  <si>
    <t>ITDGTOL00058572</t>
  </si>
  <si>
    <t>JK4CTY1</t>
  </si>
  <si>
    <t>Cirulli Paquale</t>
  </si>
  <si>
    <t>Precision M4800 (32GB)</t>
  </si>
  <si>
    <t>ITDGTOL00058821</t>
  </si>
  <si>
    <t>Trebisonda2014</t>
  </si>
  <si>
    <t>3895XZ1</t>
  </si>
  <si>
    <t>Gosmar Davide</t>
  </si>
  <si>
    <t>ITDGTOL00058822</t>
  </si>
  <si>
    <t>6K95XZ1</t>
  </si>
  <si>
    <t>Odisio Emanuele</t>
  </si>
  <si>
    <t>ITDGTOL00058823</t>
  </si>
  <si>
    <t>C895XZ1</t>
  </si>
  <si>
    <t>Elisa Mandich</t>
  </si>
  <si>
    <t>Latitude E6230</t>
  </si>
  <si>
    <t>idg2411</t>
  </si>
  <si>
    <t>Desipplo13</t>
  </si>
  <si>
    <t>F0CB3X1</t>
  </si>
  <si>
    <t>Juergen Meurle</t>
  </si>
  <si>
    <t>idg2412</t>
  </si>
  <si>
    <t>Edlemang79</t>
  </si>
  <si>
    <t>FDCB3X1</t>
  </si>
  <si>
    <t>Thomas Theiler</t>
  </si>
  <si>
    <t>Latitude E5430</t>
  </si>
  <si>
    <t>idg2413</t>
  </si>
  <si>
    <t>Trotoran90</t>
  </si>
  <si>
    <t>CXL73X1</t>
  </si>
  <si>
    <t>Senghor Pierre Cedric (EV/A2) (01/09/13)</t>
  </si>
  <si>
    <t>idg2414</t>
  </si>
  <si>
    <t>Antedetne0</t>
  </si>
  <si>
    <t>DYK73X1</t>
  </si>
  <si>
    <t>D'amore Antonio</t>
  </si>
  <si>
    <t>idg2415</t>
  </si>
  <si>
    <t>Esolonat55</t>
  </si>
  <si>
    <t>H9P73X1</t>
  </si>
  <si>
    <t>Daniele Marchisio</t>
  </si>
  <si>
    <t>idg2406</t>
  </si>
  <si>
    <t>Langesom93</t>
  </si>
  <si>
    <t>FMJ63X1</t>
  </si>
  <si>
    <t>idg2407</t>
  </si>
  <si>
    <t>Mangnlat55</t>
  </si>
  <si>
    <t>HMJ63X1</t>
  </si>
  <si>
    <t>Wolfgang Egger</t>
  </si>
  <si>
    <t>ITDGTOL00058112</t>
  </si>
  <si>
    <t>Ormyxone60</t>
  </si>
  <si>
    <t>DSK63X1</t>
  </si>
  <si>
    <t>Scheef Joachim</t>
  </si>
  <si>
    <t>idg2404</t>
  </si>
  <si>
    <t>Iromerole8</t>
  </si>
  <si>
    <t>9C2F3X1</t>
  </si>
  <si>
    <t>???</t>
  </si>
  <si>
    <t>Sostituto Wilner - Kleimann Markus</t>
  </si>
  <si>
    <t>idg2405</t>
  </si>
  <si>
    <t>Betinife02</t>
  </si>
  <si>
    <t>4CZD3X1</t>
  </si>
  <si>
    <t>Caiero Dario</t>
  </si>
  <si>
    <t>Latitude E5530</t>
  </si>
  <si>
    <t>idg2394</t>
  </si>
  <si>
    <t>Chessixt18</t>
  </si>
  <si>
    <t>G5K43X1</t>
  </si>
  <si>
    <t>Mazzardis Roberto</t>
  </si>
  <si>
    <t>idg2395</t>
  </si>
  <si>
    <t>Tickediop3</t>
  </si>
  <si>
    <t>5DL43X1</t>
  </si>
  <si>
    <t>Giulio Toesca (03/06)</t>
  </si>
  <si>
    <t>idg2396</t>
  </si>
  <si>
    <t>Tasseimic1</t>
  </si>
  <si>
    <t>88K43X1</t>
  </si>
  <si>
    <t>Carminati Luca</t>
  </si>
  <si>
    <t>idg2397</t>
  </si>
  <si>
    <t>Ibiospil05</t>
  </si>
  <si>
    <t>6MJ43X1</t>
  </si>
  <si>
    <t>Audano Loris</t>
  </si>
  <si>
    <t>idg2398</t>
  </si>
  <si>
    <t>Hicriphol0</t>
  </si>
  <si>
    <t>HJL43X1</t>
  </si>
  <si>
    <t>Driss Outalat</t>
  </si>
  <si>
    <t>idg2399</t>
  </si>
  <si>
    <t>Anganorea3</t>
  </si>
  <si>
    <t>3MJ43X1</t>
  </si>
  <si>
    <t>idg2400</t>
  </si>
  <si>
    <t>Hearimil73</t>
  </si>
  <si>
    <t>8JT43X1</t>
  </si>
  <si>
    <t>Bottone Antonio</t>
  </si>
  <si>
    <t>idg2401</t>
  </si>
  <si>
    <t>Ioneriace4</t>
  </si>
  <si>
    <t>HPL43X1</t>
  </si>
  <si>
    <t>Negro Elena</t>
  </si>
  <si>
    <t>idg2402</t>
  </si>
  <si>
    <t>Dratomari1</t>
  </si>
  <si>
    <t>B6K43X1</t>
  </si>
  <si>
    <t>Zanellato Andrea (IDG1475)</t>
  </si>
  <si>
    <t>Boero Ermanno</t>
  </si>
  <si>
    <t>idg2403</t>
  </si>
  <si>
    <t>Blephard44</t>
  </si>
  <si>
    <t>26K43X1</t>
  </si>
  <si>
    <t>Carta Massimo</t>
  </si>
  <si>
    <t>idg2429</t>
  </si>
  <si>
    <t>Oldedical9</t>
  </si>
  <si>
    <t>4YWNJX1</t>
  </si>
  <si>
    <t>Bertazzoni Alessandro</t>
  </si>
  <si>
    <t>idg2430</t>
  </si>
  <si>
    <t>Schealspl8</t>
  </si>
  <si>
    <t>BZWNJX1</t>
  </si>
  <si>
    <t>Caporusso Thomas (EVM/N)  (01/09/13)</t>
  </si>
  <si>
    <t>idg2431</t>
  </si>
  <si>
    <t>Gednonlin0</t>
  </si>
  <si>
    <t>JYWNJX1</t>
  </si>
  <si>
    <t>Cafaro Giuseppe</t>
  </si>
  <si>
    <t>idg2453</t>
  </si>
  <si>
    <t>Etecopar08</t>
  </si>
  <si>
    <t>1S5FMX1</t>
  </si>
  <si>
    <t>Lucia Cavallo</t>
  </si>
  <si>
    <t>idg2454</t>
  </si>
  <si>
    <t>Trustcode81</t>
  </si>
  <si>
    <t>29ZDMX1</t>
  </si>
  <si>
    <t>Del Vento Roberto</t>
  </si>
  <si>
    <t>idg2455</t>
  </si>
  <si>
    <t>Bilossis94</t>
  </si>
  <si>
    <t>47XDMX1</t>
  </si>
  <si>
    <t>Basolo Francesco</t>
  </si>
  <si>
    <t>idg2456</t>
  </si>
  <si>
    <t>Estoxenu29</t>
  </si>
  <si>
    <t>680FMX1</t>
  </si>
  <si>
    <t>Ferraris Patrizia (IDG1473) CR71336</t>
  </si>
  <si>
    <t>idg2457</t>
  </si>
  <si>
    <t>Dianompi95</t>
  </si>
  <si>
    <t>6R1FMX1</t>
  </si>
  <si>
    <t>Umberto Giorio</t>
  </si>
  <si>
    <t>idg2458</t>
  </si>
  <si>
    <t>Shiplanic4</t>
  </si>
  <si>
    <t>7PWDMX1</t>
  </si>
  <si>
    <t>Denis Agnelli</t>
  </si>
  <si>
    <t>idg2459</t>
  </si>
  <si>
    <t>Ecallyth77</t>
  </si>
  <si>
    <t>8HXDMX1</t>
  </si>
  <si>
    <t>Gili Marco</t>
  </si>
  <si>
    <t>idg2460</t>
  </si>
  <si>
    <t>Istereful9</t>
  </si>
  <si>
    <t>9NWDMX1</t>
  </si>
  <si>
    <t>Batello Walter (IDG1607) CR71355</t>
  </si>
  <si>
    <t>idg2461</t>
  </si>
  <si>
    <t>Poliotom50</t>
  </si>
  <si>
    <t>9J6FMX1</t>
  </si>
  <si>
    <t>Romano Elio</t>
  </si>
  <si>
    <t>idg2462</t>
  </si>
  <si>
    <t>Ethysidan4</t>
  </si>
  <si>
    <t>9TWDMX1</t>
  </si>
  <si>
    <t>Scalise Antonello</t>
  </si>
  <si>
    <t>idg2463</t>
  </si>
  <si>
    <t>Cralighbo8</t>
  </si>
  <si>
    <t>DC4FMX1</t>
  </si>
  <si>
    <t>idg2464</t>
  </si>
  <si>
    <t>Oplention2</t>
  </si>
  <si>
    <t>DPQFMX1</t>
  </si>
  <si>
    <t>Varvaro Daniela (Nichelino)</t>
  </si>
  <si>
    <t>idg2465</t>
  </si>
  <si>
    <t>Tegododys6</t>
  </si>
  <si>
    <t>F84FMX1</t>
  </si>
  <si>
    <t>Floro Paolo</t>
  </si>
  <si>
    <t>idg2466</t>
  </si>
  <si>
    <t>Aturellop2</t>
  </si>
  <si>
    <t>FFZDMX1</t>
  </si>
  <si>
    <t>Succo Sara</t>
  </si>
  <si>
    <t>idg2467</t>
  </si>
  <si>
    <t>Essticry58</t>
  </si>
  <si>
    <t>FJ1FMX1</t>
  </si>
  <si>
    <t>Pregliasco Claudio</t>
  </si>
  <si>
    <t>idg2468</t>
  </si>
  <si>
    <t>Kyaraler86</t>
  </si>
  <si>
    <t>FWWDMX1</t>
  </si>
  <si>
    <t>Cervera Carlos</t>
  </si>
  <si>
    <t>idg2469</t>
  </si>
  <si>
    <t>Lockeder73</t>
  </si>
  <si>
    <t>GNZDMX1</t>
  </si>
  <si>
    <t>Bovi Massimo</t>
  </si>
  <si>
    <t>idg2470</t>
  </si>
  <si>
    <t>Nettainz87</t>
  </si>
  <si>
    <t>GPXDMX1</t>
  </si>
  <si>
    <t>Artusio Raffaella</t>
  </si>
  <si>
    <t>idg2471</t>
  </si>
  <si>
    <t>Pancepto94</t>
  </si>
  <si>
    <t>HV1FMX1</t>
  </si>
  <si>
    <t>Birgit Ochs (IDG1589)</t>
  </si>
  <si>
    <t>idg2472</t>
  </si>
  <si>
    <t>Tometions3</t>
  </si>
  <si>
    <t>JG3FMX1</t>
  </si>
  <si>
    <t>Clementi Ivan</t>
  </si>
  <si>
    <t>ITDGTOL00058576</t>
  </si>
  <si>
    <t>Tarucars24rosso</t>
  </si>
  <si>
    <t xml:space="preserve">21BQTY1 </t>
  </si>
  <si>
    <t>Appendino Daniela (IDG1514) CR71341</t>
  </si>
  <si>
    <t>ITDGTOL00058577 - idg2534</t>
  </si>
  <si>
    <t>Kouscace64rosso</t>
  </si>
  <si>
    <t xml:space="preserve">25BQTY1 </t>
  </si>
  <si>
    <t>Tanzi Paolo (IDG1596) CR70780</t>
  </si>
  <si>
    <t>ITDGTOL00058578 - idg2535</t>
  </si>
  <si>
    <t>Polwiters2viola</t>
  </si>
  <si>
    <t xml:space="preserve">3YBQTY1 </t>
  </si>
  <si>
    <t>ITDGTOL00058579 - idg2536</t>
  </si>
  <si>
    <t>Articept91verde</t>
  </si>
  <si>
    <t xml:space="preserve">4VBQTY1 </t>
  </si>
  <si>
    <t>Yari Altieri</t>
  </si>
  <si>
    <t>ITDGTOL00058580 - idg2537</t>
  </si>
  <si>
    <t>Riaborel96grigio</t>
  </si>
  <si>
    <t>4YFQTY1</t>
  </si>
  <si>
    <t>Zannini Ugo (IDG1546) CR70781</t>
  </si>
  <si>
    <t>ITDGTOL00058581 - idg2538</t>
  </si>
  <si>
    <t>Smilliku11rosso</t>
  </si>
  <si>
    <t xml:space="preserve">5MBQTY1 </t>
  </si>
  <si>
    <t>Carlotta Gelato (IDG1463) CR71335</t>
  </si>
  <si>
    <t>ITDGTOL00058582 - idg2539</t>
  </si>
  <si>
    <t>Calgolik87rosso</t>
  </si>
  <si>
    <t xml:space="preserve">5T9QTY1 </t>
  </si>
  <si>
    <t>Monai Laura (IDG1540) CR70782</t>
  </si>
  <si>
    <t>ITDGTOL00058583 -idg2540</t>
  </si>
  <si>
    <t>Tailizab14rosso</t>
  </si>
  <si>
    <t xml:space="preserve">65BQTY1 </t>
  </si>
  <si>
    <t>Balbinot Carlo (IDG2069) CR71867</t>
  </si>
  <si>
    <t>Dare il suo M4600 a Moroni Guido</t>
  </si>
  <si>
    <t>ITDGTOL00058584 -idg2541</t>
  </si>
  <si>
    <t>Ranagine91rosso</t>
  </si>
  <si>
    <t xml:space="preserve">6HHQTY1 </t>
  </si>
  <si>
    <t>Corliano Umberto</t>
  </si>
  <si>
    <t>ITDGTOL00058585</t>
  </si>
  <si>
    <t>Sottiletta58Pozzi</t>
  </si>
  <si>
    <t xml:space="preserve">6R9QTY1 </t>
  </si>
  <si>
    <t xml:space="preserve">Bolognesi Roberto </t>
  </si>
  <si>
    <t>ITDGTOL00058586</t>
  </si>
  <si>
    <t xml:space="preserve">70BQTY1 </t>
  </si>
  <si>
    <t>Scarati Davide</t>
  </si>
  <si>
    <t>ITDGTOL00058587 - idg2544</t>
  </si>
  <si>
    <t>Aminglog73rosso</t>
  </si>
  <si>
    <t xml:space="preserve">74CQTY1 </t>
  </si>
  <si>
    <t>Serto Alessandro</t>
  </si>
  <si>
    <t>ITDGTOL00058588</t>
  </si>
  <si>
    <t>86BQTY1</t>
  </si>
  <si>
    <t>Bianciotto Katia (IDG1701) CR74311</t>
  </si>
  <si>
    <t>ITDGTOL00058589 - idg2546</t>
  </si>
  <si>
    <t>Aruyamme22ciano</t>
  </si>
  <si>
    <t xml:space="preserve">89CQTY1 </t>
  </si>
  <si>
    <t>Latu Patrice (IDG1443)</t>
  </si>
  <si>
    <t>ITDGTOL00058590</t>
  </si>
  <si>
    <t>Minsistri4Azzurro</t>
  </si>
  <si>
    <t xml:space="preserve">9PBQTY1 </t>
  </si>
  <si>
    <t>Buhalla Gabor</t>
  </si>
  <si>
    <t>ITDGTOL00058591</t>
  </si>
  <si>
    <t>Squilliog2rosso</t>
  </si>
  <si>
    <t xml:space="preserve">CQBQTY1 </t>
  </si>
  <si>
    <t>Marengo Massimo (IDG1457) CR71334</t>
  </si>
  <si>
    <t>ITDGTOL00058592 - idg2549</t>
  </si>
  <si>
    <t>Desiogst69rosso</t>
  </si>
  <si>
    <t xml:space="preserve">D4BQTY1 </t>
  </si>
  <si>
    <t>Garrone Antonello</t>
  </si>
  <si>
    <t xml:space="preserve">DXBQTY1 </t>
  </si>
  <si>
    <t>Buono Luca (IDG1606) CR71356</t>
  </si>
  <si>
    <t>ITDGTOL00058594 - idg2551</t>
  </si>
  <si>
    <t>Erfoxiat28lilla</t>
  </si>
  <si>
    <t xml:space="preserve">F1CQTY1 </t>
  </si>
  <si>
    <t>Ex Jozzo da ripulire in ICT DHS</t>
  </si>
  <si>
    <t>ITDGTOL00058595</t>
  </si>
  <si>
    <t xml:space="preserve">FG8QTY1 </t>
  </si>
  <si>
    <t>Modica Marina CR70786</t>
  </si>
  <si>
    <t>ITDGTOL00058596 - idg2553</t>
  </si>
  <si>
    <t>Vasceadi96viola</t>
  </si>
  <si>
    <t xml:space="preserve">FWBQTY1 </t>
  </si>
  <si>
    <t>Bogliano Fabio</t>
  </si>
  <si>
    <t>ITDGTOL00058597</t>
  </si>
  <si>
    <t>Piomiess65Azzurro</t>
  </si>
  <si>
    <t xml:space="preserve">GPBQTY1 </t>
  </si>
  <si>
    <t>Tortorelli Celestino (IDG1597) CR71363</t>
  </si>
  <si>
    <t>ITDGTOL00058598 - idg2555</t>
  </si>
  <si>
    <t>Egennaco81grigio</t>
  </si>
  <si>
    <t xml:space="preserve">H2DQTY1 </t>
  </si>
  <si>
    <t>Tatti Patrizia (IDD)</t>
  </si>
  <si>
    <t>ITDGTOL00058599 - idg2556</t>
  </si>
  <si>
    <t>Antureite5rosso</t>
  </si>
  <si>
    <t xml:space="preserve">HCBQTY1 </t>
  </si>
  <si>
    <t>Domenico Gullone</t>
  </si>
  <si>
    <t>ITDGTOL00058600</t>
  </si>
  <si>
    <t>Kaverynos4Azzurro</t>
  </si>
  <si>
    <t xml:space="preserve">HNBQTY1 </t>
  </si>
  <si>
    <t>Martinotti Massimo</t>
  </si>
  <si>
    <t>ITDGTOL00058601</t>
  </si>
  <si>
    <t xml:space="preserve">JBJQTY1 </t>
  </si>
  <si>
    <t>Lombardi Luigi</t>
  </si>
  <si>
    <t>ITDGTOL00058602</t>
  </si>
  <si>
    <t>Ninitalo98Azzurro</t>
  </si>
  <si>
    <t xml:space="preserve">JDBQTY1 </t>
  </si>
  <si>
    <t>Raballo Andrea</t>
  </si>
  <si>
    <t>ITDGTOL00058603 - idg2560</t>
  </si>
  <si>
    <t>Atically55verde</t>
  </si>
  <si>
    <t xml:space="preserve">JPHQTY1 </t>
  </si>
  <si>
    <t>Lage Canellas (07/01)</t>
  </si>
  <si>
    <t>IDG2299</t>
  </si>
  <si>
    <t>57069</t>
  </si>
  <si>
    <t>Ranbonti48</t>
  </si>
  <si>
    <t>1WVD7W1</t>
  </si>
  <si>
    <t>IDG2300</t>
  </si>
  <si>
    <t>57070</t>
  </si>
  <si>
    <t>Bipocilo33</t>
  </si>
  <si>
    <t>24WD7W1</t>
  </si>
  <si>
    <t>Monchietto Guido</t>
  </si>
  <si>
    <t>IDG2301</t>
  </si>
  <si>
    <t>57071</t>
  </si>
  <si>
    <t>Eletricho5</t>
  </si>
  <si>
    <t>2F1F7W1</t>
  </si>
  <si>
    <t>Petronio Alessandro</t>
  </si>
  <si>
    <t>IDG2302</t>
  </si>
  <si>
    <t>57072</t>
  </si>
  <si>
    <t>iLLessur59</t>
  </si>
  <si>
    <t>41WD7W1</t>
  </si>
  <si>
    <t>Paiolo Daniele</t>
  </si>
  <si>
    <t>IDG2303</t>
  </si>
  <si>
    <t>57073</t>
  </si>
  <si>
    <t>Bledricub4</t>
  </si>
  <si>
    <t>4SVD7W1</t>
  </si>
  <si>
    <t>IDG2304</t>
  </si>
  <si>
    <t>57074</t>
  </si>
  <si>
    <t>Esseptedi9</t>
  </si>
  <si>
    <t>4WVD7W1</t>
  </si>
  <si>
    <t>Carosso Francesco</t>
  </si>
  <si>
    <t>IDG2305</t>
  </si>
  <si>
    <t>57075</t>
  </si>
  <si>
    <t>Entellycl2</t>
  </si>
  <si>
    <t>51WD7W1</t>
  </si>
  <si>
    <t>Latu Patrice</t>
  </si>
  <si>
    <t>IDG2306</t>
  </si>
  <si>
    <t>57076</t>
  </si>
  <si>
    <t>Mononato82</t>
  </si>
  <si>
    <t>5F1F7W1</t>
  </si>
  <si>
    <t>Bergero Marco</t>
  </si>
  <si>
    <t>IDG2307</t>
  </si>
  <si>
    <t>57077</t>
  </si>
  <si>
    <t>Iumbliac68</t>
  </si>
  <si>
    <t>5WVD7W1</t>
  </si>
  <si>
    <t>Doria Massimo</t>
  </si>
  <si>
    <t>IDG2308</t>
  </si>
  <si>
    <t>57078</t>
  </si>
  <si>
    <t>Ombileri01</t>
  </si>
  <si>
    <t>6J5F7W1</t>
  </si>
  <si>
    <t>Binato Dario</t>
  </si>
  <si>
    <t>IDG2309</t>
  </si>
  <si>
    <t>57079</t>
  </si>
  <si>
    <t>Caterippe1</t>
  </si>
  <si>
    <t>7QVD7W1</t>
  </si>
  <si>
    <t>Molinar Daniele</t>
  </si>
  <si>
    <t>IDG2310</t>
  </si>
  <si>
    <t>57080</t>
  </si>
  <si>
    <t>Spacancho5</t>
  </si>
  <si>
    <t>7WVD7W1</t>
  </si>
  <si>
    <t>Paone Francesca</t>
  </si>
  <si>
    <t>IDG2311</t>
  </si>
  <si>
    <t>57081</t>
  </si>
  <si>
    <t>Vullatal31</t>
  </si>
  <si>
    <t>8WVD7W1</t>
  </si>
  <si>
    <t>Antognoli Giancarlo</t>
  </si>
  <si>
    <t>IDG2312</t>
  </si>
  <si>
    <t>57082</t>
  </si>
  <si>
    <t>Racromon53</t>
  </si>
  <si>
    <t>B3WD7W1</t>
  </si>
  <si>
    <t>Guillem Ajates</t>
  </si>
  <si>
    <t>IDG2313</t>
  </si>
  <si>
    <t>57083</t>
  </si>
  <si>
    <t>Istanitr64</t>
  </si>
  <si>
    <t>C0WD7W1</t>
  </si>
  <si>
    <t>IDG2314</t>
  </si>
  <si>
    <t>57084</t>
  </si>
  <si>
    <t>Tatiable33</t>
  </si>
  <si>
    <t>CRVD7W1</t>
  </si>
  <si>
    <t>Maritan Franco</t>
  </si>
  <si>
    <t>IDG2315</t>
  </si>
  <si>
    <t>57085</t>
  </si>
  <si>
    <t>Dsorapore9</t>
  </si>
  <si>
    <t>D0WD7W1</t>
  </si>
  <si>
    <t>Lorena Mones</t>
  </si>
  <si>
    <t>IDG2316</t>
  </si>
  <si>
    <t>57086</t>
  </si>
  <si>
    <t>Ederopyce9</t>
  </si>
  <si>
    <t>F0WD7W1</t>
  </si>
  <si>
    <t>Rolando Sandro</t>
  </si>
  <si>
    <t>IDG2317</t>
  </si>
  <si>
    <t>57087</t>
  </si>
  <si>
    <t>Raurouto01</t>
  </si>
  <si>
    <t>GVVD7W1</t>
  </si>
  <si>
    <t>Oddone Simona</t>
  </si>
  <si>
    <t>IDG2318</t>
  </si>
  <si>
    <t>57088</t>
  </si>
  <si>
    <t>Nessupec46</t>
  </si>
  <si>
    <t>H0WD7W1</t>
  </si>
  <si>
    <t>Maestri Alessia</t>
  </si>
  <si>
    <t>OptiPlex 390</t>
  </si>
  <si>
    <t>idg2127</t>
  </si>
  <si>
    <t>Gurgo Salice Mauro (IDG1130) CR71327</t>
  </si>
  <si>
    <t>idg2433</t>
  </si>
  <si>
    <t>Iteranoid6</t>
  </si>
  <si>
    <t>2T3JFY1</t>
  </si>
  <si>
    <t>Lillo Franco</t>
  </si>
  <si>
    <t>idg2434</t>
  </si>
  <si>
    <t>Eferanial6</t>
  </si>
  <si>
    <t>3K3JFY1</t>
  </si>
  <si>
    <t>Lazzarin Giorgio (EXTERN)</t>
  </si>
  <si>
    <t>idg2435</t>
  </si>
  <si>
    <t>Aniationg5</t>
  </si>
  <si>
    <t>4M3JFY1</t>
  </si>
  <si>
    <t>Actis Grande Gianluca</t>
  </si>
  <si>
    <t>idg2436</t>
  </si>
  <si>
    <t>Alintessi4</t>
  </si>
  <si>
    <t>4V3JFY1</t>
  </si>
  <si>
    <t>idg2437</t>
  </si>
  <si>
    <t>Vispotte84</t>
  </si>
  <si>
    <t>4Y3JFY1</t>
  </si>
  <si>
    <t>Groppo Luisella</t>
  </si>
  <si>
    <t>idg2438</t>
  </si>
  <si>
    <t>Igontini46</t>
  </si>
  <si>
    <t>5J3JFY1</t>
  </si>
  <si>
    <t>Centralino - Faletti Valeria</t>
  </si>
  <si>
    <t>idg2439</t>
  </si>
  <si>
    <t>Oweritolo1</t>
  </si>
  <si>
    <t>6N3JFY1</t>
  </si>
  <si>
    <t>Daniela Savona</t>
  </si>
  <si>
    <t>idg2440</t>
  </si>
  <si>
    <t>Stednesin7</t>
  </si>
  <si>
    <t>7K3JFY1</t>
  </si>
  <si>
    <t>Scuttari Roberto (IDG1353) CR71330</t>
  </si>
  <si>
    <t>idg2441</t>
  </si>
  <si>
    <t>Sterenthe5</t>
  </si>
  <si>
    <t>7L3JFY1</t>
  </si>
  <si>
    <t>Ceo Francesco</t>
  </si>
  <si>
    <t>idg2443</t>
  </si>
  <si>
    <t>Daeaspied4</t>
  </si>
  <si>
    <t>8X3JFY1</t>
  </si>
  <si>
    <t>Ughetti Mauro - Officina porta 59</t>
  </si>
  <si>
    <t>idg2444</t>
  </si>
  <si>
    <t>Teprince89</t>
  </si>
  <si>
    <t>9P3JFY1</t>
  </si>
  <si>
    <t>Rip per nuovi plotter, installato il 24/02/14</t>
  </si>
  <si>
    <t>idg2445</t>
  </si>
  <si>
    <t>Utukuast61</t>
  </si>
  <si>
    <t>9R3JFY1</t>
  </si>
  <si>
    <t>Plotter da taglio 01ser007</t>
  </si>
  <si>
    <t>idg2446</t>
  </si>
  <si>
    <t>Neratert85</t>
  </si>
  <si>
    <t>BN3JFY1</t>
  </si>
  <si>
    <t>Servizio Assemblaggio - Nichelino</t>
  </si>
  <si>
    <t>idg2447</t>
  </si>
  <si>
    <t>Sakerchyd6</t>
  </si>
  <si>
    <t>GK3JFY1</t>
  </si>
  <si>
    <t>Sibilla Francesco</t>
  </si>
  <si>
    <t>idg2448</t>
  </si>
  <si>
    <t>Esaterise6</t>
  </si>
  <si>
    <t>GL3JFY1</t>
  </si>
  <si>
    <t>Corvasce Silvano (IDG1626) CR71361</t>
  </si>
  <si>
    <t>idg2449</t>
  </si>
  <si>
    <t>Aotoficat5</t>
  </si>
  <si>
    <t>GM3JFY1</t>
  </si>
  <si>
    <t>Virgilio Stefania</t>
  </si>
  <si>
    <t>idg2450</t>
  </si>
  <si>
    <t>Amenedri48</t>
  </si>
  <si>
    <t>GQ3JFY1</t>
  </si>
  <si>
    <t>Costamagna Giancarlo</t>
  </si>
  <si>
    <t>idg2451</t>
  </si>
  <si>
    <t>Noidomeni6</t>
  </si>
  <si>
    <t>JP3JFY1</t>
  </si>
  <si>
    <t>idg2452</t>
  </si>
  <si>
    <t>Ouseciste7</t>
  </si>
  <si>
    <t>JV3JFY1</t>
  </si>
  <si>
    <t>Calmanti Claudia (3/12)</t>
  </si>
  <si>
    <t>Precision T7500</t>
  </si>
  <si>
    <t>idg2342</t>
  </si>
  <si>
    <t>57021</t>
  </si>
  <si>
    <t>CDFPG5J</t>
  </si>
  <si>
    <t>Gori Matteo</t>
  </si>
  <si>
    <t>idg2260</t>
  </si>
  <si>
    <t>57022</t>
  </si>
  <si>
    <t>DDFPG5J</t>
  </si>
  <si>
    <t>Obradovic (01/02)</t>
  </si>
  <si>
    <t>idg2261</t>
  </si>
  <si>
    <t>57023</t>
  </si>
  <si>
    <t>FDFPG5J</t>
  </si>
  <si>
    <t>Bocca Paolo (per collaudo Bravo HP)</t>
  </si>
  <si>
    <t>idg2262</t>
  </si>
  <si>
    <t>57024</t>
  </si>
  <si>
    <t>Nessamule0</t>
  </si>
  <si>
    <t>79JPG5J</t>
  </si>
  <si>
    <t>idg2263</t>
  </si>
  <si>
    <t>57025</t>
  </si>
  <si>
    <t>Tilidupe03</t>
  </si>
  <si>
    <t>89JPG5J</t>
  </si>
  <si>
    <t>Virtual styling - Zannini</t>
  </si>
  <si>
    <t>idg2268</t>
  </si>
  <si>
    <t>57030</t>
  </si>
  <si>
    <t>Undispar67</t>
  </si>
  <si>
    <t>69JPG5J</t>
  </si>
  <si>
    <t>Bulone (Utilizzo generico CatiaV5)</t>
  </si>
  <si>
    <t>idg2264</t>
  </si>
  <si>
    <t>57026</t>
  </si>
  <si>
    <t>Poplaterw4</t>
  </si>
  <si>
    <t>99JPG5J</t>
  </si>
  <si>
    <t>idg2265</t>
  </si>
  <si>
    <t>57027</t>
  </si>
  <si>
    <t>Arkalogis3</t>
  </si>
  <si>
    <t>B9JPG5J</t>
  </si>
  <si>
    <t>Casu Antonio (Utilizzo generico CatiaV5)</t>
  </si>
  <si>
    <t>idg2266</t>
  </si>
  <si>
    <t>57028</t>
  </si>
  <si>
    <t>Ifisterme2</t>
  </si>
  <si>
    <t>C9JPG5J</t>
  </si>
  <si>
    <t>idg2267</t>
  </si>
  <si>
    <t>57029</t>
  </si>
  <si>
    <t>Isoripwe69</t>
  </si>
  <si>
    <t>D9JPG5J</t>
  </si>
  <si>
    <t>Sala Cave (Pires)</t>
  </si>
  <si>
    <t>Precision T3600</t>
  </si>
  <si>
    <t>idg2334</t>
  </si>
  <si>
    <t>57212</t>
  </si>
  <si>
    <t>Abradenta7</t>
  </si>
  <si>
    <t>GK2TMW1</t>
  </si>
  <si>
    <t>Nadalutti Rinaldo (Frese)</t>
  </si>
  <si>
    <t>idg2335</t>
  </si>
  <si>
    <t>57213</t>
  </si>
  <si>
    <t>Wingnium93</t>
  </si>
  <si>
    <t>1FDTMW1</t>
  </si>
  <si>
    <t>Conte Antonello (Utilizzo Generico fornitori)</t>
  </si>
  <si>
    <t>idg2336</t>
  </si>
  <si>
    <t>57214</t>
  </si>
  <si>
    <t>Obirrint97</t>
  </si>
  <si>
    <t>4FDTMW1</t>
  </si>
  <si>
    <t>Cano Raul</t>
  </si>
  <si>
    <t>idg2337</t>
  </si>
  <si>
    <t>57215</t>
  </si>
  <si>
    <t>Barconiat2</t>
  </si>
  <si>
    <t>D7DTMW1</t>
  </si>
  <si>
    <t>idg2338</t>
  </si>
  <si>
    <t>57216</t>
  </si>
  <si>
    <t>Ultatiops3</t>
  </si>
  <si>
    <t>GDDTMW1</t>
  </si>
  <si>
    <t>Stile con Cintiq 24HD</t>
  </si>
  <si>
    <t>idg2427</t>
  </si>
  <si>
    <t>Lochilea95</t>
  </si>
  <si>
    <t>5T65ZX1</t>
  </si>
  <si>
    <t>Valpreda Davide</t>
  </si>
  <si>
    <t>idg2428</t>
  </si>
  <si>
    <t>Deheopho99</t>
  </si>
  <si>
    <t>8T65ZX1</t>
  </si>
  <si>
    <t>AC1patata</t>
  </si>
  <si>
    <t>Enrico Lago (IG/D-11)</t>
  </si>
  <si>
    <t>4BBQ000163</t>
  </si>
  <si>
    <t>Massimo Borrelli (IG/D-11)</t>
  </si>
  <si>
    <t>4IBQ000048</t>
  </si>
  <si>
    <t>4IBQ000049</t>
  </si>
  <si>
    <t>Canepa Simone</t>
  </si>
  <si>
    <t>4IBQ000050</t>
  </si>
  <si>
    <t>GUELFO</t>
  </si>
  <si>
    <t>4IBQ000147</t>
  </si>
  <si>
    <t>SR1229346</t>
  </si>
  <si>
    <t>Villata Maria Luisa (restituisce ITDGTOL00064564)</t>
  </si>
  <si>
    <t>DI LUCCIA</t>
  </si>
  <si>
    <t>ITDGTOL00070739</t>
  </si>
  <si>
    <t>SuperBull200!</t>
  </si>
  <si>
    <t>13/5 ore 09,00</t>
  </si>
  <si>
    <t>Icem surf, CatiaV5, Connect, Alias, Kisters</t>
  </si>
  <si>
    <t>SR1229340</t>
  </si>
  <si>
    <t>Berchialla Davide (restituisce ITDGTOL00064565)</t>
  </si>
  <si>
    <t>FINELLI</t>
  </si>
  <si>
    <t>ITDGTOL00070740</t>
  </si>
  <si>
    <t>SuperBull400!</t>
  </si>
  <si>
    <t>13/5 ore 10,00</t>
  </si>
  <si>
    <t>Catia V5, Kister 3D, JT2Go, Connect, Vamos, AVON 3.0, Citrix, Tevon</t>
  </si>
  <si>
    <t>SR1230176</t>
  </si>
  <si>
    <t>Brigada, Giovanna (IG/GT) (restituisce ITDGTOL00065110)</t>
  </si>
  <si>
    <t>ELITEBOOK 840</t>
  </si>
  <si>
    <t>CONSEGNATO</t>
  </si>
  <si>
    <t>SR1230196</t>
  </si>
  <si>
    <t>Gilardi Claudia (restituisce ITDGTOC00068594)</t>
  </si>
  <si>
    <t>ITDGTOL00070754</t>
  </si>
  <si>
    <t>Gulp911primavera</t>
  </si>
  <si>
    <t>11/05 ORE 8,00</t>
  </si>
  <si>
    <t>SR1249917</t>
  </si>
  <si>
    <t>Faletti Valeria (restituisce ITDGTOL00064694)</t>
  </si>
  <si>
    <t>ITDGTOL00070665</t>
  </si>
  <si>
    <t>Xiaomiplusmeno2</t>
  </si>
  <si>
    <t>20/05/2021 h 13,30</t>
  </si>
  <si>
    <t xml:space="preserve"> SR1241654 </t>
  </si>
  <si>
    <t>Giordano Salvatore (restituisce ITDGTOL00064842)</t>
  </si>
  <si>
    <t>Mariateresa Di Luccia</t>
  </si>
  <si>
    <t>ITDGTOL00070746</t>
  </si>
  <si>
    <t>Giornopositivo1</t>
  </si>
  <si>
    <t>20/5 ore 14,00</t>
  </si>
  <si>
    <t>Connect; Kws; Catia v5; Audi mynet</t>
  </si>
  <si>
    <t>SR1230130</t>
  </si>
  <si>
    <t>Favaro Giulia (restituisce ITDGTOL00060450)</t>
  </si>
  <si>
    <t>ITDGTOL00070724</t>
  </si>
  <si>
    <t>Vacanzamare0721</t>
  </si>
  <si>
    <t>20/05/2021 ore 9</t>
  </si>
  <si>
    <t xml:space="preserve"> Programma : ti-syncro</t>
  </si>
  <si>
    <t>SR1230190</t>
  </si>
  <si>
    <t>Bertazzoni Alessandro (restituisce ITDGTOL00065135)</t>
  </si>
  <si>
    <t>ITDGTOL00070755</t>
  </si>
  <si>
    <t>Vacanzemare2021</t>
  </si>
  <si>
    <t>SR1229352</t>
  </si>
  <si>
    <t>Pizzi Giovanni (non restituisce nulla)</t>
  </si>
  <si>
    <t>Di Luccia</t>
  </si>
  <si>
    <t>ITDGTOL00070757</t>
  </si>
  <si>
    <t>SuperBull300!</t>
  </si>
  <si>
    <t>Lunedì 24/5 ore 9</t>
  </si>
  <si>
    <t>SR1249100</t>
  </si>
  <si>
    <t>Monchietto Guido (restituisce ITDGTOL00064701)</t>
  </si>
  <si>
    <t>Di Luccia/Aringhieri</t>
  </si>
  <si>
    <t>ITDGTOL00070664</t>
  </si>
  <si>
    <t>Giornoventoso01</t>
  </si>
  <si>
    <t>Lunedì 24/5 ore 14</t>
  </si>
  <si>
    <t>Autocad</t>
  </si>
  <si>
    <t>SR1243130</t>
  </si>
  <si>
    <t>Rizzo Daniele (Restituisce ITDGTOL00063528)</t>
  </si>
  <si>
    <t>ITDGTOL00070753</t>
  </si>
  <si>
    <t>Cuoresapore2021</t>
  </si>
  <si>
    <t>Martedì 25/5 ore 09:30</t>
  </si>
  <si>
    <t>Photoshop, Alias</t>
  </si>
  <si>
    <t>SR1251660</t>
  </si>
  <si>
    <t>Lago Enrico (restituisce ITDGTOL00065765)</t>
  </si>
  <si>
    <t>Giornodisole002</t>
  </si>
  <si>
    <t>Martedì 25/5 ore 14</t>
  </si>
  <si>
    <t>Da Installare: Rhino 6 e 7, keyshot 10, alias surface, adobe photoshop</t>
  </si>
  <si>
    <t>SR1249933</t>
  </si>
  <si>
    <t>SCHREIBER PAUL  IG/EE-3 rif.: Marco Bergero</t>
  </si>
  <si>
    <t>ITDGTOL00070666</t>
  </si>
  <si>
    <t>Wwwaudiingdi777</t>
  </si>
  <si>
    <t>Nuovo ingresso IDD - 01/06</t>
  </si>
  <si>
    <t>SR1250393</t>
  </si>
  <si>
    <t>HUBER JOHANNA-ISABELLE – IG/EE-2 - rif. Innocenti</t>
  </si>
  <si>
    <t>ITDGTOL00070676</t>
  </si>
  <si>
    <t>Soleapranzo2025</t>
  </si>
  <si>
    <t>SR1229334</t>
  </si>
  <si>
    <t>Brignolo Simone (restituisce ITDGTOL00064563)</t>
  </si>
  <si>
    <t>ITDGTOL00070758</t>
  </si>
  <si>
    <t>SuperBull100!</t>
  </si>
  <si>
    <t>Mercoledì  26/5 ore 9</t>
  </si>
  <si>
    <t>SR1241660</t>
  </si>
  <si>
    <t>Ghiotto Giovanni (restituisce ITDGTOL00064561)</t>
  </si>
  <si>
    <t>ITDGTOL00070747</t>
  </si>
  <si>
    <t>Catia 5, Audi Workbench 3.0, EVX</t>
  </si>
  <si>
    <t>SR1255120</t>
  </si>
  <si>
    <t>Rondina Massimo (restituisce ITDGTOL00064837)</t>
  </si>
  <si>
    <t>ITDGTOL00070769</t>
  </si>
  <si>
    <t>Cremildue769</t>
  </si>
  <si>
    <t>Mercoledì  26/5 ore 14</t>
  </si>
  <si>
    <t>Catia - Connect</t>
  </si>
  <si>
    <t>SR1251729</t>
  </si>
  <si>
    <t>Accomo Daniele (restituisce ITDGTOL00060256)</t>
  </si>
  <si>
    <t>ITDGTOL00070961</t>
  </si>
  <si>
    <t>Primogiorno2020</t>
  </si>
  <si>
    <t>Giovedì 27/5 ore 9</t>
  </si>
  <si>
    <t>Catia V5, Worknc, Kisters 3D</t>
  </si>
  <si>
    <t>SR1251745</t>
  </si>
  <si>
    <t>Gerini Alessandro(ITDGTOL00065806)</t>
  </si>
  <si>
    <t>ITDGTOL00070963</t>
  </si>
  <si>
    <t>Secondogiorno21</t>
  </si>
  <si>
    <t>Catia, Telegram</t>
  </si>
  <si>
    <t>SR1249108</t>
  </si>
  <si>
    <t>Gavioli Mario (restituisce ITDGTOL00059773)</t>
  </si>
  <si>
    <t>ITDGTOL00070667</t>
  </si>
  <si>
    <t>Giornoventoso02</t>
  </si>
  <si>
    <t>SR1248514</t>
  </si>
  <si>
    <t>Mandice Simone (restituisce ITDGTOL00064685)</t>
  </si>
  <si>
    <t>ITDGTOL00070678</t>
  </si>
  <si>
    <t>Prezzemolo1975</t>
  </si>
  <si>
    <t> SR1247463</t>
  </si>
  <si>
    <t>Zolfini Stefano (consegna ITDGTOL00065779)</t>
  </si>
  <si>
    <t>ITDGTOL00070680</t>
  </si>
  <si>
    <t>Firstdayweek112</t>
  </si>
  <si>
    <t>Think cell</t>
  </si>
  <si>
    <t>SR1262118</t>
  </si>
  <si>
    <t>Lequio Marziella (restituisce ITDGTOL00065509)</t>
  </si>
  <si>
    <t>ITDGTOL00070738</t>
  </si>
  <si>
    <t>Iononho0time!4</t>
  </si>
  <si>
    <t>Lunedì 31/5 ore 9</t>
  </si>
  <si>
    <t>SR1261543</t>
  </si>
  <si>
    <t>Gerbino Daniele (restituisce ITDGTOL00064828)</t>
  </si>
  <si>
    <t>Voivodastro100!</t>
  </si>
  <si>
    <t>Martedì 01/06 ore 08:30</t>
  </si>
  <si>
    <t>CATIA V5, CONNECT, RAMSIS Next Gen, GIMP</t>
  </si>
  <si>
    <t>SR1250424</t>
  </si>
  <si>
    <t>Zanella Diego IG/EE-2 - rif. Innocenti</t>
  </si>
  <si>
    <t>Pioggiaacena820</t>
  </si>
  <si>
    <t>Nuovo ingresso IDG dal  01/05</t>
  </si>
  <si>
    <t>SR1255131</t>
  </si>
  <si>
    <t>Marzo Antonio (restituisce ITDGTOL00064836)</t>
  </si>
  <si>
    <t>ITDGTOL00070727</t>
  </si>
  <si>
    <t>Cremildue771</t>
  </si>
  <si>
    <t>Martedì 01/06 ore 09</t>
  </si>
  <si>
    <t>SR1257763</t>
  </si>
  <si>
    <t>Oberti Simone IG/EC-2</t>
  </si>
  <si>
    <t>ITDGTOL00070774</t>
  </si>
  <si>
    <t>Diventa dipendente dal 26/05 - Diadem, Animator, Kisters</t>
  </si>
  <si>
    <t>SR1248039</t>
  </si>
  <si>
    <t>Aimino Alessio(restituisce il ITDGTOL00059143)</t>
  </si>
  <si>
    <t>Crazytogoend210</t>
  </si>
  <si>
    <t>Vadò</t>
  </si>
  <si>
    <t> SR1248508</t>
  </si>
  <si>
    <t>Cagno Giuseppe (restituisce ITDGTOL00060604)</t>
  </si>
  <si>
    <t>ITDGTOL00070677</t>
  </si>
  <si>
    <t>Rosmarino1974</t>
  </si>
  <si>
    <t xml:space="preserve"> SR1263814</t>
  </si>
  <si>
    <t>Conciardi Claudio (restituisce ITDGTOL00063544)</t>
  </si>
  <si>
    <t>ITDGTOL00070663</t>
  </si>
  <si>
    <t>Dueocchiblu2009</t>
  </si>
  <si>
    <t>7 giugno ore 9.30</t>
  </si>
  <si>
    <t>SR1261525</t>
  </si>
  <si>
    <t>Maccari Massimo (restituisce ITDGTOL00064840)</t>
  </si>
  <si>
    <t>ITDGTOL00070735</t>
  </si>
  <si>
    <t>Voivodastro500!</t>
  </si>
  <si>
    <t>SR1251654</t>
  </si>
  <si>
    <t>Benotto Matteo (Restituisce ITDGTOL00058891)</t>
  </si>
  <si>
    <t>Aringhieri/Finelli</t>
  </si>
  <si>
    <t>ITDGTOL00070718</t>
  </si>
  <si>
    <t>Giornodisole001</t>
  </si>
  <si>
    <t>8/6 ore 9.00</t>
  </si>
  <si>
    <t>SR1266921</t>
  </si>
  <si>
    <t>Zhu Jiaqi (restituisce ITDGTOL00063546)</t>
  </si>
  <si>
    <t>ITDGTOL00070734</t>
  </si>
  <si>
    <t>CrucioTer34</t>
  </si>
  <si>
    <t>8/06/2021 h 9</t>
  </si>
  <si>
    <t>Adobe Illustrator, Indesign, Photoshop, Premierepro, Alias, Vred, Keyshot, Teams</t>
  </si>
  <si>
    <t>SR1265572</t>
  </si>
  <si>
    <t>Ughetti Mauro PC (pc condiviso al reparto Montaggio 0337V)</t>
  </si>
  <si>
    <t>ITDGTOL00070674</t>
  </si>
  <si>
    <t>Criptonite12112</t>
  </si>
  <si>
    <t>SR1265524</t>
  </si>
  <si>
    <t>ITDGTOL00070675</t>
  </si>
  <si>
    <t>CriliumVivo75</t>
  </si>
  <si>
    <t>SR1265530</t>
  </si>
  <si>
    <t>ITDGTOL00070708</t>
  </si>
  <si>
    <t>CriliumVivo08</t>
  </si>
  <si>
    <t>SR1265596</t>
  </si>
  <si>
    <t>Schuenemann Ralph 
 (restituisce ITDGTOL00000064698)</t>
  </si>
  <si>
    <t>ITDGTOL00070723</t>
  </si>
  <si>
    <t>Criptonite1221</t>
  </si>
  <si>
    <t>Thinkcell, Adobe X</t>
  </si>
  <si>
    <t>SR1261531</t>
  </si>
  <si>
    <t>Chiotti Simone (restituisce ITDGTOC00059355)</t>
  </si>
  <si>
    <t>ITDGTOL00070736</t>
  </si>
  <si>
    <t>Voivodastro300!</t>
  </si>
  <si>
    <t>11/06/2021 h 9.00</t>
  </si>
  <si>
    <t>Da installare Alias Surface, V-red PRO, Vred DESIGN, Icem Surf, CATIA V5, CONNECT</t>
  </si>
  <si>
    <t>SR1273533</t>
  </si>
  <si>
    <t>Morabito Daniele IG/EE-2</t>
  </si>
  <si>
    <t>ITDGTOL00070711</t>
  </si>
  <si>
    <t>Inventario70711</t>
  </si>
  <si>
    <t>Nuova assunzione DIPENDENTE 14/06</t>
  </si>
  <si>
    <t>SR1273563</t>
  </si>
  <si>
    <t>Gabbio Serena IG/EE-3 (passa da fornitore a dipendente)</t>
  </si>
  <si>
    <t>Networking70716</t>
  </si>
  <si>
    <t>SR1276930</t>
  </si>
  <si>
    <t>Armadoro Andrea IG/D-3</t>
  </si>
  <si>
    <t>Nereaver69</t>
  </si>
  <si>
    <t>Nuova assunzione STAGISTA 14/05</t>
  </si>
  <si>
    <t>SR1275904</t>
  </si>
  <si>
    <t>GIACOMETTI Fabrizio</t>
  </si>
  <si>
    <t>ITDGTOL00070741</t>
  </si>
  <si>
    <t>Update70741</t>
  </si>
  <si>
    <t>SR1266911</t>
  </si>
  <si>
    <t>Pomponio Pierpaolo (restituisce ITDGTOL00064835)</t>
  </si>
  <si>
    <t>ITDGTOL00070733</t>
  </si>
  <si>
    <t>CrucioTer33</t>
  </si>
  <si>
    <t>17/06/2021 h 11</t>
  </si>
  <si>
    <t>SR1261537</t>
  </si>
  <si>
    <t>gross, Sergej (IG/EE-2)  (ITDGTOL00070638)</t>
  </si>
  <si>
    <t>ITDGTOL00070737</t>
  </si>
  <si>
    <t>Voivodastro200!</t>
  </si>
  <si>
    <t>SR1267243</t>
  </si>
  <si>
    <t>huber, Johanna-Isabelle (IG/EE-2)  (ITDGTOL00070676)</t>
  </si>
  <si>
    <t>ITDGTOL00070752</t>
  </si>
  <si>
    <t>Goodmorning0021</t>
  </si>
  <si>
    <t>SR1267249</t>
  </si>
  <si>
    <t>della Rovere, Sara (IG/EE-2, extern)  (ITDGTOL00065095)</t>
  </si>
  <si>
    <t>Goodmorning2100</t>
  </si>
  <si>
    <t>SR1290625</t>
  </si>
  <si>
    <t>Sirchia, Federico (ITDGTOL00065511)</t>
  </si>
  <si>
    <t>ITDGTOL00070745</t>
  </si>
  <si>
    <t>Estatemontana70745</t>
  </si>
  <si>
    <t>06/07/2021 ore 9.00</t>
  </si>
  <si>
    <t>Connect, Loco (eseguibile da I), Database (copia da old pc – 65GB)</t>
  </si>
  <si>
    <t>MAZZA YURI</t>
  </si>
  <si>
    <t>fINELLI Antonella</t>
  </si>
  <si>
    <t>ITDGTOL00070519</t>
  </si>
  <si>
    <t>SR1321737</t>
  </si>
  <si>
    <t>Gabbio Serena IG/EE-3</t>
  </si>
  <si>
    <t>Aringhieri/Di Luccia</t>
  </si>
  <si>
    <t>ITDGTOL00070756</t>
  </si>
  <si>
    <t>Applications70756</t>
  </si>
  <si>
    <t>SR1308210</t>
  </si>
  <si>
    <t>Lettry, Sonia (restituisce ITDGTOL00068231)</t>
  </si>
  <si>
    <t>ITDGTOL00070773</t>
  </si>
  <si>
    <t>Application773</t>
  </si>
  <si>
    <t>CATIA V5, KISTERS, ZOOM, CISCO WEBEX</t>
  </si>
  <si>
    <t>SR1306669</t>
  </si>
  <si>
    <t>Maruca Giulio (restituisce ITDGTOL00063907)</t>
  </si>
  <si>
    <t>ITDGTOL00070749</t>
  </si>
  <si>
    <t>Estateromana749</t>
  </si>
  <si>
    <t>CONNECT e CATIA - Installare in italiano e spedire - ha ancora il vecchio laptop</t>
  </si>
  <si>
    <t>SR1321219</t>
  </si>
  <si>
    <t>Giuliani Laura (restituisce ITDGTOL00068797)</t>
  </si>
  <si>
    <t>Aringhieri/DiLuccia</t>
  </si>
  <si>
    <t>ITDGTOL00070751</t>
  </si>
  <si>
    <t>piovesempre2021</t>
  </si>
  <si>
    <t>INCA V7.3, MDA 8.5, AVL Concerto 5 R3.1, Matlab, DiagRA, measure data Analyzer v7.1</t>
  </si>
  <si>
    <t>SR1276193</t>
  </si>
  <si>
    <t>Altozano Olivares, Jose Luis (IG/EE-3)</t>
  </si>
  <si>
    <t>ITDGTOL00070713</t>
  </si>
  <si>
    <t>Client70713</t>
  </si>
  <si>
    <t>SR1273688</t>
  </si>
  <si>
    <t>Anderson, Nils (IG/EE-3)</t>
  </si>
  <si>
    <t>Windows70717</t>
  </si>
  <si>
    <t>SR1337933</t>
  </si>
  <si>
    <t>Z8</t>
  </si>
  <si>
    <t>SR1327128</t>
  </si>
  <si>
    <t>Rainaudo, Davide (IG/EB-1)</t>
  </si>
  <si>
    <t>ITDGTOL00070743</t>
  </si>
  <si>
    <t>Avocadomexico02</t>
  </si>
  <si>
    <t>SR1327134</t>
  </si>
  <si>
    <t>Andriani Antonio (restituisce ITDGTOL00063547)</t>
  </si>
  <si>
    <t>ITDGTOL00070742</t>
  </si>
  <si>
    <t>Avocadomexico01</t>
  </si>
  <si>
    <t>Gallo Federico</t>
  </si>
  <si>
    <t>ITDGTOL00070945</t>
  </si>
  <si>
    <t>SR1276171</t>
  </si>
  <si>
    <t>Diliberto Vincenzo</t>
  </si>
  <si>
    <t>Drivers70712</t>
  </si>
  <si>
    <t>Nuovo ingresso</t>
  </si>
  <si>
    <t>SR1342782</t>
  </si>
  <si>
    <t>Mazzardis Roberto (restituisce ITDGTOL00065011)</t>
  </si>
  <si>
    <t>ClearNet966</t>
  </si>
  <si>
    <t>SR1336178</t>
  </si>
  <si>
    <t>Bussetti Nicholas (non restituisce nulla)</t>
  </si>
  <si>
    <t>Inventario2021!</t>
  </si>
  <si>
    <t>06/09 h 14:30</t>
  </si>
  <si>
    <t>SR1336311</t>
  </si>
  <si>
    <t>Pinna Giovanni (restituisce ITDGTOL00059363)</t>
  </si>
  <si>
    <t>ITDGTOL00070660</t>
  </si>
  <si>
    <t>CoolerNext660</t>
  </si>
  <si>
    <t>SR1336305</t>
  </si>
  <si>
    <t>Giambrone Gianpiero (Restituisce ITDGTOL00063517)</t>
  </si>
  <si>
    <t>ITDGTOL00070658</t>
  </si>
  <si>
    <t>CoolerNext658</t>
  </si>
  <si>
    <t>SR1338936</t>
  </si>
  <si>
    <t>D'Amico Erika</t>
  </si>
  <si>
    <t>ITDGTOL00070744</t>
  </si>
  <si>
    <t>Vivalapioggia744</t>
  </si>
  <si>
    <t>SR1347172</t>
  </si>
  <si>
    <t>Vacchetta Selena (restituisce ITDGTOL00068445)</t>
  </si>
  <si>
    <t>ITDGTOL00070620</t>
  </si>
  <si>
    <t>Barnaba2021-2022</t>
  </si>
  <si>
    <t>09/09 h 08:30</t>
  </si>
  <si>
    <t>SR1346058</t>
  </si>
  <si>
    <t>Succo Sara (restituisce ITDGTOL00065808)</t>
  </si>
  <si>
    <t>NewPass659</t>
  </si>
  <si>
    <t>09/09 h 14:00</t>
  </si>
  <si>
    <t>SPECIFICI RVS EVO, WINSCP, CITRIX (per caricamento dati VOKUS)</t>
  </si>
  <si>
    <t>SR1349717</t>
  </si>
  <si>
    <t>Pasini Valerio (restituisce ITDGTOL00063887)</t>
  </si>
  <si>
    <t>ITDGTOL00070661</t>
  </si>
  <si>
    <t>SuperGiant661</t>
  </si>
  <si>
    <t>SR1354081</t>
  </si>
  <si>
    <t>Giovanakis, Yannick (IG/EE-2)</t>
  </si>
  <si>
    <t>Hp EliteBook 840</t>
  </si>
  <si>
    <t xml:space="preserve"> SR1354084</t>
  </si>
  <si>
    <t>Nicola, Alessio (IG/EE-2)</t>
  </si>
  <si>
    <t>SR1354091</t>
  </si>
  <si>
    <t>Lecco, Leonardo (IG/EE-2)</t>
  </si>
  <si>
    <t>ITDGTOL00069832</t>
  </si>
  <si>
    <t>SR1346034</t>
  </si>
  <si>
    <t>Parigi Davide IG/EE</t>
  </si>
  <si>
    <t>ITDGTOL00070657</t>
  </si>
  <si>
    <t>NewPass657</t>
  </si>
  <si>
    <t>SR1352941</t>
  </si>
  <si>
    <t>Natella Domenico (restituisce ITDGTOL00064689)</t>
  </si>
  <si>
    <t>ITDGTOL00070722</t>
  </si>
  <si>
    <t>NearPass722</t>
  </si>
  <si>
    <t>13/09 h 14</t>
  </si>
  <si>
    <t>PyCharm-SourceTree-Canoe10-iDex-System42-Visio-PREEVision-RhinkCell-Avon-Wireshark</t>
  </si>
  <si>
    <t>SR1350087</t>
  </si>
  <si>
    <t>Di Corso Francesco (restituisce ITDGTOL00064853)</t>
  </si>
  <si>
    <t>ITDGTOL00070957</t>
  </si>
  <si>
    <t>Tiltrillastica957</t>
  </si>
  <si>
    <t>14/09 h 10:30</t>
  </si>
  <si>
    <t>Catia, Connect, Acribat Writer, Zoom, Webex, JT2GO, Avon, SapLogon</t>
  </si>
  <si>
    <t>SR1349476</t>
  </si>
  <si>
    <t>Votta, Denis (IG/P-82) (restituisce ITDGTOL00059376)</t>
  </si>
  <si>
    <t>ITDGTOL00069870</t>
  </si>
  <si>
    <t>14/09 h 14:00</t>
  </si>
  <si>
    <t>SR1351417</t>
  </si>
  <si>
    <t>IMHOF LARISSA  IG/D-2</t>
  </si>
  <si>
    <t>Hp Zbook Z15</t>
  </si>
  <si>
    <t>ITDGTOL00069768</t>
  </si>
  <si>
    <t>SR1353903</t>
  </si>
  <si>
    <t xml:space="preserve">COTTINO FABRIZIO (rinomina) IG/EE-3 </t>
  </si>
  <si>
    <t>ITDGTOL00070702</t>
  </si>
  <si>
    <t>RealClean702</t>
  </si>
  <si>
    <t>SR1353911</t>
  </si>
  <si>
    <t>CARLINO MARCO FERDINANDO  IG/EE-3</t>
  </si>
  <si>
    <t>RealClean703</t>
  </si>
  <si>
    <t>SR1342788</t>
  </si>
  <si>
    <t>Marino Loris Giovanni (restituisce ITDGTOL00064584)</t>
  </si>
  <si>
    <t>ITDGTOL00070967</t>
  </si>
  <si>
    <t>ClearNet967</t>
  </si>
  <si>
    <t>15/09 h 14:30</t>
  </si>
  <si>
    <t>Icem-Catia-Alias-Connect</t>
  </si>
  <si>
    <t>SR1349711</t>
  </si>
  <si>
    <t>Dimasi Fabio (restituisce ITDGTOL00065815)</t>
  </si>
  <si>
    <t>ITDGTOL00070672</t>
  </si>
  <si>
    <t>SuperGiant672</t>
  </si>
  <si>
    <t>15/09 h 15:00</t>
  </si>
  <si>
    <t>SR1350114</t>
  </si>
  <si>
    <t xml:space="preserve">Narducci Laurent (rinomina) IG/EK-31 </t>
  </si>
  <si>
    <t>ITDGTOL00070958</t>
  </si>
  <si>
    <t>Tiltrillastica958</t>
  </si>
  <si>
    <t>SR1321213</t>
  </si>
  <si>
    <t>Cucinella Giacomo (restituisce ITDGTOL00064851)</t>
  </si>
  <si>
    <t>ITDGTOL00070750</t>
  </si>
  <si>
    <t>pioveoggi072021</t>
  </si>
  <si>
    <t>17/09 h 10:30</t>
  </si>
  <si>
    <t>Catia - Connect-AVX-JT2GO-Avon</t>
  </si>
  <si>
    <t>SR1358882</t>
  </si>
  <si>
    <t>Franco Alessandro IG/EK-31</t>
  </si>
  <si>
    <t>Network70991</t>
  </si>
  <si>
    <t>SR1352932</t>
  </si>
  <si>
    <t>Vitale Alessio (restituisce ITDGTOL00065089)</t>
  </si>
  <si>
    <t>ITDGTOL00070701</t>
  </si>
  <si>
    <t>NearPass701</t>
  </si>
  <si>
    <t>20/09 h 14</t>
  </si>
  <si>
    <t>Idex-Odis-System42-Easy4Q-UpdateCenter-R+RStudio-Anaconda-AcrobatDC-Cytrix</t>
  </si>
  <si>
    <t>SR1351385</t>
  </si>
  <si>
    <t>Savoca Adriano (restituisce ITDGTOL00063873)</t>
  </si>
  <si>
    <t>ITDGTOL00070959</t>
  </si>
  <si>
    <t>Torenna959</t>
  </si>
  <si>
    <t>21/09 h 10:00</t>
  </si>
  <si>
    <t>SR1367856</t>
  </si>
  <si>
    <t>Cotroneo Antonio (restituisce ITDGTOL00065076)</t>
  </si>
  <si>
    <t>ITDGTOL00070693</t>
  </si>
  <si>
    <t>Start70693</t>
  </si>
  <si>
    <t> </t>
  </si>
  <si>
    <t> SR1364110</t>
  </si>
  <si>
    <t>Caglieris Chiara (restituisce ITDGTOL00065780)</t>
  </si>
  <si>
    <t>ITDGTOL00070689</t>
  </si>
  <si>
    <t>Start70689</t>
  </si>
  <si>
    <t>240/09</t>
  </si>
  <si>
    <t>SR1368681</t>
  </si>
  <si>
    <t>Amoroso Fabrizio IG/EK-33 (restituisce ITDGTOL00065086)</t>
  </si>
  <si>
    <t>ITDGTOL00070690</t>
  </si>
  <si>
    <t>Time70690</t>
  </si>
  <si>
    <t>SR1371097</t>
  </si>
  <si>
    <t>Ciro Prota - COMPOSER</t>
  </si>
  <si>
    <t>ITDGTOL00070551</t>
  </si>
  <si>
    <t>Composer</t>
  </si>
  <si>
    <t>SR1369917</t>
  </si>
  <si>
    <t>Amatucci Andrea IG/EE-3</t>
  </si>
  <si>
    <t>ITDGTOL00071035</t>
  </si>
  <si>
    <t>GIT - JetBrain</t>
  </si>
  <si>
    <t>SR1357771</t>
  </si>
  <si>
    <t>Carta Massimo (restituisce ITDGTOL00065091)</t>
  </si>
  <si>
    <t>ITDGTOL00070662</t>
  </si>
  <si>
    <t>Drivers70662</t>
  </si>
  <si>
    <t>28/09 h 14</t>
  </si>
  <si>
    <t>Kister's</t>
  </si>
  <si>
    <t>SR1358927</t>
  </si>
  <si>
    <t>Tuffanelli, Luca (IG/SD) (restituisce ITDGTOC00068771)</t>
  </si>
  <si>
    <t>ITDGTOL00070992</t>
  </si>
  <si>
    <t>Update70992</t>
  </si>
  <si>
    <t>01/10 h 08:30</t>
  </si>
  <si>
    <t>Adobe suite</t>
  </si>
  <si>
    <t> SR1372010</t>
  </si>
  <si>
    <t>Speca, Federica IG/EC-5</t>
  </si>
  <si>
    <t>ITDGTOL00070721</t>
  </si>
  <si>
    <t>Administral70721</t>
  </si>
  <si>
    <t>SR1371356</t>
  </si>
  <si>
    <t>Bonassi Luca IG/D-3</t>
  </si>
  <si>
    <t>SR1368687</t>
  </si>
  <si>
    <t>Di Leto Giovanni IG/EE-2</t>
  </si>
  <si>
    <t>ITDGTOL00070938</t>
  </si>
  <si>
    <t>ClearNet938</t>
  </si>
  <si>
    <t>No SW</t>
  </si>
  <si>
    <t>SR1368703</t>
  </si>
  <si>
    <t>Mangolini Federico IG/EK-24</t>
  </si>
  <si>
    <t>ITDGTOL00070935</t>
  </si>
  <si>
    <t>ClearNet935</t>
  </si>
  <si>
    <t>SR1351423</t>
  </si>
  <si>
    <t>Folli Nicole IG/B</t>
  </si>
  <si>
    <t>ITDGTOL00070437</t>
  </si>
  <si>
    <t>SR1361575</t>
  </si>
  <si>
    <t>De Martini Laura (restituisce ITDGTOL00064911)</t>
  </si>
  <si>
    <t>ITDGTOL00070670</t>
  </si>
  <si>
    <t>Point70670</t>
  </si>
  <si>
    <t>No Sw</t>
  </si>
  <si>
    <t> SR1358908</t>
  </si>
  <si>
    <t>Fracchia Cristiano (restituisce ITDGTOL00065022)</t>
  </si>
  <si>
    <t>Windows70956</t>
  </si>
  <si>
    <t>PS - Surface - Vred</t>
  </si>
  <si>
    <t>SR1379030</t>
  </si>
  <si>
    <t>Gonzalez, Ariel (IG/SH-2, extern)</t>
  </si>
  <si>
    <t>ITDGTOL00070638</t>
  </si>
  <si>
    <t>SR1361614</t>
  </si>
  <si>
    <t>Dughera Patrizia (restituisce ITDGTOL00064684)</t>
  </si>
  <si>
    <t>ITDGTOL00070668</t>
  </si>
  <si>
    <t>Point70668</t>
  </si>
  <si>
    <t>Adobe Writer  -  Pc spedito a Nichelino in data 04/9</t>
  </si>
  <si>
    <t>SR1357765</t>
  </si>
  <si>
    <t>Candini Claudio (restituisce ITDGTOL00065098)</t>
  </si>
  <si>
    <t>Start70669</t>
  </si>
  <si>
    <t>Cirix, Kisters, Avon, Tevon, TiRex, Vamos, Connect</t>
  </si>
  <si>
    <t>SR1380467</t>
  </si>
  <si>
    <t>Mueller Matias IG/EE-2</t>
  </si>
  <si>
    <t>ITDGTOL00070989</t>
  </si>
  <si>
    <t>Artuf989</t>
  </si>
  <si>
    <t>Nuovo IDD 18/10</t>
  </si>
  <si>
    <t>NO SW - Spedire ad Ingolstadt</t>
  </si>
  <si>
    <t>SR1368675</t>
  </si>
  <si>
    <t>Pasinato Daniele (restituisce ITDGTOL00065784)</t>
  </si>
  <si>
    <t>ITDGTOL00070692</t>
  </si>
  <si>
    <t>Time70692</t>
  </si>
  <si>
    <t>SR1380890</t>
  </si>
  <si>
    <t>Di Biase Chiara IG/EE</t>
  </si>
  <si>
    <t>ITDGTOL00070695</t>
  </si>
  <si>
    <t>Artecrulli695</t>
  </si>
  <si>
    <t>Nuovo ingresso 07/10</t>
  </si>
  <si>
    <t xml:space="preserve">Kisters - Avon - JIRA - DMS - Connect </t>
  </si>
  <si>
    <t>SR1380869</t>
  </si>
  <si>
    <t>Dimotta Giuseppe (restituisce ITDGTOL00065792)</t>
  </si>
  <si>
    <t>ITDGTOL00070686</t>
  </si>
  <si>
    <t>Artecrulli686</t>
  </si>
  <si>
    <t>11/10 h 08:30</t>
  </si>
  <si>
    <t>No SW  -  Account amministartivo</t>
  </si>
  <si>
    <t>SR1351379</t>
  </si>
  <si>
    <t>Mantovani Luca (restituisce ITDGTOL00064578)</t>
  </si>
  <si>
    <t>Torenna953</t>
  </si>
  <si>
    <t>Cameo - Sourcetree - GitHub - Rhapsody - Visual Studio</t>
  </si>
  <si>
    <t>SR1364122</t>
  </si>
  <si>
    <t>Graglia Cesare (restituisce ITDGTOL00064852)</t>
  </si>
  <si>
    <t>Driver70765</t>
  </si>
  <si>
    <t>SR1387856</t>
  </si>
  <si>
    <t>Andriani Antonio - Kprod</t>
  </si>
  <si>
    <t xml:space="preserve">  SR1381105</t>
  </si>
  <si>
    <t>LINSALATA SERENA IG/SH-1</t>
  </si>
  <si>
    <t>SR1364116</t>
  </si>
  <si>
    <t>Pompele Daniele (restituisce ITDGTOL00063894)</t>
  </si>
  <si>
    <t>ITDGTOL00070760</t>
  </si>
  <si>
    <t>Driver70760</t>
  </si>
  <si>
    <t>SR1380440</t>
  </si>
  <si>
    <t>Bonfanti Matteo (restituisce ITDGTOL00060598)</t>
  </si>
  <si>
    <t>ITDGTOL00070988</t>
  </si>
  <si>
    <t>Peloponneso21!</t>
  </si>
  <si>
    <t>18/10 h 08:00</t>
  </si>
  <si>
    <t>SR1387009</t>
  </si>
  <si>
    <t>Morello Desiree IG/EE-3</t>
  </si>
  <si>
    <t>Craster70682</t>
  </si>
  <si>
    <t>SR1389306</t>
  </si>
  <si>
    <t>Pandolfi Romualdo IG/EE-2 (rinomina)</t>
  </si>
  <si>
    <t>Aristide685</t>
  </si>
  <si>
    <t>SR1387024</t>
  </si>
  <si>
    <t>Santinelli Graziano IG/EE-3</t>
  </si>
  <si>
    <t>ITDGTOL00070687</t>
  </si>
  <si>
    <t>Craster70687</t>
  </si>
  <si>
    <t>SR1389300</t>
  </si>
  <si>
    <t>Stornanti Vincenzo Graziano (restituisce ITDGTOL00065816)</t>
  </si>
  <si>
    <t>ITDGTOL00070684</t>
  </si>
  <si>
    <t>Aristide684</t>
  </si>
  <si>
    <t>SR1383756</t>
  </si>
  <si>
    <t>Pozzi Beatrice IG/V</t>
  </si>
  <si>
    <t>SR1394289</t>
  </si>
  <si>
    <t>Basolo Francesco (ITDGTOL00065112)</t>
  </si>
  <si>
    <t>ITDGTOL00070683</t>
  </si>
  <si>
    <t>Testing683</t>
  </si>
  <si>
    <t>19/10 h 15:30</t>
  </si>
  <si>
    <t>SR1387699</t>
  </si>
  <si>
    <t>Lo Munno Maurizio (restituisce ITDGTOL00065746) - Lettore PKI guasto</t>
  </si>
  <si>
    <t>ITDGTOL00070927</t>
  </si>
  <si>
    <t>Cutrello70927</t>
  </si>
  <si>
    <t>19/10 h 13:30</t>
  </si>
  <si>
    <t>SR1387705</t>
  </si>
  <si>
    <t>Agnelli Marco (restituisce ITDGTOL00065018)</t>
  </si>
  <si>
    <t>ITDGTOL00070990</t>
  </si>
  <si>
    <t>Cutrello70990</t>
  </si>
  <si>
    <t>19/10 h 08:30</t>
  </si>
  <si>
    <t>SR1394191</t>
  </si>
  <si>
    <t>Pecoraro Antonio (restituisce ITDGTOL00065031)</t>
  </si>
  <si>
    <t>ITDGTOL00070939</t>
  </si>
  <si>
    <t>Toritrellone999</t>
  </si>
  <si>
    <t>20/10 h 10:00</t>
  </si>
  <si>
    <t>SR1394286</t>
  </si>
  <si>
    <t>Manassero Anna Maria (restituisce ITDGTOL00065105)</t>
  </si>
  <si>
    <t>ITDGTOL00070681</t>
  </si>
  <si>
    <t>Testing681</t>
  </si>
  <si>
    <t>20/10 h 08:00</t>
  </si>
  <si>
    <t>SR1396168</t>
  </si>
  <si>
    <t>Ferraris Patrizia (restituisce ITDGTOL00065132)</t>
  </si>
  <si>
    <t>ITDGTOL00070726</t>
  </si>
  <si>
    <t>Tetris726</t>
  </si>
  <si>
    <t>21/10  h 9:00</t>
  </si>
  <si>
    <t>Questo pc fa scendere la scorta a 14 macchine - però serve in quanto il pc dell'utente è malmesso</t>
  </si>
  <si>
    <t xml:space="preserve"> SR1394194</t>
  </si>
  <si>
    <t>Fisicaro Mirko (restituisce ITDGTOL00064579)</t>
  </si>
  <si>
    <t>ITDGTOL00070943</t>
  </si>
  <si>
    <t>Toritrellone939</t>
  </si>
  <si>
    <t>21/10 h 11:30</t>
  </si>
  <si>
    <t>SR1380461</t>
  </si>
  <si>
    <t>Scarfidi Rossano (restituisce ITDGTOL00065028)</t>
  </si>
  <si>
    <t>ITDGTOL00070993</t>
  </si>
  <si>
    <t>Artuf993</t>
  </si>
  <si>
    <t>21/10 h 13:30</t>
  </si>
  <si>
    <t>SR1397462</t>
  </si>
  <si>
    <t>Moro Flavio (restituisce ITDGTOL00065012)</t>
  </si>
  <si>
    <t>ITDGTOL00070934</t>
  </si>
  <si>
    <t>Cullino934</t>
  </si>
  <si>
    <t>20/10 h 16 30</t>
  </si>
  <si>
    <t>SR1396644</t>
  </si>
  <si>
    <t>Mastromatteo Salvatore (restituisce ITDGTOL00065013)</t>
  </si>
  <si>
    <t>ITDGTOL00070748</t>
  </si>
  <si>
    <t>Salsicciotto2021</t>
  </si>
  <si>
    <t>21/10 h 14:30</t>
  </si>
  <si>
    <t>SR1397465</t>
  </si>
  <si>
    <t>capone Christian (restituisce ITDGTOL00064827)</t>
  </si>
  <si>
    <t>ITDGTOL00070936</t>
  </si>
  <si>
    <t>Cullino936</t>
  </si>
  <si>
    <t>22/10 h 09:00</t>
  </si>
  <si>
    <t>SR1396650</t>
  </si>
  <si>
    <t>Mezzacappa Federico (restituisce ITDGTOL00065029)</t>
  </si>
  <si>
    <t>ITDGTOL00070968</t>
  </si>
  <si>
    <t>Natalebimbi2021</t>
  </si>
  <si>
    <t>22/10 h12:00</t>
  </si>
  <si>
    <t>SR1396159</t>
  </si>
  <si>
    <t>Ullio Andrea (restituisce ITDGTOL00065008)</t>
  </si>
  <si>
    <t>ITDGTOL00070954</t>
  </si>
  <si>
    <t>Tetris954</t>
  </si>
  <si>
    <t>22/10 h 12:30</t>
  </si>
  <si>
    <t>SR1396153</t>
  </si>
  <si>
    <t>Crescenzi Leonardo (restituisce ITDGTOL00065024)</t>
  </si>
  <si>
    <t>ITDGTOL00070941</t>
  </si>
  <si>
    <t>Tetris941</t>
  </si>
  <si>
    <t>22/10  h 11:30</t>
  </si>
  <si>
    <t>SR1397024</t>
  </si>
  <si>
    <t>Antonio Casu</t>
  </si>
  <si>
    <t>ITDGTOL00070698</t>
  </si>
  <si>
    <t>OperatingSys70698</t>
  </si>
  <si>
    <t>Assegnato come muletto temporaneo per volontà di Luca Jozzo</t>
  </si>
  <si>
    <t>SR1397468</t>
  </si>
  <si>
    <t>Seren Rosso Riccardo (restituisce ITDGTOL00064924)</t>
  </si>
  <si>
    <t>ITDGTOL00070937</t>
  </si>
  <si>
    <t>Cullino937</t>
  </si>
  <si>
    <t>25/10 h 10:30</t>
  </si>
  <si>
    <t>SR1397459</t>
  </si>
  <si>
    <t>Scaliti Alessio (restituisce ITDGTOL00064925)</t>
  </si>
  <si>
    <t>ITDGTOL00070768</t>
  </si>
  <si>
    <t>Cullino768</t>
  </si>
  <si>
    <t>25 /10 h 15:30</t>
  </si>
  <si>
    <t>SR1399859</t>
  </si>
  <si>
    <t>Musco Nunzio (restituisce ITDGTOL00064921)</t>
  </si>
  <si>
    <t>26/10 h 10:00</t>
  </si>
  <si>
    <t>SR1399853</t>
  </si>
  <si>
    <t>Peddone Mario (restituisce ITDGTOL00065030)</t>
  </si>
  <si>
    <t>ITDGTOL00070960</t>
  </si>
  <si>
    <t>Mammachegiorno1</t>
  </si>
  <si>
    <t>26/10 h 10:30</t>
  </si>
  <si>
    <t>CATIA V5, CONNECT, think cell</t>
  </si>
  <si>
    <t>SR1402132</t>
  </si>
  <si>
    <t>Gardiol, Claudio (IG/EE) (restituisce ITDGTOL00065936) - Lettore PKI guasto</t>
  </si>
  <si>
    <t>ITDGTOL00070962</t>
  </si>
  <si>
    <t>Medusaneuro2021</t>
  </si>
  <si>
    <t>27/10 h 9:30</t>
  </si>
  <si>
    <t xml:space="preserve">CATIA V5, CONNECT, Think  Cell
</t>
  </si>
  <si>
    <t>SR1400927</t>
  </si>
  <si>
    <t>Lisco Giulia (restituisce ITDGTOL00064849)</t>
  </si>
  <si>
    <t>ITDGTOL00070928</t>
  </si>
  <si>
    <t>IlTarello70928</t>
  </si>
  <si>
    <t>27/11 h 11:00</t>
  </si>
  <si>
    <t>CATIA, CONNECT, System42, AVON, Video Viewer, Think-cell, JT2Go, Kisters, Animator, Citrix, Zoom</t>
  </si>
  <si>
    <t>SR1399899</t>
  </si>
  <si>
    <t>Sonetto Roberto (restituisce ITDGTOL00064843)</t>
  </si>
  <si>
    <t>ITDGTOL00070764</t>
  </si>
  <si>
    <t>Mammachegiorno3</t>
  </si>
  <si>
    <t>27/10 h11:00</t>
  </si>
  <si>
    <t>SR1402155</t>
  </si>
  <si>
    <t>Scalvenzi Claudio (restituisce ITDGTOL00064854)</t>
  </si>
  <si>
    <t>ITDGTOL00070930</t>
  </si>
  <si>
    <t>Medusanoncapisce1</t>
  </si>
  <si>
    <t>28/10 h 09:00</t>
  </si>
  <si>
    <t>SR1402126</t>
  </si>
  <si>
    <t>Bonnardel Riccardo (restituisce ITDGTOL00064848)</t>
  </si>
  <si>
    <t>ITDGTOL00070931</t>
  </si>
  <si>
    <t>Medusassassina1</t>
  </si>
  <si>
    <t>SR1402120</t>
  </si>
  <si>
    <t>Giorgis Maurizio Domenico (restituisce ITDGTOL00065039)</t>
  </si>
  <si>
    <t>ITDGTOL00070932</t>
  </si>
  <si>
    <t>Medusa123456</t>
  </si>
  <si>
    <t>28/10 h 14:00</t>
  </si>
  <si>
    <t>SR1400930</t>
  </si>
  <si>
    <t>Stefani Flavio (restituisce ITDGTOL00065021)</t>
  </si>
  <si>
    <t>ITDGTOL00070926</t>
  </si>
  <si>
    <t>IlTarello70926</t>
  </si>
  <si>
    <t>28/10 h 14:30</t>
  </si>
  <si>
    <t>SR1403179</t>
  </si>
  <si>
    <t>Henn Hans-Christian (restituisce ITDGTOL00063571)</t>
  </si>
  <si>
    <t>ITDGTOL00070729</t>
  </si>
  <si>
    <t>Ipersonico729</t>
  </si>
  <si>
    <t>01/11 Ingolstadt</t>
  </si>
  <si>
    <t>ctda spedire a Ingolstadt - sw Connet</t>
  </si>
  <si>
    <t>SR1403170</t>
  </si>
  <si>
    <t>Simon Spanner IG/EE-2 (NUOVO ASSUNTO)</t>
  </si>
  <si>
    <t>ITDGTOL00070929</t>
  </si>
  <si>
    <t>Ipersonico929</t>
  </si>
  <si>
    <t>01/11/2021 Ingolstadt</t>
  </si>
  <si>
    <t>SR1397903</t>
  </si>
  <si>
    <t>Prota Ciro (restituisce ITDGTOL00060049)</t>
  </si>
  <si>
    <t>ITDGTOL00070955</t>
  </si>
  <si>
    <t>29/10 h9:00</t>
  </si>
  <si>
    <t>SR1397923</t>
  </si>
  <si>
    <t>Prota Ciro (restituisce ITDGTOC00058847)</t>
  </si>
  <si>
    <t>ITDGTOL00070925</t>
  </si>
  <si>
    <t>Saicosadice2021</t>
  </si>
  <si>
    <t>SR1397917</t>
  </si>
  <si>
    <t>Prota Ciro (restituisce ITDGTOL00060050)</t>
  </si>
  <si>
    <t>Dromedario2021</t>
  </si>
  <si>
    <t>SR1397911</t>
  </si>
  <si>
    <t>Prota Ciro (restituisce ITDGTOC00058848)</t>
  </si>
  <si>
    <t>ITDGTOL00070946</t>
  </si>
  <si>
    <t>Cammello2021</t>
  </si>
  <si>
    <t>SR1363686</t>
  </si>
  <si>
    <t>Prota Ciro (restituisce ITDGTOC00063643)</t>
  </si>
  <si>
    <t>Z2</t>
  </si>
  <si>
    <t>ITDGTOC00071034</t>
  </si>
  <si>
    <t>29/10 h9:01</t>
  </si>
  <si>
    <t>SR1403167</t>
  </si>
  <si>
    <t>Bergesio Alessandro  (NUOVO ASSUNTO)</t>
  </si>
  <si>
    <t>ITDGTOL00070942</t>
  </si>
  <si>
    <t>Ipersonico942</t>
  </si>
  <si>
    <t>Installato Connect, Catia</t>
  </si>
  <si>
    <t>SR1400924</t>
  </si>
  <si>
    <t>Bosio Franco Alberto (NUOVO ASSUNTO)</t>
  </si>
  <si>
    <t>ITDGTOL00070933</t>
  </si>
  <si>
    <t>IlTarello70933</t>
  </si>
  <si>
    <t>02/11  h 10:00</t>
  </si>
  <si>
    <t>SR1396165</t>
  </si>
  <si>
    <t>Nolè Alessandro (NUOVO ASSUNTO)</t>
  </si>
  <si>
    <t>ITDGTOL00070700</t>
  </si>
  <si>
    <t>Tetris700</t>
  </si>
  <si>
    <t>SR1403235</t>
  </si>
  <si>
    <t>Faiella Davide (NUOVO ASSUNTO)</t>
  </si>
  <si>
    <t>ITDGTOL00070707</t>
  </si>
  <si>
    <t>Perdrillino707</t>
  </si>
  <si>
    <t>Putty - Notepad++ - Teraterm</t>
  </si>
  <si>
    <t>SR1400933</t>
  </si>
  <si>
    <t>Bray Andrea (restituisce ITDGTOL00065006)</t>
  </si>
  <si>
    <t>ITDGTOL00070924</t>
  </si>
  <si>
    <t>IlTarello70924</t>
  </si>
  <si>
    <t>03/11 h 11:00</t>
  </si>
  <si>
    <t>mandata mail</t>
  </si>
  <si>
    <t>SR1408770</t>
  </si>
  <si>
    <t>Romano Carmelo IG/EE-3</t>
  </si>
  <si>
    <t>ITDGTOL00070948</t>
  </si>
  <si>
    <t>IlCartiglio948</t>
  </si>
  <si>
    <t>SR1403164</t>
  </si>
  <si>
    <t>Testa Angelo  (NUOVO ASSUNTO)</t>
  </si>
  <si>
    <t>ITDGTOL00070969</t>
  </si>
  <si>
    <t>Ipersonico969</t>
  </si>
  <si>
    <t>SR1408257</t>
  </si>
  <si>
    <t>Modica Ignazio Ivan (restituisce ITDGTOL00064924)</t>
  </si>
  <si>
    <t>ITDGTOL00070732</t>
  </si>
  <si>
    <t>Cinderella732</t>
  </si>
  <si>
    <t>SR1408260</t>
  </si>
  <si>
    <t>Vespa Daniele (restituisce ITDGTOL00064844)</t>
  </si>
  <si>
    <t>Cinderella761</t>
  </si>
  <si>
    <t>03/11 h 10:00</t>
  </si>
  <si>
    <t>SR1408764</t>
  </si>
  <si>
    <t>Ammirata Franco (restituisce ITDGTOL00065036)</t>
  </si>
  <si>
    <t>ITDGTOL00070947</t>
  </si>
  <si>
    <t>IlCartiglio947</t>
  </si>
  <si>
    <t>08/11 h 10:00</t>
  </si>
  <si>
    <t>SR1403232</t>
  </si>
  <si>
    <t>Malinverno Marco IG/EE-3 (Nuovo Assunto)</t>
  </si>
  <si>
    <t>ITDGTOL00070694</t>
  </si>
  <si>
    <t>Perdrillino694</t>
  </si>
  <si>
    <t>SR1403173</t>
  </si>
  <si>
    <t>Marenghi Denis (restituisce ITDGTOL00063889)</t>
  </si>
  <si>
    <t>ITDGTOL00070728</t>
  </si>
  <si>
    <t>Ipersonico728</t>
  </si>
  <si>
    <t>SR1403176</t>
  </si>
  <si>
    <t>Celestino, Andrea (IG/EE-2) restituisce ITDGTOL00069277</t>
  </si>
  <si>
    <t>Ipersonico970</t>
  </si>
  <si>
    <t>SR1411466</t>
  </si>
  <si>
    <t>Sannino Aniello (IG/EC-2) NUOVO ASSUNTO</t>
  </si>
  <si>
    <t>ITDGTOL00070944</t>
  </si>
  <si>
    <t>Hopepsw944</t>
  </si>
  <si>
    <t>Catia-Connect-Kisters-VViewer-Citrix-Diadem</t>
  </si>
  <si>
    <t>SR1413275</t>
  </si>
  <si>
    <t>BURLAGADDA Jaswanth Varma IG/D-3</t>
  </si>
  <si>
    <t>SR1411472</t>
  </si>
  <si>
    <t>Bertipaglia, Niccolo Leonardo (IG/EC-5) restituisce ITDGTOL00065514</t>
  </si>
  <si>
    <t>ITDGTOL00070952</t>
  </si>
  <si>
    <t>Hopepsw952</t>
  </si>
  <si>
    <t>CATIA, CONNECT, HyperMesh, Diadem</t>
  </si>
  <si>
    <t>SR1424526</t>
  </si>
  <si>
    <t>Combina Gabriele IG/S-3</t>
  </si>
  <si>
    <t>EliteBook 840</t>
  </si>
  <si>
    <t>SR1430987</t>
  </si>
  <si>
    <t>Intel</t>
  </si>
  <si>
    <t>NUC6i7</t>
  </si>
  <si>
    <t>ITDGTOC00069486</t>
  </si>
  <si>
    <t>SR1430139</t>
  </si>
  <si>
    <t>Bratti Giuseppe IG/EC-1 - NUOVO ASSUNTO 01/12</t>
  </si>
  <si>
    <t>ITDGTOL00070951</t>
  </si>
  <si>
    <t>Leggilapsw951</t>
  </si>
  <si>
    <t>Catia - Ansa</t>
  </si>
  <si>
    <t>SR1431352</t>
  </si>
  <si>
    <t>Barbi Giacomo IG/EE-3 - NUOVO ASSUNTO 01/12</t>
  </si>
  <si>
    <t>ITDGTOL00070696</t>
  </si>
  <si>
    <t>Atritico696</t>
  </si>
  <si>
    <t>SR1431355</t>
  </si>
  <si>
    <t>Ghibaudo Silvia IG/B-2 - INTERINALE 01/12</t>
  </si>
  <si>
    <t>ITDGTOL00070719</t>
  </si>
  <si>
    <t>Altritico719</t>
  </si>
  <si>
    <t>SR1430145</t>
  </si>
  <si>
    <t>Germanetti Filippo IG/EB-1 - NUOVO ASSUNTO 01/12</t>
  </si>
  <si>
    <t>ITDGTOL00070971</t>
  </si>
  <si>
    <t>Leggilapsw971</t>
  </si>
  <si>
    <t>SR1430148</t>
  </si>
  <si>
    <t>Savi Erika IG/EC-5 - NUOVO ASSUNTO 01/12</t>
  </si>
  <si>
    <t>ITDGTOL00070972</t>
  </si>
  <si>
    <t>Leggilapsw972</t>
  </si>
  <si>
    <t>Hypermasch - Animator - Generator - Catia - Connect</t>
  </si>
  <si>
    <t>SR1428831</t>
  </si>
  <si>
    <t>Orsogna Pasqualino (Restituisce ITDGTOL00065140)</t>
  </si>
  <si>
    <t>Benvenutoinparadiso21</t>
  </si>
  <si>
    <t>01/12/2021 h 12:00</t>
  </si>
  <si>
    <t>IR1423904</t>
  </si>
  <si>
    <t>Ravinale, Angelo (IG/P-71) restituisce ITDGTOL00068254 causa guasto rif. Germena</t>
  </si>
  <si>
    <t>ITDGTOL00070949</t>
  </si>
  <si>
    <t>Tarello70949</t>
  </si>
  <si>
    <t>07/02/2021 h 11:00</t>
  </si>
  <si>
    <t>SR1431502</t>
  </si>
  <si>
    <t>Ceaglio Marco (restituisce ITDGTOL00065025)</t>
  </si>
  <si>
    <t>ITDGTOL000070528</t>
  </si>
  <si>
    <t>Hopeness528</t>
  </si>
  <si>
    <t>02/12/2021 h 11:00</t>
  </si>
  <si>
    <t>Catia-Connect-StatusE-Avon-AdobeSTD</t>
  </si>
  <si>
    <t>Lepori Eleonora IG/S-2</t>
  </si>
  <si>
    <t>ITDGTOL00069844</t>
  </si>
  <si>
    <t>SR1431505</t>
  </si>
  <si>
    <t>Siciliano Luca (restituisce ITDGTOL00065020)</t>
  </si>
  <si>
    <t>ITDGTOL00070542</t>
  </si>
  <si>
    <t>Hopeness542</t>
  </si>
  <si>
    <t>03/12/2021 h 9:00</t>
  </si>
  <si>
    <t>Spedito a Nichelino in data 03/12  -  Catia-Connect</t>
  </si>
  <si>
    <t>SR1428917</t>
  </si>
  <si>
    <t>Nerone Edoardo (restituisce ITDGTOL00065026)</t>
  </si>
  <si>
    <t>ITDGTOL00070763</t>
  </si>
  <si>
    <t>LosAngeles2021</t>
  </si>
  <si>
    <t>03/12/2021 h 10:00</t>
  </si>
  <si>
    <t>SR1412877</t>
  </si>
  <si>
    <t>Saverio Lograno</t>
  </si>
  <si>
    <t>ITDGTOL00070720</t>
  </si>
  <si>
    <t>ProblemAll720</t>
  </si>
  <si>
    <t>SR1428931</t>
  </si>
  <si>
    <t>Berardo Davide (ITDGTOL00065143)</t>
  </si>
  <si>
    <t>ITDGTOL00070759</t>
  </si>
  <si>
    <t>GinoPaolino202122</t>
  </si>
  <si>
    <t>06/12/2021 h 10.30</t>
  </si>
  <si>
    <t>SR1428937</t>
  </si>
  <si>
    <t>Cirulli Luca Giuseppe (restituisce ITDGTOL00065010)</t>
  </si>
  <si>
    <t>ITDGTOL00070950</t>
  </si>
  <si>
    <t>Uscitadisicurezza2021!</t>
  </si>
  <si>
    <t>SR1438780</t>
  </si>
  <si>
    <t>Masuelli Stefania (restituisce ITDGTOL00065034)</t>
  </si>
  <si>
    <t>ITDGTOL00070731</t>
  </si>
  <si>
    <t>Trollino731</t>
  </si>
  <si>
    <t>07/12/2021 h 10:00</t>
  </si>
  <si>
    <t xml:space="preserve"> SR1438741</t>
  </si>
  <si>
    <t>La Coppola Mattia (restituisce ITDGTOL00065515)</t>
  </si>
  <si>
    <t>Balbi/Marinetti</t>
  </si>
  <si>
    <t>ITDGTOL00070515</t>
  </si>
  <si>
    <t>Trollino515</t>
  </si>
  <si>
    <t>07/12/2021 h 14:00</t>
  </si>
  <si>
    <t>mandata mail 30/11/2020</t>
  </si>
  <si>
    <t>SR1431511</t>
  </si>
  <si>
    <t>Danna, Fabio (IG/EE) Restituisce ITDGTOL00065017</t>
  </si>
  <si>
    <t>Marinetti</t>
  </si>
  <si>
    <t>ITDGTOL00070730</t>
  </si>
  <si>
    <t>Hopeness730</t>
  </si>
  <si>
    <t>09/10/2021 h 09:30</t>
  </si>
  <si>
    <t>Thinkcell</t>
  </si>
  <si>
    <t>SR1438758</t>
  </si>
  <si>
    <t>Garbolino Daniele (restitusce ITDGTOL00065757)</t>
  </si>
  <si>
    <t>ITDGTOL00070547</t>
  </si>
  <si>
    <t>Trollino547</t>
  </si>
  <si>
    <t>10/12/2021 h 10:30</t>
  </si>
  <si>
    <t>Cambierà dipartimento entro fine mese. Ha senso cambiarlo ora? Mi darà un aggiornamento a breve.</t>
  </si>
  <si>
    <t>SR1441475</t>
  </si>
  <si>
    <t>Nole Alessandro</t>
  </si>
  <si>
    <t>10/12 h 08:30</t>
  </si>
  <si>
    <t>SR1449048</t>
  </si>
  <si>
    <t>DElli Priscoli Antonio (restituisce ITDGTOL00065812)</t>
  </si>
  <si>
    <t>Appdrivers2021</t>
  </si>
  <si>
    <t>Think Cell</t>
  </si>
  <si>
    <t> SR1447911</t>
  </si>
  <si>
    <t>Perera Alessandra Gaia IG/V</t>
  </si>
  <si>
    <t>Tretris700</t>
  </si>
  <si>
    <t>21/12 h 14:00</t>
  </si>
  <si>
    <t>SR1449042</t>
  </si>
  <si>
    <t>KRUEGER DENNIS – IG/E  -  NUOVA ASSUNZIONE - Wolfsbrug</t>
  </si>
  <si>
    <t>ITDGTOL00070710</t>
  </si>
  <si>
    <t>Imagepeople710</t>
  </si>
  <si>
    <t>Think-Cell_Avon</t>
  </si>
  <si>
    <t>SR1431508</t>
  </si>
  <si>
    <t>SCHMITT SIMON – IG/EE-2  -  NUOVO ASSUNTO  - Ingolstadt</t>
  </si>
  <si>
    <t>Hopeness727</t>
  </si>
  <si>
    <t>SR1451020</t>
  </si>
  <si>
    <t xml:space="preserve">Martínez Durán María del Carmen </t>
  </si>
  <si>
    <t>Programs69167</t>
  </si>
  <si>
    <t>Spedire il 4 gennaio</t>
  </si>
  <si>
    <t>Richiesta fatta da Paone Francesca</t>
  </si>
  <si>
    <t>SR1453210</t>
  </si>
  <si>
    <t>Suleri Hilary IG/EB-1  -  NUOVA ASSUNTA</t>
  </si>
  <si>
    <t>Marinetti/Balbi</t>
  </si>
  <si>
    <t>ITDGTOL00070987</t>
  </si>
  <si>
    <t>Rx7wankel2021</t>
  </si>
  <si>
    <t>SR1449054</t>
  </si>
  <si>
    <t>Trombin Alessandro IG/D-2 - NUOVO ASSUNTO</t>
  </si>
  <si>
    <t>Braccobaldo2021</t>
  </si>
  <si>
    <t>Photoshop, Alias con le Subdivision Surfaces, Blender, KeyShot e V Red</t>
  </si>
  <si>
    <t>SR1453294</t>
  </si>
  <si>
    <t>Errico Piccarini Samuele IG/D-2 NUOVO ASSUNTO</t>
  </si>
  <si>
    <t>Skylinegodzilla2021</t>
  </si>
  <si>
    <t>SR1453225</t>
  </si>
  <si>
    <t>La Via Giorgio IG/EE</t>
  </si>
  <si>
    <t>ITDGTOL00070985</t>
  </si>
  <si>
    <t>Isthatasupra2021</t>
  </si>
  <si>
    <t>Idex - Odis - CpTool - Canoe con driver - Canape</t>
  </si>
  <si>
    <t>SR1453359</t>
  </si>
  <si>
    <t>Mazzone Giovanni</t>
  </si>
  <si>
    <t>Giorgiochiellini2021</t>
  </si>
  <si>
    <t>Catia, Ldorado, Connect</t>
  </si>
  <si>
    <t>SR1453307</t>
  </si>
  <si>
    <t>Sgarbi Marcello IG/EE-3  -  NUOVA ASSUNZIONE</t>
  </si>
  <si>
    <t>ITDGTOL00070699</t>
  </si>
  <si>
    <t>Charlescollet2021</t>
  </si>
  <si>
    <t>Canoe 10/12, Python 3.7, VisualStudioCode, PyCharm, OptoLyzer, Git, Winscp</t>
  </si>
  <si>
    <t>SR1453365</t>
  </si>
  <si>
    <t>Santeramo Giovanni</t>
  </si>
  <si>
    <t>ITDGTOL00070688</t>
  </si>
  <si>
    <t>Idbridge688</t>
  </si>
  <si>
    <t>Idex, Odis, Cp-Tool, Canoe, VisualStudioCode</t>
  </si>
  <si>
    <t>SR1454640</t>
  </si>
  <si>
    <t>Casu Antonio IG/G</t>
  </si>
  <si>
    <t>ELITEBOOK X360 G8</t>
  </si>
  <si>
    <t>ITDGTOL00071189</t>
  </si>
  <si>
    <t>Hopeness2022</t>
  </si>
  <si>
    <t>SR1454739</t>
  </si>
  <si>
    <t>Brucoli Antonio IG/EI33 - NUOVA ASSUNZIONE</t>
  </si>
  <si>
    <t>ITDGTOL00070982</t>
  </si>
  <si>
    <t>Travipasrana2022</t>
  </si>
  <si>
    <t>Catia, Connect</t>
  </si>
  <si>
    <t>SR1454724</t>
  </si>
  <si>
    <t>Ferrini Vito IG/EI-32  -  NUOVA ASSUNZIONE</t>
  </si>
  <si>
    <t>ITDGTOL00070981</t>
  </si>
  <si>
    <t>Mauriziocostanzo2022</t>
  </si>
  <si>
    <t>SR1454701</t>
  </si>
  <si>
    <t>Carnazzo Angelo IG/EE-2 - NUOVA ASSUNZIONE</t>
  </si>
  <si>
    <t>ITDGTOL00070714</t>
  </si>
  <si>
    <t>Benitochupito2022</t>
  </si>
  <si>
    <t>SR1453371</t>
  </si>
  <si>
    <t>Boccardi Silvia IG/EG - rinomina</t>
  </si>
  <si>
    <t>ITDGTOL00070706</t>
  </si>
  <si>
    <t>Idbridge706</t>
  </si>
  <si>
    <t>SR1454718</t>
  </si>
  <si>
    <t>Conca Lorenzo IG/EE-2 - NUOVA ASSUNZIONE</t>
  </si>
  <si>
    <t>ITDGTOL00070725</t>
  </si>
  <si>
    <t>Grantorino2022</t>
  </si>
  <si>
    <t>SR1454674</t>
  </si>
  <si>
    <t xml:space="preserve"> CLAPIER FABIO  IG/P-71 - NUOVA ASSUNZIONE</t>
  </si>
  <si>
    <t>ITDGTOL00070705</t>
  </si>
  <si>
    <t>Forzanapoli2022</t>
  </si>
  <si>
    <t>kister </t>
  </si>
  <si>
    <t>SR1459351</t>
  </si>
  <si>
    <t xml:space="preserve"> MADRIZ CLARAMUNT FEDERICO – IG/EE  -  NUOVA ASSUNZIONE</t>
  </si>
  <si>
    <t>Internalnewpc70697</t>
  </si>
  <si>
    <t>17.01 Ingo</t>
  </si>
  <si>
    <t>SR1459494</t>
  </si>
  <si>
    <t>FERRARIS RACHELE  IG/D-3 - STAGE</t>
  </si>
  <si>
    <t>ITDGTOL00070550</t>
  </si>
  <si>
    <t>RealPSW70550</t>
  </si>
  <si>
    <t>photoshop, illustrator, Xd, After effect, premiere, media encoder, indesign</t>
  </si>
  <si>
    <t>SR1459258</t>
  </si>
  <si>
    <t>SZATKOWSKA MARTA – IG/EE - NUOVA ASSUNTA</t>
  </si>
  <si>
    <t>ITDGTOL00070977</t>
  </si>
  <si>
    <t>Internalnewpc70977</t>
  </si>
  <si>
    <t>01-Feb INGOLSTADT</t>
  </si>
  <si>
    <t>Canape</t>
  </si>
  <si>
    <t>SR1459264</t>
  </si>
  <si>
    <t>VOLGMANN PHILIPP – IG/EE-3 - NUOVO ASSUNTO</t>
  </si>
  <si>
    <t>ITDGTOL00070980</t>
  </si>
  <si>
    <t>Internalnewpc70980</t>
  </si>
  <si>
    <t>01-Feb Wolfsburg</t>
  </si>
  <si>
    <t>Nonostante i solleciti, Costarella non ci ha mai comunicato i sw necessari</t>
  </si>
  <si>
    <t>SR1430142</t>
  </si>
  <si>
    <t>Maiorana Nicolò IG/ER-4 - RINOMINA</t>
  </si>
  <si>
    <t>ITDGTOL00070767</t>
  </si>
  <si>
    <t>Leggilapsw767</t>
  </si>
  <si>
    <t>Catia, Hypermesh, Animator, Generator, Kisters</t>
  </si>
  <si>
    <t>SR1480445</t>
  </si>
  <si>
    <t>Di Girolamo Angelo IG/ER-21 - NUOVA ASSUNZIONE</t>
  </si>
  <si>
    <t>ITDGTOL00070974</t>
  </si>
  <si>
    <t>Cirillum70794</t>
  </si>
  <si>
    <t>SR1472258</t>
  </si>
  <si>
    <t>Brignolo Simonetta IG/D-3 - RINOMNA</t>
  </si>
  <si>
    <t>ITDGTOL00070983</t>
  </si>
  <si>
    <t>Cralicicus983</t>
  </si>
  <si>
    <t>SR1459252</t>
  </si>
  <si>
    <t>Menarbin Alessio IG/EE - NUOVO ASSUNTO</t>
  </si>
  <si>
    <t>Internalnewpc70691</t>
  </si>
  <si>
    <t>SR1472165</t>
  </si>
  <si>
    <t>Pedicini Francesco Maria STAGE</t>
  </si>
  <si>
    <t>Surface - Icem</t>
  </si>
  <si>
    <t>SR1487944</t>
  </si>
  <si>
    <t>Balsamo Ciro IG/EE - STAGE</t>
  </si>
  <si>
    <t>SR1472228</t>
  </si>
  <si>
    <t>Pumilia Alessandro IG/P-10 - NUOVO ASSUNTO</t>
  </si>
  <si>
    <t>ITDGTOL00070704</t>
  </si>
  <si>
    <t>Crucius704</t>
  </si>
  <si>
    <t>SR1487994</t>
  </si>
  <si>
    <t>MIRMOHAMMAD SADEGHI Seyed Hamid   IG/EE-4</t>
  </si>
  <si>
    <t>ITDGTOL00070975</t>
  </si>
  <si>
    <t>Cantrillo975</t>
  </si>
  <si>
    <t>Mazzone, Giovanni (IG/ER-7)</t>
  </si>
  <si>
    <t>SR1499310</t>
  </si>
  <si>
    <t>Fassio Chiara (restituisce -	ITDGTOL00068441)</t>
  </si>
  <si>
    <t>Corellino206</t>
  </si>
  <si>
    <t>11/02/2022 h 11:00</t>
  </si>
  <si>
    <t>Citrix Receiver, Plugin per ERP +</t>
  </si>
  <si>
    <t>SR1493245</t>
  </si>
  <si>
    <t>Di Mauro Alessandro IG/ER-22  NUOVO DIPENDENTE</t>
  </si>
  <si>
    <t>ITDGTOL00070766</t>
  </si>
  <si>
    <t>Cristis766</t>
  </si>
  <si>
    <t>Catia</t>
  </si>
  <si>
    <t>SR1496981</t>
  </si>
  <si>
    <t>Boschi Anna IG/EE NUOVA DIPENDENTE</t>
  </si>
  <si>
    <t>SoloLavorare62</t>
  </si>
  <si>
    <t>python versione 3.7 + visual code + compilatore c++</t>
  </si>
  <si>
    <t>SR1472252</t>
  </si>
  <si>
    <t>Causo Corrado IG/EI-34</t>
  </si>
  <si>
    <t>ITDGTOL00070976</t>
  </si>
  <si>
    <t>Cralicicus976</t>
  </si>
  <si>
    <t>SR1493259</t>
  </si>
  <si>
    <t>Vangieri Damiano IG/ER-23 - STAGE</t>
  </si>
  <si>
    <t>SR1480463</t>
  </si>
  <si>
    <t>Andrea Manzi IG/B-2 - INTERINALE</t>
  </si>
  <si>
    <t>Think-Cell autorizzato da Lombardi</t>
  </si>
  <si>
    <t>SR1497342</t>
  </si>
  <si>
    <t>Sabatini Federico (restituisce ITDGTOL00065805)</t>
  </si>
  <si>
    <t>ITDGTOL00071204</t>
  </si>
  <si>
    <t>Corellino204</t>
  </si>
  <si>
    <t>15/02/2022 h 10:00</t>
  </si>
  <si>
    <t xml:space="preserve">MS Project, think-cell, Webex  </t>
  </si>
  <si>
    <t>SR1497350</t>
  </si>
  <si>
    <t>Caruso Carmela (restituisce ITDGTOL00065781)</t>
  </si>
  <si>
    <t>ITDGTOL00071205</t>
  </si>
  <si>
    <t>Corellino205</t>
  </si>
  <si>
    <t>CITRIX</t>
  </si>
  <si>
    <t>SR1500150</t>
  </si>
  <si>
    <t>Jacomassi Everton Luiz Tomelin (restituisce ITDGTOL00064583)</t>
  </si>
  <si>
    <t>Turturrillo207</t>
  </si>
  <si>
    <t>16/02/2022 h11:00</t>
  </si>
  <si>
    <t>SR1503548</t>
  </si>
  <si>
    <t>Al Alaoui, Lala Asmaa (restituisce ITDGTOL00065801)</t>
  </si>
  <si>
    <t>ITDGTOL00071208</t>
  </si>
  <si>
    <t>Starello208</t>
  </si>
  <si>
    <t>16/02/2022 h 11:30</t>
  </si>
  <si>
    <t>No Software specifici</t>
  </si>
  <si>
    <t>SR1503551</t>
  </si>
  <si>
    <t>Bolognesi Roberto (restituisce ITDGTOL00065811)</t>
  </si>
  <si>
    <t>ITDGTOL00071209</t>
  </si>
  <si>
    <t>Starello209</t>
  </si>
  <si>
    <t>17/02/2022 h 11:15</t>
  </si>
  <si>
    <t>SR1503554</t>
  </si>
  <si>
    <t>Dannunzio Alberto (restituisce -	ITDGTOL00064692)</t>
  </si>
  <si>
    <t>ITDGTOL00071210</t>
  </si>
  <si>
    <t>Starello210</t>
  </si>
  <si>
    <t>17/02/2022 h 10:30</t>
  </si>
  <si>
    <t>SR1506555</t>
  </si>
  <si>
    <t>Gamba Riccardo (-	ITDGTOL00068427)</t>
  </si>
  <si>
    <t>Coledrin212</t>
  </si>
  <si>
    <t>18/02/2022 h 10:00</t>
  </si>
  <si>
    <t>SR1503557</t>
  </si>
  <si>
    <t>Vignola Carlo (restituisce ITDGTOL00065111)</t>
  </si>
  <si>
    <t>ITDGTOL00071211</t>
  </si>
  <si>
    <t>Starello211</t>
  </si>
  <si>
    <t>18/02/2022 h 14:30</t>
  </si>
  <si>
    <t xml:space="preserve">AVON
MS Project
</t>
  </si>
  <si>
    <t>SR1506558</t>
  </si>
  <si>
    <t>Procopio Alberto (restituisce ITDGTOL00065782)</t>
  </si>
  <si>
    <t>Coledrin213</t>
  </si>
  <si>
    <t>21/02/2022 h14:30</t>
  </si>
  <si>
    <t>SR1506561</t>
  </si>
  <si>
    <t>Tanzi Paolo (restituisce ITDGTOL00065108)</t>
  </si>
  <si>
    <t>ITDGTOL00071214</t>
  </si>
  <si>
    <t>Coledrin214</t>
  </si>
  <si>
    <t>22/02/2022 h 9:00</t>
  </si>
  <si>
    <t>SR1506564</t>
  </si>
  <si>
    <t>Bono Barbara (restituisce ITDGTOL00065032)</t>
  </si>
  <si>
    <t>ITDGTOL00071215</t>
  </si>
  <si>
    <t>Coledrin215</t>
  </si>
  <si>
    <t>22/02/2022 h 10:00</t>
  </si>
  <si>
    <t xml:space="preserve">o	LDorado
o	Tevon
o	Avon
o	LiOn
o	Kisters 3DViewStation
</t>
  </si>
  <si>
    <t>SR1511347</t>
  </si>
  <si>
    <t>Zecchino vincenzo (restituisce -	ITDGTOL00068426)</t>
  </si>
  <si>
    <t>ITDGTOL00071216</t>
  </si>
  <si>
    <t>Padellino216</t>
  </si>
  <si>
    <t>23/02/2022 h 14:30</t>
  </si>
  <si>
    <t>SR1511350</t>
  </si>
  <si>
    <t>Gili Marco (restituisce ITDGTOL00065102)</t>
  </si>
  <si>
    <t>ITDGTOL00071217</t>
  </si>
  <si>
    <t>Padellino217</t>
  </si>
  <si>
    <t>23/02/2022 h 11:00</t>
  </si>
  <si>
    <t xml:space="preserve">
-	Kisters visualizzatore
-	Siemens Product cost manager
-	Siemens NX
</t>
  </si>
  <si>
    <t>SR1511365</t>
  </si>
  <si>
    <t>Simonetti Daniel (restituisce ITDGTOL00065799)</t>
  </si>
  <si>
    <t>ITDGTOL00071220</t>
  </si>
  <si>
    <t>Prereunion220</t>
  </si>
  <si>
    <t>25/02/2022  h 9:30</t>
  </si>
  <si>
    <t>SAP Logon 739</t>
  </si>
  <si>
    <t>SR1511359</t>
  </si>
  <si>
    <t>La Rovere Matteo(restituisce ITDGTOL00065101)</t>
  </si>
  <si>
    <t>ITDGTOL00071218</t>
  </si>
  <si>
    <t>Prereunion218</t>
  </si>
  <si>
    <t>25/02/2022 h 11:30</t>
  </si>
  <si>
    <t>SR1513974</t>
  </si>
  <si>
    <t>Mogavero Alfredo IG/EE-3 NUOVO ASSUNTO</t>
  </si>
  <si>
    <t>ITDGTOL00071222</t>
  </si>
  <si>
    <t>NewLayer222</t>
  </si>
  <si>
    <t>SR1514002</t>
  </si>
  <si>
    <t>D'Orazio Francesco IG/ER-3 - NUOVA ASSUNZIONE</t>
  </si>
  <si>
    <t>Banana20213</t>
  </si>
  <si>
    <t>SR1514891</t>
  </si>
  <si>
    <t>Petruzzella Vito IG/ER-23 - NUOVA ASSUNZIONE</t>
  </si>
  <si>
    <t>SR1514897</t>
  </si>
  <si>
    <t>Mari Gianluca IG/EE - NUOVA ASSUNZIONE</t>
  </si>
  <si>
    <t>Canape15-19; Canoe 10-14-15; Idex; Cptool</t>
  </si>
  <si>
    <t>SR1516451</t>
  </si>
  <si>
    <t>Farolfi Francesca IG/EE - NUOVA ASSUNZIONE</t>
  </si>
  <si>
    <t>ITDGTOL00069786</t>
  </si>
  <si>
    <t>SR1516469</t>
  </si>
  <si>
    <t>Leone Nicola IG/EI-1 - NUOVA ASSUNZIONE</t>
  </si>
  <si>
    <t>ITDGTOL00069824</t>
  </si>
  <si>
    <t>Catia - Connect - Vviewer</t>
  </si>
  <si>
    <t>SR1513861</t>
  </si>
  <si>
    <t>Testa Edoardo IG/EE-3 - STAGISTA</t>
  </si>
  <si>
    <t>ITDGTOL00068441</t>
  </si>
  <si>
    <t>No sw</t>
  </si>
  <si>
    <t>SR1513864</t>
  </si>
  <si>
    <t>Vottero Viutrella Matteo IG/EE-2 - STAGISTA</t>
  </si>
  <si>
    <t>ITDGTOL00069860</t>
  </si>
  <si>
    <t>SR1513867</t>
  </si>
  <si>
    <t>Foerg Michael IG/S-3 - STAGISTA</t>
  </si>
  <si>
    <t>SR1511362</t>
  </si>
  <si>
    <t>Monni Roberto (restituisce -	ITDGTOL00068421)</t>
  </si>
  <si>
    <t>Prereunion219</t>
  </si>
  <si>
    <t>01/03/2022  h 11:00</t>
  </si>
  <si>
    <t>SR1513971</t>
  </si>
  <si>
    <t>VOGEL MARTIN IG/EE - NUOVO ASSUNTO - INGOLSTADT</t>
  </si>
  <si>
    <t>ITDGTOL00071221</t>
  </si>
  <si>
    <t>NewLayer221</t>
  </si>
  <si>
    <t>SR1526053</t>
  </si>
  <si>
    <t>Diana Vittorio IG/ER-3</t>
  </si>
  <si>
    <t>Catia-Connect</t>
  </si>
  <si>
    <t>SR1526761</t>
  </si>
  <si>
    <t>Mantoni Sofia IG/S-3 - STAGE</t>
  </si>
  <si>
    <t>SR1526056</t>
  </si>
  <si>
    <t>ŠVEC RICHARD IG/D-2 - STAGE</t>
  </si>
  <si>
    <t>Surface, Blender, Cintiq</t>
  </si>
  <si>
    <t>SR1537221</t>
  </si>
  <si>
    <t>TEMPLER BENEDIKT – IG/EE - INGOLSTADT</t>
  </si>
  <si>
    <t>Zbook 15</t>
  </si>
  <si>
    <t>ITDGTOL00069732</t>
  </si>
  <si>
    <t>Idex-CpTool-System41</t>
  </si>
  <si>
    <t>SR1530082</t>
  </si>
  <si>
    <t>Abbamonte Matteo IG/EE-3 - STAGE</t>
  </si>
  <si>
    <t>Python, PyCharm, Driver FTDI</t>
  </si>
  <si>
    <t>SR1543090</t>
  </si>
  <si>
    <t>Tonini Pierluigi</t>
  </si>
  <si>
    <t>Modulo MDG (3D Experience)</t>
  </si>
  <si>
    <t>SR1545498</t>
  </si>
  <si>
    <t>Jozzo, Luca Riccardo (IG/S-3) - ITDGTOL00071193</t>
  </si>
  <si>
    <t>BossTime223</t>
  </si>
  <si>
    <t>SR1550418</t>
  </si>
  <si>
    <t>Spinelli, Rosa Maria (IG/B-2) - ITDGTOL00068386</t>
  </si>
  <si>
    <t>ITDGTOL00071227</t>
  </si>
  <si>
    <t>Masterpass227</t>
  </si>
  <si>
    <t>30/03/2022 h 13:30</t>
  </si>
  <si>
    <t xml:space="preserve">Think-Cell - Kisters
</t>
  </si>
  <si>
    <t>SR1550412</t>
  </si>
  <si>
    <t>Stefani Alice IG/Q - NUOVA ASSUNZIONE 01 APR</t>
  </si>
  <si>
    <t>ITDGTOL00071225</t>
  </si>
  <si>
    <t>Masterpass225</t>
  </si>
  <si>
    <t>Visio</t>
  </si>
  <si>
    <t>SR1550415</t>
  </si>
  <si>
    <t>Valentini Luca IG/EE-2 - NUOVA ASSUNZIONE 01 APR</t>
  </si>
  <si>
    <t>ITDGTOL00071226</t>
  </si>
  <si>
    <t>Masterpass226</t>
  </si>
  <si>
    <t>NO SW</t>
  </si>
  <si>
    <t>SR1552212</t>
  </si>
  <si>
    <t>Paolo Capone IG/EE-4 - NUOVA ASSUNZIONE 01 APR</t>
  </si>
  <si>
    <t>Cax72241</t>
  </si>
  <si>
    <t>SR1552215</t>
  </si>
  <si>
    <t>Marchesani Tommaso (IG/EE-3)</t>
  </si>
  <si>
    <t>ITDGTOL00072242</t>
  </si>
  <si>
    <t>Cax72242</t>
  </si>
  <si>
    <t>JetBrains-Notepad++-SourceTree-Git-Gimp</t>
  </si>
  <si>
    <t>SR1552209</t>
  </si>
  <si>
    <t>CHAWDA Kashyap – IG/ER-3 -NUOVO ASSUNTO IDD</t>
  </si>
  <si>
    <t>ITDGTOL00072240</t>
  </si>
  <si>
    <t>Cax72240</t>
  </si>
  <si>
    <t>Connect-Catia</t>
  </si>
  <si>
    <t>SR1550406</t>
  </si>
  <si>
    <t>GILGENRAINER MARTIN (FSE) IG/EI-33 - NUOVA ASSUNZIONE 01 APR</t>
  </si>
  <si>
    <t>ITDGTOL00071224</t>
  </si>
  <si>
    <t>Masterpass224</t>
  </si>
  <si>
    <t>SR1555317</t>
  </si>
  <si>
    <t xml:space="preserve"> FABIANO FRANCESCA LUCIA MARGHERITA IG/EG - STAGISTA</t>
  </si>
  <si>
    <t>ITDGTOL00070940</t>
  </si>
  <si>
    <t>TheWait940</t>
  </si>
  <si>
    <t>SR1557042</t>
  </si>
  <si>
    <t>Nulchis, Annarita (IG/V) - ITDGTOL00068428</t>
  </si>
  <si>
    <t>ITDGTOL00071228</t>
  </si>
  <si>
    <t>Intranet228</t>
  </si>
  <si>
    <t>SR1555249</t>
  </si>
  <si>
    <t>Burelli, Cristian (IG/EI-32) - ITDGTOL00068256</t>
  </si>
  <si>
    <t>ITDGTOL00072244</t>
  </si>
  <si>
    <t>UnderTrust244</t>
  </si>
  <si>
    <t>05 apr h 11:00</t>
  </si>
  <si>
    <t>Catia-Connect-Tastiera</t>
  </si>
  <si>
    <t>SR1555255</t>
  </si>
  <si>
    <t>Crepaldi, Andrea (IG/EE-3) - ITDGTOL00068921 - Serve pc CAD</t>
  </si>
  <si>
    <t>ITDGTOL00072246</t>
  </si>
  <si>
    <t>UnderTrust246</t>
  </si>
  <si>
    <t>05 apr h 10:30</t>
  </si>
  <si>
    <t>Catia-Connect-Avon-ThinkCell-Kisters-Citrix</t>
  </si>
  <si>
    <t>SR1555252</t>
  </si>
  <si>
    <t>Redi Massimo IG/EI-1 - ITDGTOL00068221</t>
  </si>
  <si>
    <t>ITDGTOL00072245</t>
  </si>
  <si>
    <t>UnderTrust245</t>
  </si>
  <si>
    <t>05 apr h 14:30</t>
  </si>
  <si>
    <t>SR1545633</t>
  </si>
  <si>
    <t>Bianco, Davide (IG/ER-7) (ITDGTOL00068920) WebCam guasta</t>
  </si>
  <si>
    <t>ITDGTOL00070634</t>
  </si>
  <si>
    <t>JT2GO, LDorado Design 1.7 Viewer</t>
  </si>
  <si>
    <t>SR1557051</t>
  </si>
  <si>
    <t>Marenghi, Denis (IG/P-83) - ITDGTOL00068236</t>
  </si>
  <si>
    <t>Finelli/Balbi</t>
  </si>
  <si>
    <t>ITDGTOL00072247</t>
  </si>
  <si>
    <t>ClickNet247</t>
  </si>
  <si>
    <t>Spedito Nichelino il 05_04</t>
  </si>
  <si>
    <t>SR1559456</t>
  </si>
  <si>
    <t>Tonini, Pierluigi (IG/ER-22) - ITDGTOL00069190 rit. Volontà</t>
  </si>
  <si>
    <t>ITDGTOL00072248</t>
  </si>
  <si>
    <t>RealTrust248</t>
  </si>
  <si>
    <t>Spedito USA</t>
  </si>
  <si>
    <t>SR1559450</t>
  </si>
  <si>
    <t>Losacco Anna IG/S-2 - INTERINALE</t>
  </si>
  <si>
    <t>Balbi/MARINETTI</t>
  </si>
  <si>
    <t>SR1559462</t>
  </si>
  <si>
    <t>Ceglia, Daniele (IG/ER-N) - ITDGTOL00068242</t>
  </si>
  <si>
    <t>ITDGTOL00072249</t>
  </si>
  <si>
    <t>RealTrust249</t>
  </si>
  <si>
    <t>12 apr h 12:30</t>
  </si>
  <si>
    <t>Connect-Kisters</t>
  </si>
  <si>
    <t>SR1561204</t>
  </si>
  <si>
    <t>Costarella Daniele (IG/EE-3) - ITDGTOL00069287</t>
  </si>
  <si>
    <t>ITDGTOL00072250</t>
  </si>
  <si>
    <t>Calindri250</t>
  </si>
  <si>
    <t>13 apr h 09:00</t>
  </si>
  <si>
    <t>Visio-OneNote</t>
  </si>
  <si>
    <t>SR1568014</t>
  </si>
  <si>
    <t>Innocenti, Florenz (IG/EE-2)</t>
  </si>
  <si>
    <t>ITDGTOL00071230</t>
  </si>
  <si>
    <t>TheFlo230</t>
  </si>
  <si>
    <t>14 apr h 11</t>
  </si>
  <si>
    <t>SR1567290</t>
  </si>
  <si>
    <t>Strangis Luca IG/EI-34  NUOVO ASSUNTO</t>
  </si>
  <si>
    <t>ITDGTOL00071229</t>
  </si>
  <si>
    <t>Precision229</t>
  </si>
  <si>
    <t>Kister - Cuffie USB su richiesta di Franzon</t>
  </si>
  <si>
    <t>SR1567979</t>
  </si>
  <si>
    <t>KARUPPASWAMY NITHYANANDH IG/EG  - NUOVO ASSUNTO</t>
  </si>
  <si>
    <t>ITDGTOL00072252</t>
  </si>
  <si>
    <t>PassPass252</t>
  </si>
  <si>
    <t>SR1567982</t>
  </si>
  <si>
    <t>RIBEIRO MENDEF RODRIGO IG/EE - NUOVO ASSUNTO</t>
  </si>
  <si>
    <t>ITDGTOL00072253</t>
  </si>
  <si>
    <t>PassPass253</t>
  </si>
  <si>
    <t>SR1570536</t>
  </si>
  <si>
    <t>Trizio Marco IG/EE-3 - NUOVO ASSUNTO</t>
  </si>
  <si>
    <t>Ritrizpass254</t>
  </si>
  <si>
    <t>Photoshop-Illustrator-XD-Premier-AfterEffect-MediaEncoder</t>
  </si>
  <si>
    <t>SR1572548</t>
  </si>
  <si>
    <t>Federico Segato IG/S-32 ITDGTOL00069636</t>
  </si>
  <si>
    <t>ITDGTOL00071231</t>
  </si>
  <si>
    <t>Trullo71231</t>
  </si>
  <si>
    <t>SR1573248</t>
  </si>
  <si>
    <t>Morello, Desiree (IG/EE-3) - ITDGTOL00070682</t>
  </si>
  <si>
    <t>ITDGTOL00072255</t>
  </si>
  <si>
    <t>Catriulli72255</t>
  </si>
  <si>
    <t>22 apr h 12:30</t>
  </si>
  <si>
    <t>Adobe Creative Cloud con Adobe Photoshop, Illustrator e XD</t>
  </si>
  <si>
    <t>SR1573254</t>
  </si>
  <si>
    <t>Facente, Fabio (IG/EI-1) - ITDGTOL00068941 - batteria</t>
  </si>
  <si>
    <t>ITDGTOL00072256</t>
  </si>
  <si>
    <t>Catriulli72256</t>
  </si>
  <si>
    <t>28 apr h 08:00</t>
  </si>
  <si>
    <t>CATIA, HyperMesh, Matlab, Connect, Audi WorkBench, Zoom</t>
  </si>
  <si>
    <t>SR1576358</t>
  </si>
  <si>
    <t>Antonioli Andrea IG/EE-2 NUOVO ASSUNTO</t>
  </si>
  <si>
    <t>Remeber71233</t>
  </si>
  <si>
    <t>SR1578583</t>
  </si>
  <si>
    <t>Ambruoso Giovanni IG/EE-2 NUOVO ASSUNTO</t>
  </si>
  <si>
    <t>ITDGTOL00071234</t>
  </si>
  <si>
    <t>Palindro71234</t>
  </si>
  <si>
    <t>SR1579886</t>
  </si>
  <si>
    <t>La Bella Giulio IG/ER-3 NUOVO ASSUNTO</t>
  </si>
  <si>
    <t>ITDGTOL00072257</t>
  </si>
  <si>
    <t>Coretino72257</t>
  </si>
  <si>
    <t>SR1578512</t>
  </si>
  <si>
    <t>Lunardi Alessandra IG/Q STAGE</t>
  </si>
  <si>
    <t>SR1588463</t>
  </si>
  <si>
    <t>Balbinot, Carlo Giuseppe (IG/EB-3) ITDGTOL00068404</t>
  </si>
  <si>
    <t>ITDGTOL00071238</t>
  </si>
  <si>
    <t>Cartiglio71238</t>
  </si>
  <si>
    <t>04/05/2022 h 13:30:00</t>
  </si>
  <si>
    <t>SR1561216</t>
  </si>
  <si>
    <t>Negro, Elena (IG/E) - ITDGTOL00065754 -  flat schermo danneggiato</t>
  </si>
  <si>
    <t>Calindri251</t>
  </si>
  <si>
    <t>4 mag h 09:00</t>
  </si>
  <si>
    <t>Python</t>
  </si>
  <si>
    <t>SR1588864</t>
  </si>
  <si>
    <t>Borrelli, Massimo (IG/EE-2) - ITDGTOL00069139</t>
  </si>
  <si>
    <t>ITDGTOL00070607</t>
  </si>
  <si>
    <t>Odis-Idex-Diagra-CpTool-CheckIT2-System42-Canoe-Canalizer</t>
  </si>
  <si>
    <t>SR1582900</t>
  </si>
  <si>
    <t>Carsten</t>
  </si>
  <si>
    <t>ITDGTOL00071236</t>
  </si>
  <si>
    <t>Pree71236</t>
  </si>
  <si>
    <t>SR1582914</t>
  </si>
  <si>
    <t>Berrino Roberta IGER/-N - NUOVO ASSUNTO</t>
  </si>
  <si>
    <t>ITDGTOL00072258</t>
  </si>
  <si>
    <t>Pree72258</t>
  </si>
  <si>
    <t>Loco-HyperWorks-Connect-Catia-ANSA-META-Animator-Generator-Putty</t>
  </si>
  <si>
    <t>SR1582920</t>
  </si>
  <si>
    <t>Ribero David ER/22 - NUOVO ASSUNTO</t>
  </si>
  <si>
    <t>ITDGTOL00072259</t>
  </si>
  <si>
    <t>Pree72259</t>
  </si>
  <si>
    <t>Catia-Connect-Avon-Tevon-Project</t>
  </si>
  <si>
    <t>SR1576355</t>
  </si>
  <si>
    <t>??? Saracco/Manassero ???</t>
  </si>
  <si>
    <t>ITDGTOL00071232</t>
  </si>
  <si>
    <t>Remeber71232</t>
  </si>
  <si>
    <t>SR1579880</t>
  </si>
  <si>
    <t>Nocco Andrea IG/EE  NUOVO ASSUNTO</t>
  </si>
  <si>
    <t>ITDGTOL00071235</t>
  </si>
  <si>
    <t>Coretino71235</t>
  </si>
  <si>
    <t>SR1588466</t>
  </si>
  <si>
    <t>Gariano, Gian Carlo (IG/P-72) - ITDGTOL00064582</t>
  </si>
  <si>
    <t>ITDGTOL00072260</t>
  </si>
  <si>
    <t>Cartiglio72260</t>
  </si>
  <si>
    <t>Worknc, Catia e Kisters</t>
  </si>
  <si>
    <t>SR1588460</t>
  </si>
  <si>
    <t>Caci Elena IG/GT rinomina NUOVA ASSUNTA</t>
  </si>
  <si>
    <t>ITDGTOL00071237</t>
  </si>
  <si>
    <t>Cartiglio71237</t>
  </si>
  <si>
    <t>SR1588536</t>
  </si>
  <si>
    <t>Garg Apoorv IG/D-2  STAGE</t>
  </si>
  <si>
    <t>Z15</t>
  </si>
  <si>
    <t>ITDGTOL00070530</t>
  </si>
  <si>
    <t>Photoshop - Blender - Alias - Cintiq</t>
  </si>
  <si>
    <t>SR1588515</t>
  </si>
  <si>
    <t>Pedico Letizia IG-Q2  STAGE</t>
  </si>
  <si>
    <t>Schermo - Tastiera - Docking - Mouse</t>
  </si>
  <si>
    <t>SR1597850</t>
  </si>
  <si>
    <t>ANTONICELLI FRANCESCO IG/B-2 - STAGE</t>
  </si>
  <si>
    <t>ITDGTOL00070454</t>
  </si>
  <si>
    <t>Think-Cell</t>
  </si>
  <si>
    <t>SR1597861</t>
  </si>
  <si>
    <t>Parizia Marco IG/GT - NUOVO ASSUNTO</t>
  </si>
  <si>
    <t>ITDGTOL00071239</t>
  </si>
  <si>
    <t>MyTest71239</t>
  </si>
  <si>
    <t>SR1603474</t>
  </si>
  <si>
    <t>Luppo Rosamaria IG/P-71</t>
  </si>
  <si>
    <t>SR1601476</t>
  </si>
  <si>
    <t>Albino, Giovanni (IG/EB-1) - ITDGTOL00068357</t>
  </si>
  <si>
    <t>ITDGTOL00072262</t>
  </si>
  <si>
    <t>FullDay72262</t>
  </si>
  <si>
    <t>16-mag h 08:30</t>
  </si>
  <si>
    <t>SR1611535</t>
  </si>
  <si>
    <t xml:space="preserve"> NEFT Felix Sebastian IG/D-2  -  STAGE</t>
  </si>
  <si>
    <t>Photoshop - Alias - Blender</t>
  </si>
  <si>
    <t>SR1609036</t>
  </si>
  <si>
    <t>Paone</t>
  </si>
  <si>
    <t>Italdesign71241</t>
  </si>
  <si>
    <t>SR1611677</t>
  </si>
  <si>
    <t>Bellonio Vanessa IG/GT  -  NUOVA ASSUNTA</t>
  </si>
  <si>
    <t>ITDGTOL00071242</t>
  </si>
  <si>
    <t>Certificate71242</t>
  </si>
  <si>
    <t>SR1555246</t>
  </si>
  <si>
    <t>Leone, Amedeo Salvatore (IG/EG) - ITDGTOL00064571</t>
  </si>
  <si>
    <t>ITDGTOL00072243</t>
  </si>
  <si>
    <t>UnderTrust243</t>
  </si>
  <si>
    <t>24/05/2022  h 08:30</t>
  </si>
  <si>
    <t>Catia-Bruel&amp;Kjaer</t>
  </si>
  <si>
    <t>SR1609042</t>
  </si>
  <si>
    <t>Dannunzio, Alberto (IG/F-12, extern)</t>
  </si>
  <si>
    <t>ITDGTOL00071240</t>
  </si>
  <si>
    <t>Italdesign71240</t>
  </si>
  <si>
    <t>SR1597867</t>
  </si>
  <si>
    <t>DODDAMANI CHIDAMBAR – IG/EE (ADAS) - NUOVO INGRESSO IDD</t>
  </si>
  <si>
    <t>ITDGTOL00072261</t>
  </si>
  <si>
    <t>MyTest72261</t>
  </si>
  <si>
    <t>Citrix-Git-Cameo</t>
  </si>
  <si>
    <t>SR1615157</t>
  </si>
  <si>
    <t>ALMEIDA DE LIMA Chayron (rinomina) IG/D-3 - NUOVO ASSUNTO</t>
  </si>
  <si>
    <t>ITDGTOL00072263</t>
  </si>
  <si>
    <t>Crilion72263</t>
  </si>
  <si>
    <t>AfterEffect,Photoshop,Illustrator,MediaEncoder,Premier,Xd</t>
  </si>
  <si>
    <t>SR1615154</t>
  </si>
  <si>
    <t>BYNER Daniel (FSE) – IG/EI-1  - NUOVO ASSUNTO</t>
  </si>
  <si>
    <t>ITDGTOL00071243</t>
  </si>
  <si>
    <t>Secret71243</t>
  </si>
  <si>
    <t>SR1616913</t>
  </si>
  <si>
    <t>Becchia Samuele IG/EE-2 - NUOVO ASSUNTO</t>
  </si>
  <si>
    <t>ITDGTOL00071244</t>
  </si>
  <si>
    <t>Turillo71244</t>
  </si>
  <si>
    <t>SR1620235</t>
  </si>
  <si>
    <t>Degaetano Luca IG/EB-1 - STAGE</t>
  </si>
  <si>
    <t>ITDGTOL00069460</t>
  </si>
  <si>
    <t>SR1616922</t>
  </si>
  <si>
    <t>Mesa Diaz IG/ER-25 IDD - NUOVO INGRESSO IDD</t>
  </si>
  <si>
    <t>ITDGTOL00072264</t>
  </si>
  <si>
    <t>Turillo72264</t>
  </si>
  <si>
    <t>SR1630534</t>
  </si>
  <si>
    <t>Marino Piero ITDGTOL00059819</t>
  </si>
  <si>
    <t>SR1630589</t>
  </si>
  <si>
    <t>Lehner Simon IG/EE - INGOLSTADT</t>
  </si>
  <si>
    <t>ITDGTOL00072266</t>
  </si>
  <si>
    <t>NewAmp266</t>
  </si>
  <si>
    <t>Canoe-Canalyzer-Odis-Idex</t>
  </si>
  <si>
    <t>SR1631406</t>
  </si>
  <si>
    <t>Ravinale Angelo (ITDGTOL00065134)</t>
  </si>
  <si>
    <t>EMA</t>
  </si>
  <si>
    <t>ITDGTOL00071516</t>
  </si>
  <si>
    <t>Italdesign2022!!</t>
  </si>
  <si>
    <t>SR1628126</t>
  </si>
  <si>
    <t>Alotto Flavia IG/EB-3</t>
  </si>
  <si>
    <t>ITDGTOL00072265</t>
  </si>
  <si>
    <t>Everybody72265</t>
  </si>
  <si>
    <t>SR1631400</t>
  </si>
  <si>
    <t>Trifilo Francesco (ITDGTOL00069311)</t>
  </si>
  <si>
    <t>Lampedusaestate2022</t>
  </si>
  <si>
    <t>ThinkCell-AVX4-Avon-SAP-Kisters</t>
  </si>
  <si>
    <t>SR1628132</t>
  </si>
  <si>
    <t>PIERANGELINI Alessandro IG/D-3</t>
  </si>
  <si>
    <t>Adobe photoshop, Autodesk  Alias, pacchetto office</t>
  </si>
  <si>
    <t>SR1635280</t>
  </si>
  <si>
    <t>De Marchi Natascia IG/F-1 - NUOVA ASSUNTA</t>
  </si>
  <si>
    <t>ITDGTOL00071247</t>
  </si>
  <si>
    <t>Dolomiti71247</t>
  </si>
  <si>
    <t>Citrix-ThinkCell</t>
  </si>
  <si>
    <t>SR1636680</t>
  </si>
  <si>
    <t>Saltarelli Andrea IG/EE - NUOVO ASSUNTO</t>
  </si>
  <si>
    <t>False72269</t>
  </si>
  <si>
    <t>Canoe-Canalyzer-Citrix</t>
  </si>
  <si>
    <t>SR1633214</t>
  </si>
  <si>
    <t>Heckmeier Christian IG/ER-23 - INGOLSTADT</t>
  </si>
  <si>
    <t>ITDGTOL00071245</t>
  </si>
  <si>
    <t>Calappia245</t>
  </si>
  <si>
    <t>SR1633235</t>
  </si>
  <si>
    <t>Viola Matthias IG/ER-24- INGOLSTADT</t>
  </si>
  <si>
    <t>ITDGTOL00071246</t>
  </si>
  <si>
    <t>Calappia246</t>
  </si>
  <si>
    <t>SR1630592</t>
  </si>
  <si>
    <t>Rech Simon IG/EI-32 - INGOLSTADT</t>
  </si>
  <si>
    <t>ITDGTOL00072267</t>
  </si>
  <si>
    <t>NewAmp267</t>
  </si>
  <si>
    <t>SR1635292</t>
  </si>
  <si>
    <t>Adduci Pierangelo (ITDGTOL00068917)</t>
  </si>
  <si>
    <t>ITDGTOL00071251</t>
  </si>
  <si>
    <t>Dolomiti71251</t>
  </si>
  <si>
    <t>30/06/2022  -  10:30</t>
  </si>
  <si>
    <t>SR1647468</t>
  </si>
  <si>
    <t>Cicchelli Rocco IG/EE-3 - NUOVO ASSUNTO</t>
  </si>
  <si>
    <t>ITDGTOL00071252</t>
  </si>
  <si>
    <t>NoFile71252</t>
  </si>
  <si>
    <t>SR1647471</t>
  </si>
  <si>
    <t>Mariani Ruben Hernan IG/P-62 - NUOVO ASSUNTO</t>
  </si>
  <si>
    <t>ITDGTOL00071517</t>
  </si>
  <si>
    <t>NoFile71517</t>
  </si>
  <si>
    <t>SR1635289</t>
  </si>
  <si>
    <t>Vallario Elvira IG/P-62 - NUOVO ASSUNTO</t>
  </si>
  <si>
    <t>Dolomiti71250</t>
  </si>
  <si>
    <t>SR1642059</t>
  </si>
  <si>
    <t>Francesco Leotta IG/EE - NUOVO ASSUNTO rinomina</t>
  </si>
  <si>
    <t>ITDGTOL00072270</t>
  </si>
  <si>
    <t>Cartinet270</t>
  </si>
  <si>
    <t>Catia-Kisters-ThinkCell-Visio-Gimp</t>
  </si>
  <si>
    <t>SR1642065</t>
  </si>
  <si>
    <t>Baccan Giorgio IG/ER-25 - NUOVO ASSUNTO</t>
  </si>
  <si>
    <t>ITDGTOL00072271</t>
  </si>
  <si>
    <t>SR1647477</t>
  </si>
  <si>
    <t>Reano Andrea IG/ER-21 NUOVO ASSUNTO</t>
  </si>
  <si>
    <t>ITDGTOL00072273</t>
  </si>
  <si>
    <t>NoFile72273</t>
  </si>
  <si>
    <t>SR1652813</t>
  </si>
  <si>
    <t>Camboni Ivan IG/EE - NUOVO ASSUNTO</t>
  </si>
  <si>
    <t>Canalyzer</t>
  </si>
  <si>
    <t>SR1656688</t>
  </si>
  <si>
    <t>Portaccio Luca IG/EI-33  -  NUOVO ASSUNTO</t>
  </si>
  <si>
    <t>ITDGTOL00071518</t>
  </si>
  <si>
    <t>Phone71518</t>
  </si>
  <si>
    <t>Avon-Tevon-Citrix per Catia</t>
  </si>
  <si>
    <t>SR1635286</t>
  </si>
  <si>
    <t>Ogliaro Federico IG/ER-25  -  NUOVO ASSUNTO</t>
  </si>
  <si>
    <t>ITDGTOL00071249</t>
  </si>
  <si>
    <t>Dolomiti71249</t>
  </si>
  <si>
    <t>SR1635283</t>
  </si>
  <si>
    <t>Luca Buono (ITDGTOL00068437) - Cerniera coperchio guasta</t>
  </si>
  <si>
    <t>ITDGTOL00071248</t>
  </si>
  <si>
    <t>Dolomiti71248</t>
  </si>
  <si>
    <t xml:space="preserve">12/07/2022  -  08:30 </t>
  </si>
  <si>
    <t>SR1647474</t>
  </si>
  <si>
    <t>KUSTRIN Dimitri IG/ER-N</t>
  </si>
  <si>
    <t>ITDGTOL00072272</t>
  </si>
  <si>
    <t>NoFile72272</t>
  </si>
  <si>
    <t>Connect-Ansa-Animator-Kisters</t>
  </si>
  <si>
    <t>SR1671034</t>
  </si>
  <si>
    <t>Mosca LuciaIG/EE-4</t>
  </si>
  <si>
    <t>ITDGTOL00070484</t>
  </si>
  <si>
    <t>SR1664741</t>
  </si>
  <si>
    <t>Lo Mastro Mauro IG/EI-34 - NUOVO ASSUNTO</t>
  </si>
  <si>
    <t>ITDGTOL00072276</t>
  </si>
  <si>
    <t>Malbia72276</t>
  </si>
  <si>
    <t>Catia-Connect-Avon</t>
  </si>
  <si>
    <t>SR1664729</t>
  </si>
  <si>
    <t>Verderone Marco IG/EG - NUOVA ASSUNZIONE</t>
  </si>
  <si>
    <t>ITDGTOL00071519</t>
  </si>
  <si>
    <t>Malbia71519</t>
  </si>
  <si>
    <t>SR1664735</t>
  </si>
  <si>
    <t>Grieco Luca IG/EE-4 - NUOVO ASSUNTO</t>
  </si>
  <si>
    <t>Malbia72274</t>
  </si>
  <si>
    <t>SR1673290</t>
  </si>
  <si>
    <t>Sunhilde</t>
  </si>
  <si>
    <t>ITDGTOL00070565</t>
  </si>
  <si>
    <t>Muletto IDD</t>
  </si>
  <si>
    <t>SR1673296</t>
  </si>
  <si>
    <t>SR1673302</t>
  </si>
  <si>
    <t>SR1673308</t>
  </si>
  <si>
    <t>SR1673979</t>
  </si>
  <si>
    <t>Onesti Christian IG/GT (ITDGTOL00069166) Batteria Gonfia</t>
  </si>
  <si>
    <t>SR1664732</t>
  </si>
  <si>
    <t>Gioannini Paola IG/SH-1</t>
  </si>
  <si>
    <t>ITDGTOL00071520</t>
  </si>
  <si>
    <t>Malbia71520</t>
  </si>
  <si>
    <t>SR1664738</t>
  </si>
  <si>
    <t>Cristofaro Alessandro IG/EB-1 - NUOVO ASSUNTO</t>
  </si>
  <si>
    <t>ITDGTOL00072275</t>
  </si>
  <si>
    <t>Malbia72275</t>
  </si>
  <si>
    <t>Catia-Connect (Al 20 lug manca ancora l'utenza)</t>
  </si>
  <si>
    <t>ITDGTOL00071521</t>
  </si>
  <si>
    <t>PEDUSSIA LUIGI (ITDGTOL00071522) - Batteria Gonfia</t>
  </si>
  <si>
    <t>ITDGTOL00071522</t>
  </si>
  <si>
    <t>Canoe-Idex-Odis</t>
  </si>
  <si>
    <t>SR1691029</t>
  </si>
  <si>
    <t>Aleinikov, Artiom (IG/S-3) (ITDGTOL00068408)</t>
  </si>
  <si>
    <t>ITDGTOL00071526</t>
  </si>
  <si>
    <t>Corotretti71256</t>
  </si>
  <si>
    <t>SR1630595</t>
  </si>
  <si>
    <t>Dolso Vittorio IG/EI-34 NUOVO ASSUNTO</t>
  </si>
  <si>
    <t>ITDGTOL00072268</t>
  </si>
  <si>
    <t>NewAmp268</t>
  </si>
  <si>
    <t>Catia-Connect-SoftwareCenter_Completo</t>
  </si>
  <si>
    <t>SR1695402</t>
  </si>
  <si>
    <t>Erik Pilz IG/EE - IDD</t>
  </si>
  <si>
    <t>ThePass527</t>
  </si>
  <si>
    <t>SR1696257</t>
  </si>
  <si>
    <t>AMINGAD Gangadhar IG/EE-3 - IDD</t>
  </si>
  <si>
    <t>ITDGTOL00071528</t>
  </si>
  <si>
    <t>Phils71528</t>
  </si>
  <si>
    <t>SR1700503</t>
  </si>
  <si>
    <t>Pellegrino, Antonio (IG/P-62) (ITDGTOL00068391)</t>
  </si>
  <si>
    <t>SR1691017</t>
  </si>
  <si>
    <t>Ferrara Michele IG/EE-4</t>
  </si>
  <si>
    <t>ITDGTOL00071524</t>
  </si>
  <si>
    <t>Corotretti71254</t>
  </si>
  <si>
    <t>SR1664744</t>
  </si>
  <si>
    <t>Friedrich Christian FSE - IG/EE</t>
  </si>
  <si>
    <t>ITDGTOL00072277</t>
  </si>
  <si>
    <t>Malbia72277</t>
  </si>
  <si>
    <t>SR1691023</t>
  </si>
  <si>
    <t>CARBONI BUENO Marcos IG/EE</t>
  </si>
  <si>
    <t>ITDGTOL00071525</t>
  </si>
  <si>
    <t>Corotretti71255</t>
  </si>
  <si>
    <t>SR1695390</t>
  </si>
  <si>
    <t>Candita Giovanni IG/ER-4</t>
  </si>
  <si>
    <t>ITDGTOL00071391</t>
  </si>
  <si>
    <t>ThePass391</t>
  </si>
  <si>
    <t>MatLab - AldoVito</t>
  </si>
  <si>
    <t>SR1691002</t>
  </si>
  <si>
    <t>Russo, Teresa (IG/EG)</t>
  </si>
  <si>
    <t>ITDGTOL00071523</t>
  </si>
  <si>
    <t>Corotretti71253</t>
  </si>
  <si>
    <t>SR1700945</t>
  </si>
  <si>
    <t>Boschi Anna - batteria non funziona - disponibile dal primo settembre</t>
  </si>
  <si>
    <t>ITDGTOL00071368</t>
  </si>
  <si>
    <t>ClearNet368</t>
  </si>
  <si>
    <t>Python 3.7, Pycharm, Visual Studio Code, Arduino, Intel Realsense Viewer</t>
  </si>
  <si>
    <t>SR1699375</t>
  </si>
  <si>
    <t xml:space="preserve"> GOLKS Simon Noah IG/EE-3 - STAGE</t>
  </si>
  <si>
    <t>Illustrator-Photoshop-XD-AfterEffect</t>
  </si>
  <si>
    <t>SR1699415</t>
  </si>
  <si>
    <t>Prota Lorenzo IG/P-72</t>
  </si>
  <si>
    <t>ITDGTOL00071358</t>
  </si>
  <si>
    <t>Mbappe358</t>
  </si>
  <si>
    <t>Catia-WORKNC</t>
  </si>
  <si>
    <t>SR1697724</t>
  </si>
  <si>
    <t>Pizzutto Gualtiero IG/GT</t>
  </si>
  <si>
    <t>ITDGTOL00071529</t>
  </si>
  <si>
    <t>Malche71529</t>
  </si>
  <si>
    <t>SR1699387</t>
  </si>
  <si>
    <t>ETTORRE Marco IG/D-3 - STAGE</t>
  </si>
  <si>
    <t>Cintiq-Photoshop-Surface-Blender</t>
  </si>
  <si>
    <t>SR1700961</t>
  </si>
  <si>
    <t>Frazzetto, Gian Vito (IG/ER-22) - USB port dx damaged (ITDGTOL00068362)</t>
  </si>
  <si>
    <t>ITDGTOL00071346</t>
  </si>
  <si>
    <t>Retrus71346</t>
  </si>
  <si>
    <t>SR1708384</t>
  </si>
  <si>
    <t>Aquilino Francesco (ITDGTOL00068395)</t>
  </si>
  <si>
    <t>ITDGTOL00071530</t>
  </si>
  <si>
    <t>Cutrels530</t>
  </si>
  <si>
    <t xml:space="preserve">DiagRA D , ODIS , Idex e LDorado </t>
  </si>
  <si>
    <t>SR1710963</t>
  </si>
  <si>
    <t>HARLAPUR Bhuvan (IG/EE – ADAS) INGOLSTADT</t>
  </si>
  <si>
    <t>ITDGTOL00071356</t>
  </si>
  <si>
    <t>Trello356</t>
  </si>
  <si>
    <t>Citrix-GIT</t>
  </si>
  <si>
    <t>SR1700515</t>
  </si>
  <si>
    <t>Bruzzese, Mirko (IG/ER-3) (ITDGTOL00065144)</t>
  </si>
  <si>
    <t>ITDGTOL00071367</t>
  </si>
  <si>
    <t>ClearNet367</t>
  </si>
  <si>
    <t>CpTool-Odis-Diagra-System42-Idex-IpeMotion</t>
  </si>
  <si>
    <t>SR1708387</t>
  </si>
  <si>
    <t>Arcidiacono Alberto (ITDGTOL00068370)</t>
  </si>
  <si>
    <t>ITDGTOL00071531</t>
  </si>
  <si>
    <t>Cutrels531</t>
  </si>
  <si>
    <t>SR1708904</t>
  </si>
  <si>
    <t>Allegrezza, Davide (IG/P-S) - Problemi alimentazione (ITDGTOL00063878)</t>
  </si>
  <si>
    <t>ITDGTOL00071359</t>
  </si>
  <si>
    <t>Trius359</t>
  </si>
  <si>
    <t>Catia-Kisters</t>
  </si>
  <si>
    <t>SR1714962</t>
  </si>
  <si>
    <t>HENAO MEJIA Juan Manuel – IG/ER-S - WOLFSBURG</t>
  </si>
  <si>
    <t>ITDGTOL00071360</t>
  </si>
  <si>
    <t>Tirillo360</t>
  </si>
  <si>
    <t>Catia-Icem Surf 2022.2.1-Connect</t>
  </si>
  <si>
    <t>SR1714959</t>
  </si>
  <si>
    <t>FERRARESE Virginia (rinomina) – IG/EI-1</t>
  </si>
  <si>
    <t>ITDGTOL00071366</t>
  </si>
  <si>
    <t>Tirillo366</t>
  </si>
  <si>
    <t>SR1708890</t>
  </si>
  <si>
    <t xml:space="preserve"> GIORDANO Fabrizio IG/EG</t>
  </si>
  <si>
    <t>ITDGTOL00071532</t>
  </si>
  <si>
    <t>Cutrels532</t>
  </si>
  <si>
    <t>SR1714965</t>
  </si>
  <si>
    <t xml:space="preserve">ARENA Francesco IG/ER-4 </t>
  </si>
  <si>
    <t>ITDGTOL00071533</t>
  </si>
  <si>
    <t>Tirillo533</t>
  </si>
  <si>
    <t>SR1720785</t>
  </si>
  <si>
    <t>Abbamonte Matteo - ITDGTOL00069432</t>
  </si>
  <si>
    <t>ITDGTOL00071362</t>
  </si>
  <si>
    <t>Tatrico362</t>
  </si>
  <si>
    <t>23 Sett h 08:30</t>
  </si>
  <si>
    <t>VS Code - Android Studio - PyCharm</t>
  </si>
  <si>
    <t>SR1718541</t>
  </si>
  <si>
    <t>Franzoso, Marco (IG/ER-21) - problemi ram ITDGTOL00068238</t>
  </si>
  <si>
    <t>ITDGTOL00071392</t>
  </si>
  <si>
    <t>Cotrinico392</t>
  </si>
  <si>
    <t>SR1714993</t>
  </si>
  <si>
    <t>Castrichella Davide IG/EG</t>
  </si>
  <si>
    <t>ITDGTOL00071534</t>
  </si>
  <si>
    <t>Tirillo534</t>
  </si>
  <si>
    <t>SR1718538</t>
  </si>
  <si>
    <t>Tassi, Gian Marco (IG/EI-1) - tasto ctrl rotto ITDGTOL00068940</t>
  </si>
  <si>
    <t>ITDGTOL00071369</t>
  </si>
  <si>
    <t>Cotrinico369</t>
  </si>
  <si>
    <t>Kisters-Connect-AVX-Idex-Canape</t>
  </si>
  <si>
    <t>SR1731153</t>
  </si>
  <si>
    <t>CONTICELLI Gaspare  IG/D-2</t>
  </si>
  <si>
    <t>Siamomessimale89</t>
  </si>
  <si>
    <t>SR1720779</t>
  </si>
  <si>
    <t>BREM Michael IG/EG</t>
  </si>
  <si>
    <t>Balbi-Nicolosi</t>
  </si>
  <si>
    <t>ITDGTOL00071535</t>
  </si>
  <si>
    <t>Tartrico535</t>
  </si>
  <si>
    <t>SR1730986</t>
  </si>
  <si>
    <t xml:space="preserve">D’ONGHIA Nicola (rinomina) –  IG/ER-N </t>
  </si>
  <si>
    <t>ITDGTOL00071390</t>
  </si>
  <si>
    <t>Barbabietola390</t>
  </si>
  <si>
    <t>SR1738400</t>
  </si>
  <si>
    <t xml:space="preserve"> COSTANTINO Antonio (rinomina) -  IG/ER-N </t>
  </si>
  <si>
    <t>ITDGTOL00071388</t>
  </si>
  <si>
    <t>Crintiq388</t>
  </si>
  <si>
    <t>Ansa-Animator-Connect</t>
  </si>
  <si>
    <t>SR1720782</t>
  </si>
  <si>
    <t>Roncarati Luca (ITDGTOL00059757)</t>
  </si>
  <si>
    <t>ITDGTOL00071536</t>
  </si>
  <si>
    <t>Tartrico536</t>
  </si>
  <si>
    <t>10/10/2022 h 09:30</t>
  </si>
  <si>
    <t>SR1738397</t>
  </si>
  <si>
    <t xml:space="preserve"> DE MARCO Danilo IG/EE</t>
  </si>
  <si>
    <t>ITDGTOL00071383</t>
  </si>
  <si>
    <t>Crintiq383</t>
  </si>
  <si>
    <t>Catia-Connect-LucidShape</t>
  </si>
  <si>
    <t>SR1743123</t>
  </si>
  <si>
    <t>Quesito, Francesco (IG/ER-N) - ITDGTOL00065759</t>
  </si>
  <si>
    <t>ITDGTOL00071363</t>
  </si>
  <si>
    <t>Pranzo363</t>
  </si>
  <si>
    <t>SR1743126</t>
  </si>
  <si>
    <t>SYED Mohsin Ali Naqvi – IG/EE-2 - IDD</t>
  </si>
  <si>
    <t>ITDGTOL00071364</t>
  </si>
  <si>
    <t>Automobile364</t>
  </si>
  <si>
    <t>SR1746128</t>
  </si>
  <si>
    <t>Greco, Francesco (IG/P-82) - ITDGTOL00059101</t>
  </si>
  <si>
    <t>Balbi/Finelli</t>
  </si>
  <si>
    <t>ITDGTOL00069859</t>
  </si>
  <si>
    <t>SR1738394</t>
  </si>
  <si>
    <t>Porta Marta IG/EE-4 (rinomina)</t>
  </si>
  <si>
    <t>ITDGTOL00071538</t>
  </si>
  <si>
    <t>Crintiq538</t>
  </si>
  <si>
    <t>SR1746026</t>
  </si>
  <si>
    <t>Lauriola, Dario (IG/D-2) - ITDGTOL00068939</t>
  </si>
  <si>
    <t>ITDGTOL00071351</t>
  </si>
  <si>
    <t>Tintirello40</t>
  </si>
  <si>
    <t>17/10/2022 h 09:00</t>
  </si>
  <si>
    <t>Surface-Vred-Photoshop-Blender-UnrelEngine</t>
  </si>
  <si>
    <t>SR1748929</t>
  </si>
  <si>
    <t>ESPOSITO Gianpietro – IG/ER-3</t>
  </si>
  <si>
    <t>ITDGTOL00071350</t>
  </si>
  <si>
    <t>Etik71350</t>
  </si>
  <si>
    <t>Kisters-Idex-Canape-AVX-Connect-Avon</t>
  </si>
  <si>
    <t>SR1750212</t>
  </si>
  <si>
    <t>Valsania, Marco (IG/GT) BlueScreen - ITDGTOL00065038</t>
  </si>
  <si>
    <t>ITDGTOL00071361</t>
  </si>
  <si>
    <t>Retika361</t>
  </si>
  <si>
    <t>Vred Pro-PS-AcrobatDC-Surface-Catia-Kisters-Citrix</t>
  </si>
  <si>
    <t>SR1743111</t>
  </si>
  <si>
    <t>Maglione Lamberto (ITDGTOL00068407)</t>
  </si>
  <si>
    <t>ITDGTOL00071539</t>
  </si>
  <si>
    <t>Panino539!</t>
  </si>
  <si>
    <t>19 Ott  h 12:00</t>
  </si>
  <si>
    <t>SR1750224</t>
  </si>
  <si>
    <t>Carbotti, Antonio (IG/ER-21) - ITDGTOL00068804</t>
  </si>
  <si>
    <t>ITDGTOL00071365</t>
  </si>
  <si>
    <t>Retika365</t>
  </si>
  <si>
    <t>SR1755776</t>
  </si>
  <si>
    <t>Fiore, Gian Luca (IG/ER-N) - ITDGTOL00065766</t>
  </si>
  <si>
    <t>ITDGTOL00071347</t>
  </si>
  <si>
    <t>Caristide347</t>
  </si>
  <si>
    <t>MatLab-Connect</t>
  </si>
  <si>
    <t>SR1750479</t>
  </si>
  <si>
    <t>Castellarin, Luca (IG/ER-S) - ITDGTOL00069174</t>
  </si>
  <si>
    <t>ITDGTOL00071357</t>
  </si>
  <si>
    <t>Italdesign71357</t>
  </si>
  <si>
    <t>SR1743120</t>
  </si>
  <si>
    <t>Vaia Maria Pia IG/Q</t>
  </si>
  <si>
    <t>ITDGTOL00071540</t>
  </si>
  <si>
    <t>Coltello540</t>
  </si>
  <si>
    <t>SR1755991</t>
  </si>
  <si>
    <t>Di Lauro Luigi IG/EE-3</t>
  </si>
  <si>
    <t>ITDGTOL00071541</t>
  </si>
  <si>
    <t>Caristide541</t>
  </si>
  <si>
    <t>SR1757305</t>
  </si>
  <si>
    <t>MORELLO Marco – IG/EE</t>
  </si>
  <si>
    <t>ITDGTOL00071542</t>
  </si>
  <si>
    <t>Smart71542</t>
  </si>
  <si>
    <t>SR1755985</t>
  </si>
  <si>
    <t>Corigliano Francesco IG/EI-34</t>
  </si>
  <si>
    <t>ITDGTOL00071353</t>
  </si>
  <si>
    <t>Artemide353</t>
  </si>
  <si>
    <t>SR1755760</t>
  </si>
  <si>
    <t>LAURIA Francesco Giovanni (rinomina) – IG/ER-N</t>
  </si>
  <si>
    <t>ITDGTOL00071354</t>
  </si>
  <si>
    <t>Artemide354</t>
  </si>
  <si>
    <t>Ansa-Animator-Connect-Kisters</t>
  </si>
  <si>
    <t>SR1755766</t>
  </si>
  <si>
    <t xml:space="preserve">SORBO Valeria (rinomina) – IG/ER-N </t>
  </si>
  <si>
    <t>ITDGTOL00071355</t>
  </si>
  <si>
    <t>Artemide355</t>
  </si>
  <si>
    <t>SR1730980 - SR1738421</t>
  </si>
  <si>
    <t>Alagona Gabriele IG/EE</t>
  </si>
  <si>
    <t>ITDGTOL00071393</t>
  </si>
  <si>
    <t>Bicicletta393</t>
  </si>
  <si>
    <t>SR1761003</t>
  </si>
  <si>
    <t xml:space="preserve"> BOCCETTI Paola – IG/D-3 </t>
  </si>
  <si>
    <t>Vred-AI-PS</t>
  </si>
  <si>
    <t>SR1765594</t>
  </si>
  <si>
    <t xml:space="preserve">GENOVALI Simone – IG/ER-23 </t>
  </si>
  <si>
    <t>ITDGTOL00071543</t>
  </si>
  <si>
    <t>Colitrin543</t>
  </si>
  <si>
    <t>SR1765806</t>
  </si>
  <si>
    <t>Carola Federico IG/S-2</t>
  </si>
  <si>
    <t>SR1765609</t>
  </si>
  <si>
    <t>Gonnella Lorenzo IG/EE-2</t>
  </si>
  <si>
    <t>Colitrin544</t>
  </si>
  <si>
    <t>SR1769318</t>
  </si>
  <si>
    <t>Cremato, Claudia (IG/ER-4) - ITDGTOL00068943</t>
  </si>
  <si>
    <t>ITDGTOL00071384</t>
  </si>
  <si>
    <t>Tarsito384</t>
  </si>
  <si>
    <t>Connect-Diadem-Kisters-Vviewer-Avon</t>
  </si>
  <si>
    <t>SR1769321</t>
  </si>
  <si>
    <t>Serafin, Claudio (IG/EI-34)</t>
  </si>
  <si>
    <t>ITDGTOL00071385</t>
  </si>
  <si>
    <t>Tarsito385</t>
  </si>
  <si>
    <t>SR1765585</t>
  </si>
  <si>
    <t>Ricardo Bellezi Caio IG/EI-34</t>
  </si>
  <si>
    <t>ITDGTOL00071348</t>
  </si>
  <si>
    <t>Colitrin348</t>
  </si>
  <si>
    <t>SR1769324</t>
  </si>
  <si>
    <t>Urbino, Pasquale (IG/ER-21) - ITDGTOL00065015</t>
  </si>
  <si>
    <t>Tarsito387</t>
  </si>
  <si>
    <t>SR1765612</t>
  </si>
  <si>
    <t xml:space="preserve">INGOGLIA Marco – IG/EE-3 </t>
  </si>
  <si>
    <t>Balbi/Aringhieri</t>
  </si>
  <si>
    <t>ITDGTOL00071545</t>
  </si>
  <si>
    <t>Colitrin545</t>
  </si>
  <si>
    <t>CpTool-Canoe-Putty</t>
  </si>
  <si>
    <t>SR1771979</t>
  </si>
  <si>
    <t>Limonetti, Pasquale (IG/ER-25) - ITDGTOL00065739</t>
  </si>
  <si>
    <t>ITDGTOL00071386</t>
  </si>
  <si>
    <t>Trittico386</t>
  </si>
  <si>
    <t>Catia-Connect-Kisters-Avon-Citrix</t>
  </si>
  <si>
    <t>SR1765588</t>
  </si>
  <si>
    <t>Potenza Luca IG/ER-3</t>
  </si>
  <si>
    <t>ITDGTOL00071349</t>
  </si>
  <si>
    <t>Colitrin349</t>
  </si>
  <si>
    <t>SR1769309</t>
  </si>
  <si>
    <t>Rossetto, Marco (IG/P-62) - ITDGTOL00068417 (batteria gonfia)</t>
  </si>
  <si>
    <t>ITDGTOL00071546</t>
  </si>
  <si>
    <t>Sitriani546</t>
  </si>
  <si>
    <t>Connect-ElDorado-Kisters-Idex- UTILIZZO VAS</t>
  </si>
  <si>
    <t>Su Xin IG/EE</t>
  </si>
  <si>
    <t>ITDGTOL00070644</t>
  </si>
  <si>
    <t>SR1769315</t>
  </si>
  <si>
    <t>Manfrè Emanuele IG/EE-4</t>
  </si>
  <si>
    <t>ITDGTOL00071547</t>
  </si>
  <si>
    <t>Sitriani547</t>
  </si>
  <si>
    <t>SR1769312</t>
  </si>
  <si>
    <t>Mezzanzanica Niccolò IG/EE-4 (da regolarizzare)</t>
  </si>
  <si>
    <t>ITDGTOL00071548</t>
  </si>
  <si>
    <t>Sitriani548</t>
  </si>
  <si>
    <t>SR1771940</t>
  </si>
  <si>
    <t>Poli Caterina IG/S-32</t>
  </si>
  <si>
    <t>ITDGTOL00071550</t>
  </si>
  <si>
    <t>Quartetto550</t>
  </si>
  <si>
    <t>SR1765591</t>
  </si>
  <si>
    <t>Cavallari Tonino IG/EE</t>
  </si>
  <si>
    <t>ITDGTOL00071352</t>
  </si>
  <si>
    <t>Colitrin352</t>
  </si>
  <si>
    <t>SR1771973</t>
  </si>
  <si>
    <t>Fasiello Federico IG/ER-22</t>
  </si>
  <si>
    <t>Trittico379</t>
  </si>
  <si>
    <t>SR1771934</t>
  </si>
  <si>
    <t>Garau Cristina IG/EE-2</t>
  </si>
  <si>
    <t>ITDGTOL00071549</t>
  </si>
  <si>
    <t>Quartetto549</t>
  </si>
  <si>
    <t>SR1738391</t>
  </si>
  <si>
    <t>Denis Agnelli (RTC Conference)</t>
  </si>
  <si>
    <t>ITDGTOL00071537</t>
  </si>
  <si>
    <t>Crintiq357-537</t>
  </si>
  <si>
    <t>SR1765800</t>
  </si>
  <si>
    <t>Perino Alessandra (IG/ER-4)</t>
  </si>
  <si>
    <t>Kisters-Diadem-Vviewer-Connect</t>
  </si>
  <si>
    <t>SR1771955</t>
  </si>
  <si>
    <t>Munir, Asim (IG/ER-21) - ITDGTOL00068932</t>
  </si>
  <si>
    <t>ITDGTOL00071552</t>
  </si>
  <si>
    <t>Quartetto552</t>
  </si>
  <si>
    <t>SR1771952</t>
  </si>
  <si>
    <t>Pagella, Paolo (IG/GT) BattGonfia</t>
  </si>
  <si>
    <t>ITDGTOL00071551</t>
  </si>
  <si>
    <t>Quartetto551</t>
  </si>
  <si>
    <t>SR1771976</t>
  </si>
  <si>
    <t>Leone Vittorio IG/ER-7</t>
  </si>
  <si>
    <t>ITDGTOL00071382</t>
  </si>
  <si>
    <t>Trittico382</t>
  </si>
  <si>
    <t>Catia-Connect-Ldorado</t>
  </si>
  <si>
    <t>SR1775945</t>
  </si>
  <si>
    <t>Morra, Riccardo (IG/P-10) - ITDGTOL00065937</t>
  </si>
  <si>
    <t>ITDGTOL00071377</t>
  </si>
  <si>
    <t>Cruller377</t>
  </si>
  <si>
    <t>SR1780408</t>
  </si>
  <si>
    <t>Giargia, Livio (IG/D-61) - ITDGTOL00068935 (tasti non funzionanti)</t>
  </si>
  <si>
    <t>Talent375</t>
  </si>
  <si>
    <t>Catia-Surface-Icem-Vred-Connect-Blender</t>
  </si>
  <si>
    <t>SR1782171</t>
  </si>
  <si>
    <t>Car, Giacomo Pietro (IG/EE-2) - ITDGTOL00065137</t>
  </si>
  <si>
    <t>ITDGTOL00071381</t>
  </si>
  <si>
    <t>Italdesign71381</t>
  </si>
  <si>
    <t>SR1782502</t>
  </si>
  <si>
    <t>D’ANDREA Giuseppe – IG/EI-1</t>
  </si>
  <si>
    <t>ITDGTOL00071370</t>
  </si>
  <si>
    <t>Palindri370</t>
  </si>
  <si>
    <t>SR1780413</t>
  </si>
  <si>
    <t>Repetto, Valerio (IG/EB-3) - ITDGTOL00068812</t>
  </si>
  <si>
    <t>ITDGTOL00071380</t>
  </si>
  <si>
    <t>Talent380</t>
  </si>
  <si>
    <t>Catia-Connect-Kisters-Office32-AcrobatPro-Citrix-CatiaComposer-ArbortextIsodraw</t>
  </si>
  <si>
    <t>SR1782490</t>
  </si>
  <si>
    <t>Boaglio, Daniele (IG/S-31) - ITDGTOL00065797</t>
  </si>
  <si>
    <t>ITDGTOL00071554</t>
  </si>
  <si>
    <t>Palindri554</t>
  </si>
  <si>
    <t>SR1775948</t>
  </si>
  <si>
    <t>Speca, Federica (IG/EE) - ITDGTOL00070721</t>
  </si>
  <si>
    <t>ITDGTOL00071378</t>
  </si>
  <si>
    <t>Cruller378</t>
  </si>
  <si>
    <t>Canoe10/15-Canape16/19-Idex-CpTool-Odis-ToolmodificaIP</t>
  </si>
  <si>
    <t>SR1775942</t>
  </si>
  <si>
    <t>Grieco, Matteo (IG/P-83) - ITDGTOL00059763 BattGonfia</t>
  </si>
  <si>
    <t>ITDGTOL00071553</t>
  </si>
  <si>
    <t>Cruller553</t>
  </si>
  <si>
    <t>SR1782496</t>
  </si>
  <si>
    <t>Poggi, Cesare Walter (IG/EE)</t>
  </si>
  <si>
    <t>ITDGTOL00071555</t>
  </si>
  <si>
    <t>Palindri555</t>
  </si>
  <si>
    <t>SR1785179</t>
  </si>
  <si>
    <t xml:space="preserve"> TALMELLI Marta (rinomina) – IG/EE-3 </t>
  </si>
  <si>
    <t>ITDGTOL00071556</t>
  </si>
  <si>
    <t>Colletri556</t>
  </si>
  <si>
    <t>Canoe15-Notepad++-DriverFTDI-Driver Vector</t>
  </si>
  <si>
    <t>SR1785182</t>
  </si>
  <si>
    <t xml:space="preserve"> PUZZOLANTE Nicola (rinomina) – IG/EE-4</t>
  </si>
  <si>
    <t>ITDGTOL00071557</t>
  </si>
  <si>
    <t>Colletri557</t>
  </si>
  <si>
    <t>SR1787889</t>
  </si>
  <si>
    <t>OLIVIERI Lorenzo (rinomina) – IG/EG</t>
  </si>
  <si>
    <t>ITDGTOL00071558</t>
  </si>
  <si>
    <t>Carpediem558</t>
  </si>
  <si>
    <t>SR1792385</t>
  </si>
  <si>
    <t>BILLERO Fabio IG/ER-25</t>
  </si>
  <si>
    <t>ITDGTOL00071562</t>
  </si>
  <si>
    <t>Virtualbug562</t>
  </si>
  <si>
    <t>SR1792394</t>
  </si>
  <si>
    <t>Muriella, Christian (IG/EG) - ITDGTOL00068440 PKI+USB Issue</t>
  </si>
  <si>
    <t>ITDGTOL00071565</t>
  </si>
  <si>
    <t>Virtualbug565</t>
  </si>
  <si>
    <t>SR1792391</t>
  </si>
  <si>
    <t xml:space="preserve">XU Yucheng </t>
  </si>
  <si>
    <t>ITDGTOL00071564</t>
  </si>
  <si>
    <t>Virtualbug564</t>
  </si>
  <si>
    <t>SR1792971</t>
  </si>
  <si>
    <r>
      <t>GUNTAKA Jaya Deep</t>
    </r>
    <r>
      <rPr>
        <i/>
        <sz val="11"/>
        <color rgb="FF00B050"/>
        <rFont val="Prompt Light"/>
      </rPr>
      <t xml:space="preserve"> </t>
    </r>
    <r>
      <rPr>
        <i/>
        <sz val="11"/>
        <color rgb="FF444444"/>
        <rFont val="Prompt Light"/>
      </rPr>
      <t xml:space="preserve"> IG/D-2</t>
    </r>
  </si>
  <si>
    <t>Photoshop-Surface-Blender-Cintiq</t>
  </si>
  <si>
    <t>SR1792388</t>
  </si>
  <si>
    <t xml:space="preserve"> CONTE Emanuele (NUOVO INGRESSO)</t>
  </si>
  <si>
    <t>ITDGTOL00071563</t>
  </si>
  <si>
    <t>Virtualbug563</t>
  </si>
  <si>
    <t>SR1799246</t>
  </si>
  <si>
    <t>Schettino Sonia IG/ER-23</t>
  </si>
  <si>
    <t>NewPass71561</t>
  </si>
  <si>
    <t>SR1791135</t>
  </si>
  <si>
    <t>Siletti Andrea IG/ER-24</t>
  </si>
  <si>
    <t>ITDGTOL00071371</t>
  </si>
  <si>
    <t>SudSoundSystem32</t>
  </si>
  <si>
    <t>Catia-Connect-Kisters-Avon-AVX (FATTO)</t>
  </si>
  <si>
    <t>SR1785185</t>
  </si>
  <si>
    <t>MAKHINOV Pavel–  IG/EE</t>
  </si>
  <si>
    <t>ITDGTOL00071374</t>
  </si>
  <si>
    <t>Colletri374</t>
  </si>
  <si>
    <t>Connect-Avon</t>
  </si>
  <si>
    <t>SR1801401</t>
  </si>
  <si>
    <t>MARTINEZ DURAN Maria del Carmen IG/G-D ITDGTOL00069167</t>
  </si>
  <si>
    <t>ITDGTOL00072457</t>
  </si>
  <si>
    <t>NacNet457</t>
  </si>
  <si>
    <t>SR1801155</t>
  </si>
  <si>
    <t>Damicis, Claudio (IG/P-82) ITDGTOL00069408</t>
  </si>
  <si>
    <t>ITDGTOL00071559</t>
  </si>
  <si>
    <t>NacNet559</t>
  </si>
  <si>
    <t>SR1787892</t>
  </si>
  <si>
    <t>Desbarges, Gregory Andre Marcel (IG/EE)</t>
  </si>
  <si>
    <t>ITDGTOL00071373</t>
  </si>
  <si>
    <t>Carpediem373</t>
  </si>
  <si>
    <t>Da spedire in Germania</t>
  </si>
  <si>
    <t>SR1801158</t>
  </si>
  <si>
    <t xml:space="preserve">Cerini, Paolo (IG/ER-N) ITDGTOL00069164 </t>
  </si>
  <si>
    <t>ITDGTOL00071560</t>
  </si>
  <si>
    <t>NacNet560</t>
  </si>
  <si>
    <t>SR1801404</t>
  </si>
  <si>
    <t xml:space="preserve"> APREA Valentina</t>
  </si>
  <si>
    <t>ITDGTOL00072458</t>
  </si>
  <si>
    <t>NacNet458</t>
  </si>
  <si>
    <t>SR1808288</t>
  </si>
  <si>
    <t>TVAROZEK Martin IG/EG</t>
  </si>
  <si>
    <t>ITDGTOL00072459</t>
  </si>
  <si>
    <t>Trilla59!</t>
  </si>
  <si>
    <t>SR1808291</t>
  </si>
  <si>
    <t>Vannacore Nicolò IG/ER-2E</t>
  </si>
  <si>
    <t>ITDGTOL00072460</t>
  </si>
  <si>
    <t>Trilla60!</t>
  </si>
  <si>
    <t>SR1808294</t>
  </si>
  <si>
    <t>Magazzù Alessia IG/Q-2</t>
  </si>
  <si>
    <t>ITDGTOL00072461</t>
  </si>
  <si>
    <t>Trilla61!</t>
  </si>
  <si>
    <t>SR1813441</t>
  </si>
  <si>
    <t>Cicchi Alberto IG/EE-2</t>
  </si>
  <si>
    <t>ITDGTOL00072463</t>
  </si>
  <si>
    <t>Monitor463</t>
  </si>
  <si>
    <t>SR1813453</t>
  </si>
  <si>
    <t>Sabbadini Anna IG/S-2</t>
  </si>
  <si>
    <t>ITDGTOL00072464</t>
  </si>
  <si>
    <t>Monitor464</t>
  </si>
  <si>
    <t>SR1801149</t>
  </si>
  <si>
    <t>COJUHAR Eugeniu– IG/EE</t>
  </si>
  <si>
    <t>Cutrella372</t>
  </si>
  <si>
    <t>SR1801152</t>
  </si>
  <si>
    <t>Poggio Matteo IG/EI-32</t>
  </si>
  <si>
    <t>Cutrella376</t>
  </si>
  <si>
    <t>SR1812493</t>
  </si>
  <si>
    <t>Nappi Gianmarco IG/ER-3</t>
  </si>
  <si>
    <t>ITDGTOL00072466</t>
  </si>
  <si>
    <t>BuonAnno466</t>
  </si>
  <si>
    <t>Catia-Connect-Avx-Kisters-Think-Cell-MatLab-Pak</t>
  </si>
  <si>
    <t>SR1812496</t>
  </si>
  <si>
    <t>Lomurno Elena IG/ER-4</t>
  </si>
  <si>
    <t>ITDGTOL00072467</t>
  </si>
  <si>
    <t>BuonAnno467</t>
  </si>
  <si>
    <t>Catia-Hypermash-Animator-Generator</t>
  </si>
  <si>
    <t>SR1812499</t>
  </si>
  <si>
    <t>Bergeretti Gregorio IG/ER-4</t>
  </si>
  <si>
    <t>ITDGTOL00072468</t>
  </si>
  <si>
    <t>BuonAnno468</t>
  </si>
  <si>
    <t>Animator-Kisters</t>
  </si>
  <si>
    <t>SR1812979</t>
  </si>
  <si>
    <t>Falsiroli Michele IG/EE</t>
  </si>
  <si>
    <t>ITDGTOL00072470</t>
  </si>
  <si>
    <t>BuonAnno470</t>
  </si>
  <si>
    <t>SR1813110</t>
  </si>
  <si>
    <t>Mangialardi Raffaele Danilo IG/D-1</t>
  </si>
  <si>
    <t>Photoshop-Illustrator-Rhino-Surface-Cintiq</t>
  </si>
  <si>
    <t>SR1812660</t>
  </si>
  <si>
    <t>Valerio Vigna</t>
  </si>
  <si>
    <t>ITDGTOL00072462</t>
  </si>
  <si>
    <t>Tarello462</t>
  </si>
  <si>
    <t>SR1821174</t>
  </si>
  <si>
    <t>Boschi, Anna (IG/EE) - Attesa conferma Saracco</t>
  </si>
  <si>
    <t>ITDGTOL00072477</t>
  </si>
  <si>
    <t>Unix72477</t>
  </si>
  <si>
    <t>UBUNTU</t>
  </si>
  <si>
    <t>SR1821177</t>
  </si>
  <si>
    <t>ITDGTOL00072478</t>
  </si>
  <si>
    <t>Unix72478</t>
  </si>
  <si>
    <t>SR1820591</t>
  </si>
  <si>
    <t>Piechno, Wojciech (IG/ER-S)</t>
  </si>
  <si>
    <t>ITDGTOL00072474</t>
  </si>
  <si>
    <t>Coltre474</t>
  </si>
  <si>
    <t>SR1820588</t>
  </si>
  <si>
    <t>Baldassarre Gabriele IG/EI-1 - ITDGTOL00068241</t>
  </si>
  <si>
    <t>ITDGTOL00072473</t>
  </si>
  <si>
    <t>Coltre473</t>
  </si>
  <si>
    <t>Catia-Connect-Kisters-AVX-GIMP</t>
  </si>
  <si>
    <t>SR1812508</t>
  </si>
  <si>
    <t>Aldo Vito IG/S-31 - ITDGTOL00065758</t>
  </si>
  <si>
    <t>ITDGTOL00072469</t>
  </si>
  <si>
    <t>BuonAnno469</t>
  </si>
  <si>
    <t>SR1820579</t>
  </si>
  <si>
    <t>Racchini Enea IG/ER-2M</t>
  </si>
  <si>
    <t>ITDGTOL00072465</t>
  </si>
  <si>
    <t>Turturello465</t>
  </si>
  <si>
    <t>SR1820582</t>
  </si>
  <si>
    <t>Manzalini Moreno IG/EE</t>
  </si>
  <si>
    <t>ITDGTOL00072471</t>
  </si>
  <si>
    <t>Restart471</t>
  </si>
  <si>
    <t xml:space="preserve">Catia-Connect </t>
  </si>
  <si>
    <t>SR1820585</t>
  </si>
  <si>
    <t>Catalano Luca IG/EI-32</t>
  </si>
  <si>
    <t>ITDGTOL00072472</t>
  </si>
  <si>
    <t>Restart472</t>
  </si>
  <si>
    <t>SR1829163</t>
  </si>
  <si>
    <t>Marranca Giuseppe IG/ER-4</t>
  </si>
  <si>
    <t>ITDGTOL00072475</t>
  </si>
  <si>
    <t>SR1828445</t>
  </si>
  <si>
    <t>Pirone Stefano IG/EE-2</t>
  </si>
  <si>
    <t>ITDGTOL00072420</t>
  </si>
  <si>
    <t>Fratini72420</t>
  </si>
  <si>
    <t>SR1829173</t>
  </si>
  <si>
    <t>KIVUMBI Herman IG/EE-3</t>
  </si>
  <si>
    <t>ITDGTOL00072421</t>
  </si>
  <si>
    <t>Scle72421</t>
  </si>
  <si>
    <t>SR1829176</t>
  </si>
  <si>
    <t>ITDGTOL00072480</t>
  </si>
  <si>
    <t>Scle72480</t>
  </si>
  <si>
    <t>Catia-Matlab</t>
  </si>
  <si>
    <t>SR1830767</t>
  </si>
  <si>
    <t>Kirste, Andreas (IG/ER-S) - ITDGTOC00068599</t>
  </si>
  <si>
    <t>ITDGTOL00072476</t>
  </si>
  <si>
    <t>Piecno476</t>
  </si>
  <si>
    <t>Vred2022.3_2023.3-Maya-AfterEffect-Photoshop-MediaEncoder-Notepad++-Connect-Blender</t>
  </si>
  <si>
    <t>SR1834491</t>
  </si>
  <si>
    <t>ANDERS Matthias IG/S-31 AXIGIN8</t>
  </si>
  <si>
    <t>01/02/2023 INGOLSTADT</t>
  </si>
  <si>
    <t>SR1834817</t>
  </si>
  <si>
    <t>Morello Desiree</t>
  </si>
  <si>
    <t>EliteBook x360 1030 G2</t>
  </si>
  <si>
    <t>SR1834826</t>
  </si>
  <si>
    <t>Federica Scoponi</t>
  </si>
  <si>
    <t>SR1834829</t>
  </si>
  <si>
    <t>ITDGTOL00069861</t>
  </si>
  <si>
    <t>SR1834724</t>
  </si>
  <si>
    <t>CARRETTO Agnese IG/EB-5</t>
  </si>
  <si>
    <t>ITDGTOL00072423</t>
  </si>
  <si>
    <t>Blinckers72423</t>
  </si>
  <si>
    <t>Ti-Synchro</t>
  </si>
  <si>
    <t>SR1834727</t>
  </si>
  <si>
    <t>Racchini Enea IG/ER-2M - Jacolino</t>
  </si>
  <si>
    <t>ITDGTOL00072481</t>
  </si>
  <si>
    <t>Blinckers72481</t>
  </si>
  <si>
    <t>SR1835467</t>
  </si>
  <si>
    <t>Tchouanmo Pavel, Chris Junior (IG/EE-4) - ITDGTOL00069284</t>
  </si>
  <si>
    <t>Recuperato</t>
  </si>
  <si>
    <t>Canalyzer-CpTool-Wireshark-Idex-EXAM</t>
  </si>
  <si>
    <t>SR1834719</t>
  </si>
  <si>
    <t>STELLA Giovanna IG/EE-2</t>
  </si>
  <si>
    <t>ITDGTOL00072422</t>
  </si>
  <si>
    <t>Blinckers72422</t>
  </si>
  <si>
    <t>SR1837690</t>
  </si>
  <si>
    <t>Mastratisi Franco IG/EB-5</t>
  </si>
  <si>
    <t>OneLastDay022</t>
  </si>
  <si>
    <t>Ti-Synchro-Avon</t>
  </si>
  <si>
    <t>SR1845421</t>
  </si>
  <si>
    <t xml:space="preserve"> CATALDI Gabriele (rinomina) – IG/ER-S </t>
  </si>
  <si>
    <t>Catia-Icem</t>
  </si>
  <si>
    <t>SR1834730</t>
  </si>
  <si>
    <t xml:space="preserve">PASCIULLO Davide (rinomina) IG/EI-33 </t>
  </si>
  <si>
    <t>ITDGTOL00072482</t>
  </si>
  <si>
    <t>Blinckers72482</t>
  </si>
  <si>
    <t>SR1847902</t>
  </si>
  <si>
    <t>Martorana, Piero Davide (IG/EE-2) - ITDGTOL00069626</t>
  </si>
  <si>
    <t>Nicolososi</t>
  </si>
  <si>
    <t>ThinkCell-Idex-Odis-CpTool-TE_VBV-System42</t>
  </si>
  <si>
    <t>SR1847201</t>
  </si>
  <si>
    <t>Gandolfo Gregorio IG/D-3</t>
  </si>
  <si>
    <t>Photoshop-Illustrator-InDeisgn-AfterEffect-XD-CintiqDriver</t>
  </si>
  <si>
    <t>SR1847207</t>
  </si>
  <si>
    <t>Tortorelli Arianna IG/V</t>
  </si>
  <si>
    <t>SR1849300</t>
  </si>
  <si>
    <t>Kinzl Thomas IG/EE-5 - ITDGTOL00069295</t>
  </si>
  <si>
    <t>ITDGTOL00072424</t>
  </si>
  <si>
    <t>Lunesgen72424</t>
  </si>
  <si>
    <t>SR1844834</t>
  </si>
  <si>
    <t>MASERA Riccardo (rinomina) – IG/EE</t>
  </si>
  <si>
    <t>Canoe-Canalyzer-iDex-Sys42</t>
  </si>
  <si>
    <t>SR1849804</t>
  </si>
  <si>
    <t>Muriella</t>
  </si>
  <si>
    <t>ITDGTOL00074849</t>
  </si>
  <si>
    <t>Getac74849</t>
  </si>
  <si>
    <t>SR1850748</t>
  </si>
  <si>
    <t>Pc magazzino per nuovi citofoni/cancelli - Batello</t>
  </si>
  <si>
    <t>ITDGTOL00072425</t>
  </si>
  <si>
    <t>Cortiel425</t>
  </si>
  <si>
    <t>Fuori dominio</t>
  </si>
  <si>
    <t>SR1850751</t>
  </si>
  <si>
    <t>Pc mensa Nichelino - Bolognesi</t>
  </si>
  <si>
    <t>ITDGTOL00072426</t>
  </si>
  <si>
    <t>Cortiel426</t>
  </si>
  <si>
    <t>Dinsintallare Office</t>
  </si>
  <si>
    <t>Nuovo reponsabile STILE</t>
  </si>
  <si>
    <t>Installato in Sala 2</t>
  </si>
  <si>
    <t>SR1850763</t>
  </si>
  <si>
    <t>Giuffrida, Andrea (IG/ER-2B) ITDGTOL00065027</t>
  </si>
  <si>
    <t>ITDGTOL00072728</t>
  </si>
  <si>
    <t>Cortiel728</t>
  </si>
  <si>
    <t>SR1859326</t>
  </si>
  <si>
    <t>Marcianè Cate</t>
  </si>
  <si>
    <t>ITDGTOL00072429</t>
  </si>
  <si>
    <t>Castrin429</t>
  </si>
  <si>
    <t>Kisters -Avon</t>
  </si>
  <si>
    <t>SR1859839</t>
  </si>
  <si>
    <t xml:space="preserve"> GARCIA SANCHIS Joaquin – IG/D</t>
  </si>
  <si>
    <t>ITDGTOL00072483</t>
  </si>
  <si>
    <t>Intris483</t>
  </si>
  <si>
    <t>PS-ID-IL_AWPRO-SURF_WACOM</t>
  </si>
  <si>
    <t>SR1859320</t>
  </si>
  <si>
    <t>CIPOLLINI Lorenzo IG/EE-2</t>
  </si>
  <si>
    <t>ITDGTOL00072427</t>
  </si>
  <si>
    <t>Castrin427</t>
  </si>
  <si>
    <t>01/03/2023 Ingolstadt</t>
  </si>
  <si>
    <t>SR1859323</t>
  </si>
  <si>
    <t>BHADRI Koushik Sheshadri IG/EE-2</t>
  </si>
  <si>
    <t>ITDGTOL00072428</t>
  </si>
  <si>
    <t>Castrin428</t>
  </si>
  <si>
    <t>SR1862575</t>
  </si>
  <si>
    <t>ULIANOV Dmitrii – IG/EE-3</t>
  </si>
  <si>
    <t>ITDGTOL00072430</t>
  </si>
  <si>
    <t>Back430</t>
  </si>
  <si>
    <t>06/03/2023 Ingolstadt</t>
  </si>
  <si>
    <t>Canoe 15 - Driver FTDI Level Shifter - No autoswitch + Saracco per BeyondTrust</t>
  </si>
  <si>
    <t>SR1859842</t>
  </si>
  <si>
    <t>MILAN Paola IG/ER-4</t>
  </si>
  <si>
    <t>ITDGTOL00072484</t>
  </si>
  <si>
    <t>Intris484</t>
  </si>
  <si>
    <t>SR1870512</t>
  </si>
  <si>
    <t>Anders, Matthias (IG/S-31)</t>
  </si>
  <si>
    <t>ITDGTOL00072729</t>
  </si>
  <si>
    <t>72729$IDG!</t>
  </si>
  <si>
    <t>Pc a disposizione Ufficio IT ingolstadt</t>
  </si>
  <si>
    <t>SR1850754</t>
  </si>
  <si>
    <t>Marinello, Maurizio (IG/EI-32) ITDGTOL00065016</t>
  </si>
  <si>
    <t>ITDGTOL00072727</t>
  </si>
  <si>
    <t>Cortiel727</t>
  </si>
  <si>
    <t>Vedi mail</t>
  </si>
  <si>
    <t>SR1873364</t>
  </si>
  <si>
    <t>Roncarati, Luca (IG/ER-4)</t>
  </si>
  <si>
    <t>ITDGTOL00072433</t>
  </si>
  <si>
    <t>Fastest433</t>
  </si>
  <si>
    <t>SR1869627</t>
  </si>
  <si>
    <t>Boaglio Daniele IG/S-31</t>
  </si>
  <si>
    <t>Ok*</t>
  </si>
  <si>
    <t>Lo userà per RIP stampante</t>
  </si>
  <si>
    <t>SR1869630</t>
  </si>
  <si>
    <t>Rizzo, Giuseppe (IG/D-2) ITDGTOL00065142</t>
  </si>
  <si>
    <t>SR1882036</t>
  </si>
  <si>
    <t>Iurlaro, Luigi (IG/ER-N) - ITDGTOL00065742</t>
  </si>
  <si>
    <t>ITDGTOL00072736</t>
  </si>
  <si>
    <t>Babionia2023!!</t>
  </si>
  <si>
    <t>Catia-Connect-Kisters</t>
  </si>
  <si>
    <t>SR1876984</t>
  </si>
  <si>
    <t xml:space="preserve"> LA FAUCI Simone (rinomina) – IG/EG</t>
  </si>
  <si>
    <t>ITDGTOL00072434</t>
  </si>
  <si>
    <t>Prist434</t>
  </si>
  <si>
    <t>SR1879342</t>
  </si>
  <si>
    <t>SARDO Simone (rinomina) – IG/EE-5</t>
  </si>
  <si>
    <t>ITDGTOL00072486</t>
  </si>
  <si>
    <t>Prist486</t>
  </si>
  <si>
    <t>Canoe10_15Canape16_19_IDEX_CPTOOL</t>
  </si>
  <si>
    <t>SR1879706</t>
  </si>
  <si>
    <t xml:space="preserve">MATERA Riccardo (rinomina) – IG/D-1 </t>
  </si>
  <si>
    <t>ITDGTOL00072730</t>
  </si>
  <si>
    <t>Crestin730</t>
  </si>
  <si>
    <t>Rhino_Keyshot_Surface_Vred_Photoshop_Premiere_InDesign</t>
  </si>
  <si>
    <t>SR1873361</t>
  </si>
  <si>
    <t>VERKERK Willem Sijbrand (FSE da Audi) – IG/EG</t>
  </si>
  <si>
    <t>ITDGTOL00072432</t>
  </si>
  <si>
    <t>Fastest432</t>
  </si>
  <si>
    <t>SR1880653</t>
  </si>
  <si>
    <t>KOSLOWSKI Sascha – IG/EE-5 </t>
  </si>
  <si>
    <t>ITDGTOL00072731</t>
  </si>
  <si>
    <t>Truller731</t>
  </si>
  <si>
    <t>SR1879363</t>
  </si>
  <si>
    <t>Bertolini Cosimo IG/EE</t>
  </si>
  <si>
    <t>ITDGTOL00072488</t>
  </si>
  <si>
    <t>Prist488</t>
  </si>
  <si>
    <t>Canoe10_11-Canape13_16-Idex-Python-Pycharm-WinSCP_Odis_Notepad++_Diagra_ThinkCell</t>
  </si>
  <si>
    <t>SR1876987</t>
  </si>
  <si>
    <t>PISTONO Kevin (rinomina) – IG/EE-5</t>
  </si>
  <si>
    <t>ITDGTOL00072485</t>
  </si>
  <si>
    <t>Prist485</t>
  </si>
  <si>
    <t>SR1879360</t>
  </si>
  <si>
    <t>Merlo Paolo (rinomina) IG/EI-33</t>
  </si>
  <si>
    <t>ITDGTOL00072487</t>
  </si>
  <si>
    <t>Prist487</t>
  </si>
  <si>
    <t>SR1862578</t>
  </si>
  <si>
    <t>Bertoglio, Elisa (IG/S-2) - ITDGTOL00065787</t>
  </si>
  <si>
    <t>ITDGTOL00072431</t>
  </si>
  <si>
    <t>Back431</t>
  </si>
  <si>
    <t>SR1884083</t>
  </si>
  <si>
    <t>Contardo, Fabio (IG/EI-34) - ITDGTOL00065738</t>
  </si>
  <si>
    <t>ITDGTOL00072737</t>
  </si>
  <si>
    <t>TheTest737</t>
  </si>
  <si>
    <t>SR1884080</t>
  </si>
  <si>
    <t>Testa Edoardo IG/EE-3</t>
  </si>
  <si>
    <t>ITDGTOL00072436</t>
  </si>
  <si>
    <t>TheTest436</t>
  </si>
  <si>
    <t>Idex</t>
  </si>
  <si>
    <t>SR1880682</t>
  </si>
  <si>
    <t>Franzoso, Paolo (IG/ER-2L) ITDGTOL00065136</t>
  </si>
  <si>
    <t>ITDGTOL00072735</t>
  </si>
  <si>
    <t>Truller735</t>
  </si>
  <si>
    <t>SR1894465</t>
  </si>
  <si>
    <t>Belvedere Michele IG/EE-3</t>
  </si>
  <si>
    <t>ITDGTOL00072437</t>
  </si>
  <si>
    <t>Italdesign72437</t>
  </si>
  <si>
    <t>SR1894457</t>
  </si>
  <si>
    <t>Gullo Fabio IG/EE-3</t>
  </si>
  <si>
    <t>ITDGTOL00072438</t>
  </si>
  <si>
    <t>Italdesign72438</t>
  </si>
  <si>
    <t>SR1884077</t>
  </si>
  <si>
    <t>Bolognesi, Roberto (IG/SD) - ITDGTOL00069425</t>
  </si>
  <si>
    <t>ITDGTOL00072435</t>
  </si>
  <si>
    <t>TheTest435</t>
  </si>
  <si>
    <t>Pc Centralino</t>
  </si>
  <si>
    <t>SR1899398</t>
  </si>
  <si>
    <t>Giai Merlera, Davide (IG/ER-4) - ITDGTOL00069406</t>
  </si>
  <si>
    <t>ITDGTOL00072439</t>
  </si>
  <si>
    <t>Pass72439</t>
  </si>
  <si>
    <t>SR1898699</t>
  </si>
  <si>
    <t>Coscia, Daniele (IG/EI-1) ITDGTOL00069309 batteria &gt; 2h</t>
  </si>
  <si>
    <t>ITDGTOL00072740</t>
  </si>
  <si>
    <t>Crillix72740</t>
  </si>
  <si>
    <t>Catia-Connect-Kisters-Avon-ThinkCell-Vvewer</t>
  </si>
  <si>
    <t>SR1902593</t>
  </si>
  <si>
    <t xml:space="preserve">RICCARDI Luca  – IG/B-2 </t>
  </si>
  <si>
    <t>ITDGTOL00072440</t>
  </si>
  <si>
    <t>Cartello440</t>
  </si>
  <si>
    <t>SR1902596</t>
  </si>
  <si>
    <t>Loffredo Marialuna - IG/SH1</t>
  </si>
  <si>
    <t>ITDGTOL00072441</t>
  </si>
  <si>
    <t>Cartello441</t>
  </si>
  <si>
    <t>SR1902602</t>
  </si>
  <si>
    <t>Sciarpa, Flaviano (IG/ER-2M) - ITDGTOL00069206</t>
  </si>
  <si>
    <t>ITDGTOL00072742</t>
  </si>
  <si>
    <t>Cartello442</t>
  </si>
  <si>
    <t>SR1898702</t>
  </si>
  <si>
    <t>Castellaro, Marco (IG/EI-1) ITDGTOL00065743</t>
  </si>
  <si>
    <t>ITDGTOL00072741</t>
  </si>
  <si>
    <t>Crillix72741</t>
  </si>
  <si>
    <t>Connect-Hypermesh-Citrix-Ansa-Animator</t>
  </si>
  <si>
    <t>SR1908856</t>
  </si>
  <si>
    <t>Armadi, Franco (IG/EI-34) - ITDGTOL00065790</t>
  </si>
  <si>
    <t>ITDGTOL00072743</t>
  </si>
  <si>
    <t>Cortriddi743</t>
  </si>
  <si>
    <t>SR1869633</t>
  </si>
  <si>
    <t>Di Ottavio, Simone (IG/Q-1) ITDGTOL00065141</t>
  </si>
  <si>
    <t>ITDGTOL00072479</t>
  </si>
  <si>
    <t>Salsedinesummer2023!</t>
  </si>
  <si>
    <t>Catia-Gom</t>
  </si>
  <si>
    <t>SR1896382</t>
  </si>
  <si>
    <t>Borrelli, Massimo (IG/D-1) - ITDGTOT00064937</t>
  </si>
  <si>
    <t>ITDGTOL00072739</t>
  </si>
  <si>
    <t>Crillix72739</t>
  </si>
  <si>
    <t>Surface-VredPro-Keyshot-Zbrush2023-PS_PR_IL-Rhino</t>
  </si>
  <si>
    <t>SR1914259</t>
  </si>
  <si>
    <t>Fiorio, Laura (IG/V) - ITDGTOL00069146</t>
  </si>
  <si>
    <t>SR1914783</t>
  </si>
  <si>
    <t>Innocenti, Florenz (IG/EE-2) - ITDGTOL00071230</t>
  </si>
  <si>
    <t>ITDGTOL00072447</t>
  </si>
  <si>
    <t>Cliter447</t>
  </si>
  <si>
    <t>SR1916999</t>
  </si>
  <si>
    <t>Conte Emanuele IG/EE-4  -  ITDGTOL00071563</t>
  </si>
  <si>
    <t>ITDGTOL00072448</t>
  </si>
  <si>
    <t>Artritica448</t>
  </si>
  <si>
    <t>SR1914777</t>
  </si>
  <si>
    <t>Varvaro, Daniela (IG/P-8) - ITDGTOL00068922</t>
  </si>
  <si>
    <t>ITDGTOL00072445</t>
  </si>
  <si>
    <t>Cliter445</t>
  </si>
  <si>
    <t>SR1914780</t>
  </si>
  <si>
    <t>QUALIZZA Valentina – IG/EE-3</t>
  </si>
  <si>
    <t>ITDGTOL00072446</t>
  </si>
  <si>
    <t>Cliter446</t>
  </si>
  <si>
    <t>git-node-sourcetree-jetbrainWebstorm/Pycharm/intellij</t>
  </si>
  <si>
    <t>SR1917002</t>
  </si>
  <si>
    <t>Romeo Tommaso (IG/EE) ITDGTOL00068924 - camera guasta</t>
  </si>
  <si>
    <t>ITDGTOL00072449</t>
  </si>
  <si>
    <t>Artritica449</t>
  </si>
  <si>
    <t>Canoe13-Canalyzer12-idex-avx-citrix-arduino-gnuOctave-notepad++-AVW</t>
  </si>
  <si>
    <t>SR1908850</t>
  </si>
  <si>
    <t>Porta Emanuela - IG/EI-34</t>
  </si>
  <si>
    <t>ITDGTOL00072443</t>
  </si>
  <si>
    <t>Interim443</t>
  </si>
  <si>
    <t>SR1908853</t>
  </si>
  <si>
    <t>Sabrina Lenti IG/S-2</t>
  </si>
  <si>
    <t>ITDGTOL00072444</t>
  </si>
  <si>
    <t>Interim444</t>
  </si>
  <si>
    <t>SR1921391</t>
  </si>
  <si>
    <t>IDG Cina new Designer</t>
  </si>
  <si>
    <t>ITDGTOL00072746</t>
  </si>
  <si>
    <t>Cronig746</t>
  </si>
  <si>
    <t>VredPro-Surface-3DMAX-Blender-Office2016-WacomDriver-Keyùshot-Photoshop-Illustrator-Indesign-AfterEffects</t>
  </si>
  <si>
    <t>SR1920121</t>
  </si>
  <si>
    <t>Castro Ribeiro Allan IG/EG</t>
  </si>
  <si>
    <t>ITDGTOL00072778</t>
  </si>
  <si>
    <t>Stacrim778</t>
  </si>
  <si>
    <t>ThinkCell-Canoe-Odis-Diagra</t>
  </si>
  <si>
    <t>SR1911075</t>
  </si>
  <si>
    <t>FERRARI Leonardo – IG/EE-5</t>
  </si>
  <si>
    <t>Pythin3.10-PyCharm-GIT-VisualStudioCode</t>
  </si>
  <si>
    <t>SR1902599</t>
  </si>
  <si>
    <t>Pecchioli Elena - ITDGTOL00069623</t>
  </si>
  <si>
    <t>ITDGTOL00072442</t>
  </si>
  <si>
    <t>Writer-ThinkCell</t>
  </si>
  <si>
    <t>SR1908859</t>
  </si>
  <si>
    <t>Lamancusa, Stefania (IG/EB-3) - ITDGTOL00065942</t>
  </si>
  <si>
    <t>ITDGTOL00072744</t>
  </si>
  <si>
    <t>Cortriddi744</t>
  </si>
  <si>
    <t>catia, 3dcs, citrix, connect, 3dexpereince</t>
  </si>
  <si>
    <t>SR1926742</t>
  </si>
  <si>
    <t>Antelmi Umberto IG/EI-33</t>
  </si>
  <si>
    <t>ITDGTOL00072747</t>
  </si>
  <si>
    <t>Scartissia747</t>
  </si>
  <si>
    <t>SR1931263</t>
  </si>
  <si>
    <t>Bertini Andrea IG/EE-5</t>
  </si>
  <si>
    <t>Canoe10-15-Canape16-19-VectorDriver-Idex-CpTool-EDM-Citrix</t>
  </si>
  <si>
    <t>SR1919582</t>
  </si>
  <si>
    <t>Marengo Giulia IG/F-1 - INTERINALE</t>
  </si>
  <si>
    <t>SR1930455</t>
  </si>
  <si>
    <t>Chimo</t>
  </si>
  <si>
    <t>ITDGTOL00072782</t>
  </si>
  <si>
    <t>Barbabietola2022!!</t>
  </si>
  <si>
    <t>AdobeWritePro-Photoshop</t>
  </si>
  <si>
    <t>SR1920118</t>
  </si>
  <si>
    <t>Pascariello Fiorella IG/EG</t>
  </si>
  <si>
    <t>ITDGTOL00072777</t>
  </si>
  <si>
    <t>Stacrim777</t>
  </si>
  <si>
    <t>ThinkCell</t>
  </si>
  <si>
    <t>SR1917008</t>
  </si>
  <si>
    <t>Trinchieri Isabel IG/ER-3</t>
  </si>
  <si>
    <t>ITDGTOL00072745</t>
  </si>
  <si>
    <t>Artritica745</t>
  </si>
  <si>
    <t>Catia-Connect--MSC Adams</t>
  </si>
  <si>
    <t>SR1935440</t>
  </si>
  <si>
    <t>Brienza Tommaso IG/EE</t>
  </si>
  <si>
    <t>Kisters-Gimp-Python-PyCharm-WinSCP-Notepad++</t>
  </si>
  <si>
    <t>SR1935446</t>
  </si>
  <si>
    <t>Panacciulli Marco IG/B</t>
  </si>
  <si>
    <t>ITDGTOL00069151</t>
  </si>
  <si>
    <t>Avon</t>
  </si>
  <si>
    <t>SR1935443</t>
  </si>
  <si>
    <t>Serafini Daniele IG/EE-5</t>
  </si>
  <si>
    <t>Matlab-Simulink-Canalyzer</t>
  </si>
  <si>
    <t>SR1935291</t>
  </si>
  <si>
    <t>Schabmueller, Wolfgang (IG/EE-2) - ITDGTOL00069144</t>
  </si>
  <si>
    <t>ITDGTOL00072784</t>
  </si>
  <si>
    <t>Fascicolo784</t>
  </si>
  <si>
    <t>Spedito IDD</t>
  </si>
  <si>
    <t>SR1926745</t>
  </si>
  <si>
    <t>#17 NEW IDENEERS - Banaudi Giorgio IG/EE</t>
  </si>
  <si>
    <t>ITDGTOL00072748</t>
  </si>
  <si>
    <t>Scartissia748</t>
  </si>
  <si>
    <t>SR1926748</t>
  </si>
  <si>
    <t>#17 NEW IDENEERS  - Bisanti Alessandro IG/EI</t>
  </si>
  <si>
    <t>ITDGTOL00072749</t>
  </si>
  <si>
    <t>Scartissia749</t>
  </si>
  <si>
    <t>SR1930777</t>
  </si>
  <si>
    <t>#17 NEW IDENEERS - Bonicelli Andrea IG/EG</t>
  </si>
  <si>
    <t>ITDGTOL00072750</t>
  </si>
  <si>
    <t>Hidden750!</t>
  </si>
  <si>
    <t>SR1930786</t>
  </si>
  <si>
    <t>#17 NEW IDENEERS - Caricasole Alex IG/EE</t>
  </si>
  <si>
    <t>Hidden751!</t>
  </si>
  <si>
    <t>SR1930789</t>
  </si>
  <si>
    <t>#17 NEW IDENEERS - Carrubba Salvatore IG/ER</t>
  </si>
  <si>
    <t>ITDGTOL00072752</t>
  </si>
  <si>
    <t>Hidden752!</t>
  </si>
  <si>
    <t>SR1930792</t>
  </si>
  <si>
    <t>#17 NEW IDENEERS - Cuccì Alberto IG/GT</t>
  </si>
  <si>
    <t>ITDGTOL00072753</t>
  </si>
  <si>
    <t>Hidden753!</t>
  </si>
  <si>
    <t>SR1930795</t>
  </si>
  <si>
    <t>#17 NEW IDENEERS - Di Giovanni Livia IG/EE</t>
  </si>
  <si>
    <t>ITDGTOL00072754</t>
  </si>
  <si>
    <t>Hidden754!</t>
  </si>
  <si>
    <t>SR1930798</t>
  </si>
  <si>
    <t>#17 NEW IDENEERS - Massaria Giovanni IG/EB</t>
  </si>
  <si>
    <t>ITDGTOL00072755</t>
  </si>
  <si>
    <t>Hidden755!</t>
  </si>
  <si>
    <t>SR1930801</t>
  </si>
  <si>
    <t>#17 NEW IDENEERS - Mecca Mariassunta IG/EE</t>
  </si>
  <si>
    <t>ITDGTOL00072756</t>
  </si>
  <si>
    <t>Hidden756!</t>
  </si>
  <si>
    <t>SR1930804</t>
  </si>
  <si>
    <t>#17 NEW IDENEERS - Surace Massimo IG/EG</t>
  </si>
  <si>
    <t>ITDGTOL00072757</t>
  </si>
  <si>
    <t>Hidden757!</t>
  </si>
  <si>
    <t>SR1930807</t>
  </si>
  <si>
    <t>#17 NEW IDENEERS - Verratti Marco IG/EB</t>
  </si>
  <si>
    <t>ITDGTOL00072758</t>
  </si>
  <si>
    <t>Hidden758!</t>
  </si>
  <si>
    <t>SR1932367</t>
  </si>
  <si>
    <t>#17 NEW IDENEERS - Gortan Gabriele IG/EE</t>
  </si>
  <si>
    <t>ITDGTOL00072759</t>
  </si>
  <si>
    <t>Ribia759!</t>
  </si>
  <si>
    <t>SR1932370</t>
  </si>
  <si>
    <t>#17 NEW IDENEERS - Panarisi Nadia IG/EE</t>
  </si>
  <si>
    <t>ITDGTOL00072760</t>
  </si>
  <si>
    <t>Ribia760!</t>
  </si>
  <si>
    <t>SR1932390</t>
  </si>
  <si>
    <t>#17 NEW IDENEERS - Compagnone Pierluigi IG/EE</t>
  </si>
  <si>
    <t>ITDGTOL00072761</t>
  </si>
  <si>
    <t>Ribia761!</t>
  </si>
  <si>
    <t>SR1932393</t>
  </si>
  <si>
    <t>#17 NEW IDENEERS - Momesso Alberto IG/ER</t>
  </si>
  <si>
    <t>ITDGTOL00072762</t>
  </si>
  <si>
    <t>Ribia762!</t>
  </si>
  <si>
    <t>SR1932396</t>
  </si>
  <si>
    <t>#17 NEW IDENEERS - Degiorgi Nicola IG/EE</t>
  </si>
  <si>
    <t>ITDGTOL00072763</t>
  </si>
  <si>
    <t>Ribia763!</t>
  </si>
  <si>
    <t>SR1935288</t>
  </si>
  <si>
    <t>Vitale, Enrico (IG/P-S1) - ITDGTOL00069442</t>
  </si>
  <si>
    <t>ITDGTOL00072783</t>
  </si>
  <si>
    <t>Fascicolo783</t>
  </si>
  <si>
    <t>Dymo</t>
  </si>
  <si>
    <t>SR1926754</t>
  </si>
  <si>
    <t>Zamburlin Alice IG/S-2</t>
  </si>
  <si>
    <t>ITDGTOL00072780</t>
  </si>
  <si>
    <t>Scartissia780</t>
  </si>
  <si>
    <t>SR1938663</t>
  </si>
  <si>
    <t>Scuttari Roberto (IG/P-S) ITDGTOL00059835</t>
  </si>
  <si>
    <t>ITDGTOL00072786</t>
  </si>
  <si>
    <t>Clister786</t>
  </si>
  <si>
    <t>SR1932405</t>
  </si>
  <si>
    <t>#17 NEW IDENEERS - Migliore Gianmatteo IG/EI</t>
  </si>
  <si>
    <t>ITDGTOL00072764</t>
  </si>
  <si>
    <t>Ribia764!</t>
  </si>
  <si>
    <t>SR1938666</t>
  </si>
  <si>
    <t>MIRENZI Mattia – IG/EG</t>
  </si>
  <si>
    <t>ITDGTOL00072765</t>
  </si>
  <si>
    <t>Randest765</t>
  </si>
  <si>
    <t>Catia-Connect-ThinkCell</t>
  </si>
  <si>
    <t>SR1939181</t>
  </si>
  <si>
    <t>Morabito, Daniele (IG/EE-2) - ITDGTOL00070711 - per scarse prestazioni hw</t>
  </si>
  <si>
    <t>ITDGTOL00072769</t>
  </si>
  <si>
    <t>Idiot769</t>
  </si>
  <si>
    <t>Canoe15-Idex</t>
  </si>
  <si>
    <t>SR1938672</t>
  </si>
  <si>
    <t>Paoloni, Piermattia (IG/ER-N) ITDGTOL00065506</t>
  </si>
  <si>
    <t>ITDGTOL00072767</t>
  </si>
  <si>
    <t>Randest767</t>
  </si>
  <si>
    <t>SR1944526</t>
  </si>
  <si>
    <t xml:space="preserve">PORTIGLIATTI PIANCERA Federico (rinomina) – IG/EI-1  </t>
  </si>
  <si>
    <t>ITDGTOL00072771</t>
  </si>
  <si>
    <t>Astrid771!</t>
  </si>
  <si>
    <t>Ansa-Animator-Connect-Loco</t>
  </si>
  <si>
    <t>SR1944529</t>
  </si>
  <si>
    <t>RICUPERO Irene – IG/ER-2D</t>
  </si>
  <si>
    <t>ITDGTOL00072772</t>
  </si>
  <si>
    <t>Astrid772!</t>
  </si>
  <si>
    <t>Catia-Avon</t>
  </si>
  <si>
    <t>SR1926757</t>
  </si>
  <si>
    <t>Alescio, Stefano (IG/P-62) - ITDGTOL00065810</t>
  </si>
  <si>
    <t>ITDGTOL00072781</t>
  </si>
  <si>
    <t>Scartissia781</t>
  </si>
  <si>
    <t>CpTool-Idex-Kisters-Avon</t>
  </si>
  <si>
    <t>SR1926751</t>
  </si>
  <si>
    <t>Graziano Marta IG/EE-2</t>
  </si>
  <si>
    <t>ITDGTOL00072779</t>
  </si>
  <si>
    <t>Scartissia779</t>
  </si>
  <si>
    <t>SR1951330</t>
  </si>
  <si>
    <t>Maglione, Lamberto (IG/ER)</t>
  </si>
  <si>
    <t>ITDGTOL00073108</t>
  </si>
  <si>
    <t>Curitella108</t>
  </si>
  <si>
    <t>SR1944523</t>
  </si>
  <si>
    <t>SOLIMENO Luigi (rinomina) – IG/ER-N</t>
  </si>
  <si>
    <t>ITDGTOL00072770</t>
  </si>
  <si>
    <t>Astrid770!</t>
  </si>
  <si>
    <t>Animator-Ansa-Connect-Kisters</t>
  </si>
  <si>
    <t>SR1952524</t>
  </si>
  <si>
    <t>Segato Federico - Muletto</t>
  </si>
  <si>
    <t>SR1952527</t>
  </si>
  <si>
    <t>Davide Scarati - Muletto</t>
  </si>
  <si>
    <t>SR1951333</t>
  </si>
  <si>
    <t>TIWARI Rohan – IG/EE-3  Ingolstadt</t>
  </si>
  <si>
    <t>ITDGTOL00073109</t>
  </si>
  <si>
    <t>Curitella109</t>
  </si>
  <si>
    <t>Canoe 15 - Driver FTDI - BeyondTrust</t>
  </si>
  <si>
    <t>SR1952512</t>
  </si>
  <si>
    <t>Degiovanni, Enrico (IG/D-62)</t>
  </si>
  <si>
    <t>Rhino + Grassopher</t>
  </si>
  <si>
    <t>SR1952515</t>
  </si>
  <si>
    <t>Turra, Giuseppe (IG/D-61)</t>
  </si>
  <si>
    <t>SR1952482</t>
  </si>
  <si>
    <t>Chiotti, Simone (IG/D-62)</t>
  </si>
  <si>
    <t>ITDGTOL00072773</t>
  </si>
  <si>
    <t>Cartillo773</t>
  </si>
  <si>
    <t>Vred-Surface</t>
  </si>
  <si>
    <t>SR1938669</t>
  </si>
  <si>
    <t>Montanaro, Fabrizio (IG/ER-N) ITDGTOL00065733</t>
  </si>
  <si>
    <t>ITDGTOL00072766</t>
  </si>
  <si>
    <t>Randest766</t>
  </si>
  <si>
    <t>Connect-Hyperworks-Kisters-Putty-StatusE-VncViewer</t>
  </si>
  <si>
    <t>SR1951336</t>
  </si>
  <si>
    <t xml:space="preserve">GARELLO Benedetta – IG/D-62 </t>
  </si>
  <si>
    <t>ITDGTOL00069782</t>
  </si>
  <si>
    <t>Surface</t>
  </si>
  <si>
    <t>SR1952485</t>
  </si>
  <si>
    <t>Zaccaro Giuseppe IG/EI-1</t>
  </si>
  <si>
    <t>ITDGTOL00072774</t>
  </si>
  <si>
    <t>Cartillo774</t>
  </si>
  <si>
    <t>SR1956072</t>
  </si>
  <si>
    <t>BERNARDO Carola – cdc 661 Human Resources – IG/S-2</t>
  </si>
  <si>
    <t>ITDGTOL00073110</t>
  </si>
  <si>
    <t>Curitella110</t>
  </si>
  <si>
    <t>SR1959855</t>
  </si>
  <si>
    <t>CARENZO MICHELA</t>
  </si>
  <si>
    <t>NICOLOSI</t>
  </si>
  <si>
    <t>ITDGTOL00072911</t>
  </si>
  <si>
    <t>Pallotta911</t>
  </si>
  <si>
    <t>SR1960871</t>
  </si>
  <si>
    <t xml:space="preserve">Pirritano Massimiliano (IG/EB-5) - ITDGTOL00069648 batteria gonfia </t>
  </si>
  <si>
    <t>TISyncro-Avon-KVS</t>
  </si>
  <si>
    <t>SR1960877</t>
  </si>
  <si>
    <t>BELLUSCI Marco (rinomina) – IG/EE-3</t>
  </si>
  <si>
    <t>Canoe15-removeWirelessAutoswitch</t>
  </si>
  <si>
    <t>SR1959858</t>
  </si>
  <si>
    <t>PETRALIA Alessandro – IG/ER-3</t>
  </si>
  <si>
    <t>ITDGTOL00072912</t>
  </si>
  <si>
    <t>Pallotta912</t>
  </si>
  <si>
    <t>SR1919676</t>
  </si>
  <si>
    <t>Latu, Patrice (IG/F-12) - ITDGTOL00068430</t>
  </si>
  <si>
    <t>PowerBI64-PowerBIRS64-ThinkCell</t>
  </si>
  <si>
    <t>SR1939178</t>
  </si>
  <si>
    <t>Aimino, Alessio (IG/P-62) - ITDGTOL00070679 - per scarse prestazioni hw</t>
  </si>
  <si>
    <t>ITDGTOL00072768</t>
  </si>
  <si>
    <t>Idiot768</t>
  </si>
  <si>
    <t>SR1960874</t>
  </si>
  <si>
    <t>Ferrato, Gian Maria (IG/ER-2E)8 - ITDGTOL00068923</t>
  </si>
  <si>
    <t>SR1960859</t>
  </si>
  <si>
    <t>Guglielmi, Rocco (IG/B) - ITDGTOL00068447</t>
  </si>
  <si>
    <t>Adobe Acrobat Standard DC-Thinkcell</t>
  </si>
  <si>
    <t>SR1964197</t>
  </si>
  <si>
    <t>Oberto Giuseppe IG/ER-N</t>
  </si>
  <si>
    <t>ITDGTOL00072913</t>
  </si>
  <si>
    <t>Pappardelle72913!!</t>
  </si>
  <si>
    <t>SR1959850</t>
  </si>
  <si>
    <t>CECILIANI Federico (rinomina) – IG/F-12</t>
  </si>
  <si>
    <t>ITDGTOL00072910</t>
  </si>
  <si>
    <t>Pallotta910</t>
  </si>
  <si>
    <t>PowerBI</t>
  </si>
  <si>
    <t>SR1960497</t>
  </si>
  <si>
    <t>Bertazzoni Alessandro IG/EG</t>
  </si>
  <si>
    <t>S410</t>
  </si>
  <si>
    <t>ITDGTOL00072954</t>
  </si>
  <si>
    <t>Trillix954</t>
  </si>
  <si>
    <t>CSM-Diadem2022-Canape20-VboxRacelogic-Dewesot *</t>
  </si>
  <si>
    <t>SR1960868</t>
  </si>
  <si>
    <t>Mezza, Claudio (IG/EI-33) - ITDGTOL00069157 batteria gonfia</t>
  </si>
  <si>
    <t>Connect-Vamos-DMS</t>
  </si>
  <si>
    <t>SR1951339</t>
  </si>
  <si>
    <t xml:space="preserve">CHIAVASSA Anastasia – cdc 101 Design Research – IG/D-1 </t>
  </si>
  <si>
    <t>Rhino, Keyshot, Photoshop, Illustrator</t>
  </si>
  <si>
    <t>SR1978702</t>
  </si>
  <si>
    <t>CIFTCI Yasin Salih – IG/EE</t>
  </si>
  <si>
    <t>ITDGTOL00073114</t>
  </si>
  <si>
    <t>Trittico114</t>
  </si>
  <si>
    <t>Spedire Wolfsburg</t>
  </si>
  <si>
    <t>SR1978757</t>
  </si>
  <si>
    <t>Corradin, Stefano (IG/ER-N) ITDGTOL00065762</t>
  </si>
  <si>
    <t>ITDGTOL00072917</t>
  </si>
  <si>
    <t>Quaterna917</t>
  </si>
  <si>
    <t>SR1972549</t>
  </si>
  <si>
    <t>Mosca Lucia IG/EE-4 - ITDGTOL00068423</t>
  </si>
  <si>
    <t>ITDGTOL00073111</t>
  </si>
  <si>
    <t>Comunicazione111</t>
  </si>
  <si>
    <t>idex + odis + cptool + Canoe 10 + VTestStudio</t>
  </si>
  <si>
    <t>SR1978714</t>
  </si>
  <si>
    <t>De Pasquale Bruno - ITDGTOL00065508 Dipartimento</t>
  </si>
  <si>
    <t>ITDGTOL00072915</t>
  </si>
  <si>
    <t>Quaterna915</t>
  </si>
  <si>
    <t>Kprod</t>
  </si>
  <si>
    <t>SR1978705</t>
  </si>
  <si>
    <t xml:space="preserve">MOLANO RIVEROS Andrea Beatriz – IG/ES </t>
  </si>
  <si>
    <t>ITDGTOL00073115</t>
  </si>
  <si>
    <t>Trittico115</t>
  </si>
  <si>
    <t>no sw</t>
  </si>
  <si>
    <t>SR1978711</t>
  </si>
  <si>
    <t>ASSANDRI Pietro (rinomina) – IG/EI-1</t>
  </si>
  <si>
    <t>ITDGTOL00072914</t>
  </si>
  <si>
    <t>Quaterna914</t>
  </si>
  <si>
    <t>Ansa, Animator, Connect, LoCo</t>
  </si>
  <si>
    <t>SR1978754</t>
  </si>
  <si>
    <t xml:space="preserve">PALMIERI Raffaele – IG/EI-33 </t>
  </si>
  <si>
    <t>ITDGTOL00072916</t>
  </si>
  <si>
    <t>Quaterna916</t>
  </si>
  <si>
    <t>SR1983137</t>
  </si>
  <si>
    <t xml:space="preserve">BUCCOLIERO Nicolò – IG/ER-2B </t>
  </si>
  <si>
    <t>ITDGTOL00072918</t>
  </si>
  <si>
    <t>Carteno918</t>
  </si>
  <si>
    <t xml:space="preserve">BINDER Tobias (FSE) - IG/EG </t>
  </si>
  <si>
    <t>SR1972552</t>
  </si>
  <si>
    <t>Termini - ITDGTOL00069872</t>
  </si>
  <si>
    <t>ITDGTOL00073112</t>
  </si>
  <si>
    <t>Comunicazione112</t>
  </si>
  <si>
    <t>SR1972555</t>
  </si>
  <si>
    <t>CIPRO Francesco (rinomina) – IG/EE-4</t>
  </si>
  <si>
    <t>ITDGTOL00073113</t>
  </si>
  <si>
    <t>Comunicazione113</t>
  </si>
  <si>
    <t>Canoe15-Idex-Odis-Exam</t>
  </si>
  <si>
    <t>SR1978708</t>
  </si>
  <si>
    <t>KANG Han-See (FSE) – IG/EE-3 </t>
  </si>
  <si>
    <t>Trittico116</t>
  </si>
  <si>
    <t>Canoe15-DriverFTDI-RemoveWirelessAutoswirtch-BeyondTrust</t>
  </si>
  <si>
    <t>SR1987344</t>
  </si>
  <si>
    <t>CONSTANTIN George Andrei (rinomina)  – IG/S-3</t>
  </si>
  <si>
    <t>ITDGTOL00072919</t>
  </si>
  <si>
    <t>Trillex919</t>
  </si>
  <si>
    <t>SR1987347</t>
  </si>
  <si>
    <t>ROMANO Andrea (rinomina) – IG/ER-4</t>
  </si>
  <si>
    <t>ITDGTOL00072920</t>
  </si>
  <si>
    <t>Trillex920</t>
  </si>
  <si>
    <t>Matlab</t>
  </si>
  <si>
    <t>SR1935294</t>
  </si>
  <si>
    <t>Cappello, Lorenza (IG/V-P) - ITDGTOL00069403</t>
  </si>
  <si>
    <t>ITDGTOL00072785</t>
  </si>
  <si>
    <t>Fascicolo785</t>
  </si>
  <si>
    <t>Photoshop</t>
  </si>
  <si>
    <t>SR1983134</t>
  </si>
  <si>
    <t>Assettati, Giovanni (IG/GT) - ITDGTOL00068405</t>
  </si>
  <si>
    <t>ITDGTOL00073117</t>
  </si>
  <si>
    <t>Carteno117</t>
  </si>
  <si>
    <t>AcrobatWriter-Catia-Photoshop-Kisters-ThinkCell</t>
  </si>
  <si>
    <t>SR1996634</t>
  </si>
  <si>
    <t>Sagliocco, Antonio (IG/ER-2E) - ITDGTOL00068350</t>
  </si>
  <si>
    <t>ITDGTOL00069790</t>
  </si>
  <si>
    <t>SR1998340</t>
  </si>
  <si>
    <t>Scarafiotti, Giorgio (IG/Q)-ITDGTOL00060171</t>
  </si>
  <si>
    <t>ITDGTOL00073119</t>
  </si>
  <si>
    <t>Parallelepipedo1</t>
  </si>
  <si>
    <t>SR1992987</t>
  </si>
  <si>
    <t>Antognoli, Giancarlo (IG/GT) - ITDGTOL00069156</t>
  </si>
  <si>
    <t>ITDGTOL00073118</t>
  </si>
  <si>
    <t>Olimpiadi2023!!</t>
  </si>
  <si>
    <t>21-06-23</t>
  </si>
  <si>
    <t>SCORTA 15</t>
  </si>
  <si>
    <t>ZHANG Yixin (IG/EE3) Ingolstadt</t>
  </si>
  <si>
    <t>ITDGTOL00073120</t>
  </si>
  <si>
    <t>Salento2023!!</t>
  </si>
  <si>
    <t>Pronti per consegna</t>
  </si>
  <si>
    <t>BORGER Benjamin (IG/EI 33) Ingolstadt</t>
  </si>
  <si>
    <t>ITDGTOL00073121</t>
  </si>
  <si>
    <t>Samarcanda73121</t>
  </si>
  <si>
    <t>SR1884086</t>
  </si>
  <si>
    <t>22/6/2023</t>
  </si>
  <si>
    <t>ITDGTOL00072738</t>
  </si>
  <si>
    <t>TheTest738</t>
  </si>
  <si>
    <t>SR1992981</t>
  </si>
  <si>
    <t xml:space="preserve">Qualizza Valentina </t>
  </si>
  <si>
    <t>23/6/2023</t>
  </si>
  <si>
    <t>ITDGTOL00072921</t>
  </si>
  <si>
    <t>RussiaUkraina2023!</t>
  </si>
  <si>
    <t>Muthukrishnan Shrinath (wolsburg)</t>
  </si>
  <si>
    <t>ITDGTOL00072923</t>
  </si>
  <si>
    <t>Indastria2023!!</t>
  </si>
  <si>
    <t>SR2010463</t>
  </si>
  <si>
    <t>27/06/2023</t>
  </si>
  <si>
    <t>SR1996622</t>
  </si>
  <si>
    <t>Romano, Elio (IG/EI-33) - ITDGTOL00068406 (Batt Gonfia)</t>
  </si>
  <si>
    <t>SR1998441</t>
  </si>
  <si>
    <t>Burbui Sergio IG/GT -  ITDGTOL00069603</t>
  </si>
  <si>
    <t>Lorenzo Schuermann (IG-G)</t>
  </si>
  <si>
    <t>Cacciatore73122!!</t>
  </si>
  <si>
    <t>TSCHIRNE Henry (IG-EG)</t>
  </si>
  <si>
    <t>ITDGTOL00073123</t>
  </si>
  <si>
    <t>Supervisore73123!!</t>
  </si>
  <si>
    <t>Musmeci (IG/EE-3)</t>
  </si>
  <si>
    <t>ITDGTOL00073124</t>
  </si>
  <si>
    <t>Sassaiola73124!!</t>
  </si>
  <si>
    <t>Anselmo Nicolas Federico</t>
  </si>
  <si>
    <t>Salisburgo2023!!</t>
  </si>
  <si>
    <t>Manfrinato</t>
  </si>
  <si>
    <t>ITDGTOL00072925</t>
  </si>
  <si>
    <t>Salamandra72925</t>
  </si>
  <si>
    <t>Lababsi Hamida</t>
  </si>
  <si>
    <t>ITDGTOL00072924</t>
  </si>
  <si>
    <t>Mondraker2023!!</t>
  </si>
  <si>
    <t>SR2020413</t>
  </si>
  <si>
    <t>FARA PAOLO</t>
  </si>
  <si>
    <t>ITDGTOL00073475</t>
  </si>
  <si>
    <t>DavideGolia73475</t>
  </si>
  <si>
    <t>SR2008515</t>
  </si>
  <si>
    <t>BORS Nicoleta (IG/ V-P)</t>
  </si>
  <si>
    <t>De Cao Marta (rinomina)</t>
  </si>
  <si>
    <t>ITDGTOL00073125</t>
  </si>
  <si>
    <t>Granada73125</t>
  </si>
  <si>
    <t>SR2022902</t>
  </si>
  <si>
    <t>Russo, Giuseppe (IG/EB-5) ITDGTOL00065814</t>
  </si>
  <si>
    <t>ITDGTOL00073127</t>
  </si>
  <si>
    <t>Massoneriab2</t>
  </si>
  <si>
    <t>Ti-Syncro</t>
  </si>
  <si>
    <t>SR2023088</t>
  </si>
  <si>
    <t>Longobardi, Jacopo (IG/V)</t>
  </si>
  <si>
    <t>ITDGTOL00073128</t>
  </si>
  <si>
    <t>Spazio1999!!</t>
  </si>
  <si>
    <t xml:space="preserve">Chrome </t>
  </si>
  <si>
    <t>SR2025251</t>
  </si>
  <si>
    <t xml:space="preserve">BARONE Luca – IG/F-1 </t>
  </si>
  <si>
    <t>ITDGTOL00073449</t>
  </si>
  <si>
    <t>Carmine1800</t>
  </si>
  <si>
    <t>Citrix-Think-Cell</t>
  </si>
  <si>
    <t>SR2028185</t>
  </si>
  <si>
    <t>Antonini, Stefano (IG/EE) ITDGTOL00068793</t>
  </si>
  <si>
    <t>Canape 16-Canoe11-Odis16.1-Idex2543-Inca-Diagra-WinSCP-BeyondTrust-System42-TTLDatalog</t>
  </si>
  <si>
    <t> SR2025261</t>
  </si>
  <si>
    <t>PITTA Andrea (rinomina) – IG/ER-4</t>
  </si>
  <si>
    <t>Colacicco</t>
  </si>
  <si>
    <t>ITDGTOL00073450</t>
  </si>
  <si>
    <t>Geox3000</t>
  </si>
  <si>
    <t>SR2033041</t>
  </si>
  <si>
    <t xml:space="preserve">ANGIONI Emanuele – IG/D-3 </t>
  </si>
  <si>
    <t>ITDGTOL00070564</t>
  </si>
  <si>
    <t>WacomDriver-Surface-Photoshop-Blender</t>
  </si>
  <si>
    <t>SR2033044</t>
  </si>
  <si>
    <t>SERMON Emiliano Domenico (rinomina)– IG/EE-3</t>
  </si>
  <si>
    <t>ITDGTOL00073129</t>
  </si>
  <si>
    <t>Parigi73129</t>
  </si>
  <si>
    <t>Idex-Putty-FTDI-CP210x-EPM-AUTOSWITCH</t>
  </si>
  <si>
    <t>SR2033047</t>
  </si>
  <si>
    <t>PALMIERI Rebecca – IG/SD</t>
  </si>
  <si>
    <t>ITDGTOL00073126</t>
  </si>
  <si>
    <t>Parigi73126</t>
  </si>
  <si>
    <t>SR2025271</t>
  </si>
  <si>
    <t>Feizi Behnagh, Sahand (IG/ER-7) - ITDGTOL00068263</t>
  </si>
  <si>
    <t>colacicco</t>
  </si>
  <si>
    <t>ITDGTOL00071751</t>
  </si>
  <si>
    <t>Salto44</t>
  </si>
  <si>
    <t>SR2033053</t>
  </si>
  <si>
    <t>Lopez Jimenez, Eduardo Javier (IG/ER-7) ITDGTOL00068390</t>
  </si>
  <si>
    <t>ITDGTOL00073131</t>
  </si>
  <si>
    <t>Parigi73131</t>
  </si>
  <si>
    <t>SR2033050</t>
  </si>
  <si>
    <t>Donadio Anna Paola</t>
  </si>
  <si>
    <t>ITDGTOL00073130</t>
  </si>
  <si>
    <t>Parigi73130</t>
  </si>
  <si>
    <t>SR2045003</t>
  </si>
  <si>
    <t>ANFOSSO Andrea</t>
  </si>
  <si>
    <t>ITDGTOL00073451</t>
  </si>
  <si>
    <t>ILmollusco2023!!</t>
  </si>
  <si>
    <t>SR2038250</t>
  </si>
  <si>
    <t xml:space="preserve">GOVERNALI Rosario – IG/P-83 </t>
  </si>
  <si>
    <t>ITDGTOL00070474</t>
  </si>
  <si>
    <t>SR2064828</t>
  </si>
  <si>
    <t>WAGNER Maximilian – IG/ER-2B - Ingolstadt</t>
  </si>
  <si>
    <t>ITDGTOL00073453</t>
  </si>
  <si>
    <t>Crosicchio453</t>
  </si>
  <si>
    <t>Connect</t>
  </si>
  <si>
    <t>SR2064814</t>
  </si>
  <si>
    <t>GANDOLFO Gregorio – IG/D-3</t>
  </si>
  <si>
    <t>ITDGTOL00071754</t>
  </si>
  <si>
    <t>Artemide754</t>
  </si>
  <si>
    <t>XD-Illustrator-Photoshop</t>
  </si>
  <si>
    <t>SR2064831</t>
  </si>
  <si>
    <t>FILPI Federica (rinomina) – IG/EE-4</t>
  </si>
  <si>
    <t>ITDGTOL00073454</t>
  </si>
  <si>
    <t>Crosicchio454</t>
  </si>
  <si>
    <t>Canoe 15-VagTool-DriverVector-Idex-Odis-CpTool-Git-VisualStudioCode-NodeJS-ADB+Driver-Python-Pycharm-Mosquitto-DriverCDM21228-TTXDatalog-BeyondTrust</t>
  </si>
  <si>
    <t>SR2064834</t>
  </si>
  <si>
    <t>PUGLIESE Pierluigi (rinomina) – IG/EE-4</t>
  </si>
  <si>
    <t>Crosicchio455</t>
  </si>
  <si>
    <t>SR2064840</t>
  </si>
  <si>
    <t>TRONO Gaspare (rinomina) – IG/EE-4</t>
  </si>
  <si>
    <t>ITDGTOL00073456</t>
  </si>
  <si>
    <t>Crosicchio456</t>
  </si>
  <si>
    <t>SR2064843</t>
  </si>
  <si>
    <t>MONGUILO MANTOVANI Javier Alejandro (rinomina) – IG/EE-4</t>
  </si>
  <si>
    <t>ITDGTOL00073457</t>
  </si>
  <si>
    <t>Crosicchio457</t>
  </si>
  <si>
    <t>SR2064846</t>
  </si>
  <si>
    <t>TANGA Andrea (rinomina) – IG/P-S</t>
  </si>
  <si>
    <t>ITDGTOL00073458</t>
  </si>
  <si>
    <t>Crosicchio458</t>
  </si>
  <si>
    <t>SR2070332</t>
  </si>
  <si>
    <t>SCAGNO Ilaria – IG/S-32</t>
  </si>
  <si>
    <t>ITDGTOL00073459</t>
  </si>
  <si>
    <t>Trinaso459</t>
  </si>
  <si>
    <t>SR2070338</t>
  </si>
  <si>
    <t>MONTORO Mario – IG/EG-I</t>
  </si>
  <si>
    <t>ITDGTOL00073461</t>
  </si>
  <si>
    <t>Mendez461</t>
  </si>
  <si>
    <t>SR2070341</t>
  </si>
  <si>
    <t>MARANGON Alessandro – IG/EE ITDGTOL00069415</t>
  </si>
  <si>
    <t>ITDGTOL00073462</t>
  </si>
  <si>
    <t>Incredible462</t>
  </si>
  <si>
    <t>Spedire Ingolstadt</t>
  </si>
  <si>
    <t>SR2025277</t>
  </si>
  <si>
    <t xml:space="preserve">ATRIPALDI Aniello – IG/EG-C </t>
  </si>
  <si>
    <t>ITDGTOL00071752</t>
  </si>
  <si>
    <t>Miraggio10</t>
  </si>
  <si>
    <t>SR2064811</t>
  </si>
  <si>
    <t xml:space="preserve">BARCA Gianluca – IG/ER-2D </t>
  </si>
  <si>
    <t>ITDGTOL00071753</t>
  </si>
  <si>
    <t>Artemide753</t>
  </si>
  <si>
    <t>SR2070335</t>
  </si>
  <si>
    <t>MEINHARDT Felix (FSE da Audi) – IG/EG-I</t>
  </si>
  <si>
    <t>ITDGTOL00073460</t>
  </si>
  <si>
    <t>Mendez460</t>
  </si>
  <si>
    <t>SR2067665</t>
  </si>
  <si>
    <t>LAMARRA Giulia – IG/D-S</t>
  </si>
  <si>
    <t>SR2015655</t>
  </si>
  <si>
    <t>Temporaneamente assegnato a Gulli come muletto</t>
  </si>
  <si>
    <t>ITDGTOL00071776</t>
  </si>
  <si>
    <t>PrimozbookG9</t>
  </si>
  <si>
    <t>SR2064817</t>
  </si>
  <si>
    <t>Cioffi, Monica (IG/EL-1) - ITDGTOL00068219</t>
  </si>
  <si>
    <t>ITDGTOL00071755</t>
  </si>
  <si>
    <t>Artemide755</t>
  </si>
  <si>
    <t>08/09/2023 h 08:00</t>
  </si>
  <si>
    <t>Catia-Connect-Think-Cell</t>
  </si>
  <si>
    <t>SR2075510</t>
  </si>
  <si>
    <t>MARANGON Alessandro – IG/EE ITDGTOL00073462</t>
  </si>
  <si>
    <t>ITDGTOL00073463</t>
  </si>
  <si>
    <t>Delirio463!</t>
  </si>
  <si>
    <t>Spedire IDD</t>
  </si>
  <si>
    <t>SR2075513</t>
  </si>
  <si>
    <t>RUBINI Cinzia – IG/EG-I</t>
  </si>
  <si>
    <t>Difilippo</t>
  </si>
  <si>
    <t>ITDGTOL00073464</t>
  </si>
  <si>
    <t>SR2064822</t>
  </si>
  <si>
    <t>SPORTELLI Danilo – IG/ER-3 </t>
  </si>
  <si>
    <t>ITDGTOL00071756</t>
  </si>
  <si>
    <t>Artemide756</t>
  </si>
  <si>
    <t>Catia-Connect-Avon-Kisters-Matlab-ThinkCell</t>
  </si>
  <si>
    <t>SR2075516</t>
  </si>
  <si>
    <t xml:space="preserve">ZITA Mathilde – IG/D-3  STAGE </t>
  </si>
  <si>
    <t>Photoshop-Illustrator-Vred-KeyShot</t>
  </si>
  <si>
    <t>SR2084346</t>
  </si>
  <si>
    <t xml:space="preserve">MAZZONE Mirko – IG/D-2 </t>
  </si>
  <si>
    <t>PhotoShop-Surface-Blender-WacomCintiq</t>
  </si>
  <si>
    <t>SR2085367</t>
  </si>
  <si>
    <t xml:space="preserve">GAMBA Alessandro – IG/SD  </t>
  </si>
  <si>
    <t>ITDGTOL00073465</t>
  </si>
  <si>
    <t>Partenza465!</t>
  </si>
  <si>
    <t>SR2085384</t>
  </si>
  <si>
    <t>MAGGIALI Gennifer – IG/F-1</t>
  </si>
  <si>
    <t>ITDGTOL00073466</t>
  </si>
  <si>
    <t>Partenza466!</t>
  </si>
  <si>
    <t>SR2089568</t>
  </si>
  <si>
    <t>Puro, Marco (IG/P-72) ITDGTOL00065940</t>
  </si>
  <si>
    <t>ITDGTOL00071758</t>
  </si>
  <si>
    <t>Castrin758</t>
  </si>
  <si>
    <t>SR2089571</t>
  </si>
  <si>
    <t>GAROTTI Andrea – IG/EG-C</t>
  </si>
  <si>
    <t>ITDGTOL00071759</t>
  </si>
  <si>
    <t>Castrin759</t>
  </si>
  <si>
    <t>SR2085390</t>
  </si>
  <si>
    <t>Riposio, Giulia (IDD/S-2)</t>
  </si>
  <si>
    <t>ITDGTOL00073467</t>
  </si>
  <si>
    <t>Partenza467!</t>
  </si>
  <si>
    <t>SR2064825</t>
  </si>
  <si>
    <t>PACIOLLA Pierluca – IDD/ER-3</t>
  </si>
  <si>
    <t>ITDGTOL00071757</t>
  </si>
  <si>
    <t>Artemide757</t>
  </si>
  <si>
    <t>SR2084340</t>
  </si>
  <si>
    <t xml:space="preserve">ITDGTOL00070651 </t>
  </si>
  <si>
    <t>Canape-Idex-System42-CPTool-AVX-PTC Integrity</t>
  </si>
  <si>
    <t>SR2093807</t>
  </si>
  <si>
    <t>DEL VALLE CASTILLO José Luis – IDD/EE</t>
  </si>
  <si>
    <t>ITDGTOL00071760</t>
  </si>
  <si>
    <t>Alternanza760</t>
  </si>
  <si>
    <t>SR2089613</t>
  </si>
  <si>
    <t>ROTHBAUER Andrea – IG/EE-3</t>
  </si>
  <si>
    <t>Photoshop-Illustrator-Figma</t>
  </si>
  <si>
    <t>SR2089616</t>
  </si>
  <si>
    <t xml:space="preserve"> BARIOUDI Jasmin – IG/ER-S</t>
  </si>
  <si>
    <t>Vred-VisualStudio</t>
  </si>
  <si>
    <t>SR2089610</t>
  </si>
  <si>
    <t>WINTZENTBURG Julie Aimee – IG/D-1</t>
  </si>
  <si>
    <t>Surface-Rhino 3D-Photoshop.Illustrator-KeyShot-Blender</t>
  </si>
  <si>
    <t>SR2087969</t>
  </si>
  <si>
    <t>ALBANESE Arianna – IG/G</t>
  </si>
  <si>
    <t>SR2098258</t>
  </si>
  <si>
    <t>VITRANI Stefano – IG/EE-5</t>
  </si>
  <si>
    <t>Ubuntu 20.04 LTS Focal</t>
  </si>
  <si>
    <t>SR2098261</t>
  </si>
  <si>
    <t>CASTIGLIONI Alessandro – IG/D-2</t>
  </si>
  <si>
    <t>SR2098228</t>
  </si>
  <si>
    <t xml:space="preserve"> CURCI Arianna – IG/GT</t>
  </si>
  <si>
    <t>ITDGTOL00073469</t>
  </si>
  <si>
    <t>Antropos469!</t>
  </si>
  <si>
    <t>SR2098234</t>
  </si>
  <si>
    <t>TEORA Diego – IG/EE-4 </t>
  </si>
  <si>
    <t>ITDGTOL00071763</t>
  </si>
  <si>
    <t>Antropos763!</t>
  </si>
  <si>
    <t>Visio-Odis-Idex-CpTool-Wireshark-Canoe16-Catia-Driver Canoe</t>
  </si>
  <si>
    <t>SR2089692</t>
  </si>
  <si>
    <t>GARELLO Benedetta – IG/D-62</t>
  </si>
  <si>
    <t>SR2100502</t>
  </si>
  <si>
    <t>Daniele Marchisio IG/S-31</t>
  </si>
  <si>
    <t>ITDGTOL00073476</t>
  </si>
  <si>
    <t>NewStart476!</t>
  </si>
  <si>
    <t>Visio-Project</t>
  </si>
  <si>
    <t>SR2106878</t>
  </si>
  <si>
    <t>PALMA Adriana – IG/ER-7</t>
  </si>
  <si>
    <t>Balbi/Jackson</t>
  </si>
  <si>
    <t>ITDGTOL00071764</t>
  </si>
  <si>
    <t>Brasile764!</t>
  </si>
  <si>
    <t>Catia, Connect , Capital Harness Viewer</t>
  </si>
  <si>
    <t>SR2116528</t>
  </si>
  <si>
    <t>Antonucci Simone IG/ER-7</t>
  </si>
  <si>
    <t>SR2098231</t>
  </si>
  <si>
    <t>Fragola, Raffaele (IG/P-S1) ITDGTOL00068226 non carica</t>
  </si>
  <si>
    <t>ITDGTOL00071762</t>
  </si>
  <si>
    <t>Antropos762!</t>
  </si>
  <si>
    <t>SR2093810</t>
  </si>
  <si>
    <t>Lamedica, Nicola Ivan (IG/P-62) ITDGTOL00068349</t>
  </si>
  <si>
    <t>ITDGTOL00071761</t>
  </si>
  <si>
    <t>Alternanza761</t>
  </si>
  <si>
    <t>SR2098222</t>
  </si>
  <si>
    <t>DOMENICUCCI Daniele – IG/EE-3</t>
  </si>
  <si>
    <t>ITDGTOL00073468</t>
  </si>
  <si>
    <t>Antropos468!</t>
  </si>
  <si>
    <t>SR2123194</t>
  </si>
  <si>
    <t>GUELI Marco – IG/EG-C</t>
  </si>
  <si>
    <t>ITDGTOL00071766</t>
  </si>
  <si>
    <t>ClearNet766!</t>
  </si>
  <si>
    <t>SR2106884</t>
  </si>
  <si>
    <t>Rota, Alessandro (IG/D-3)</t>
  </si>
  <si>
    <t>ITDGTOL00071765</t>
  </si>
  <si>
    <t>Brasile765!</t>
  </si>
  <si>
    <t>18/10/2023  h 08:30</t>
  </si>
  <si>
    <t>Photoshop 2014, Ilustrator, After Effect, Premiere, Autodesk Alias 2024, Blender 3.6.4, Rhino/Grasshopper, Keyshot 11, Vred Design, Unreal Engine 5.3 WacomDriver</t>
  </si>
  <si>
    <t>SR2125843</t>
  </si>
  <si>
    <t>Galati, Gianluigi (IG/EE-5)</t>
  </si>
  <si>
    <t>Idex-CpTool-Canape21-Canoe16-Canalyzer16-VectorDriver-ITPatchVAS</t>
  </si>
  <si>
    <t>SR2129944</t>
  </si>
  <si>
    <t xml:space="preserve"> COLETTA Giuseppe– IG/EE-3</t>
  </si>
  <si>
    <t>Altenigo470!</t>
  </si>
  <si>
    <t>SR2123177</t>
  </si>
  <si>
    <t>Degani, Sergio (IG/P-S1) ITDGTOL00064508 - batt gonfia</t>
  </si>
  <si>
    <t>ITDGTOL00073474</t>
  </si>
  <si>
    <t>GhostPass474!</t>
  </si>
  <si>
    <t>20 ott h: 08:30</t>
  </si>
  <si>
    <t>SR2123174</t>
  </si>
  <si>
    <t>TASSINATI Lorenzo (rinomina) – IG/P-83</t>
  </si>
  <si>
    <t>Jackson</t>
  </si>
  <si>
    <t>ITDGTOL00073473</t>
  </si>
  <si>
    <t>GhostPass473!</t>
  </si>
  <si>
    <t>Gamberini</t>
  </si>
  <si>
    <t>ITDGTOL00073478</t>
  </si>
  <si>
    <t>Affascinato2023!!</t>
  </si>
  <si>
    <t>Putty-ThinkCell-RimozioneWirelessAutoswicht-BeyondTrust</t>
  </si>
  <si>
    <t>SR2129971</t>
  </si>
  <si>
    <t>Chinaglia, Giulia (IG/B-2) ITDGTOL00068397</t>
  </si>
  <si>
    <t>ITDGTOL00073472</t>
  </si>
  <si>
    <t>Altenigo472!</t>
  </si>
  <si>
    <t>25/10/2023 h 13:30</t>
  </si>
  <si>
    <t>TI-Syncro (SAP), DIALOGplus Workbench, Kisters</t>
  </si>
  <si>
    <t>SR2129913</t>
  </si>
  <si>
    <t>SHARMA Varun – IDD/EE-5  IDD</t>
  </si>
  <si>
    <t>ITDGTOL00071767</t>
  </si>
  <si>
    <t>Brasile767!</t>
  </si>
  <si>
    <t>Odis-Idex-Canoe-Canalyser-Canape-VisualStudioCode-Python</t>
  </si>
  <si>
    <t>SR2129962</t>
  </si>
  <si>
    <t>ROBU Loredana Ionela – IG/P-71</t>
  </si>
  <si>
    <t>ITDGTOL00073471</t>
  </si>
  <si>
    <t>Altenigo471!</t>
  </si>
  <si>
    <t>visualizzatore KISTER</t>
  </si>
  <si>
    <t>SR2129950</t>
  </si>
  <si>
    <t>Bruno, Salvatore Antonio (IG/P-72) ITDGTOL00065734</t>
  </si>
  <si>
    <t>ITDGTOL00071769</t>
  </si>
  <si>
    <t>Brasile769!</t>
  </si>
  <si>
    <t>WorkNC-Catia-Kisters</t>
  </si>
  <si>
    <t>SR2129959</t>
  </si>
  <si>
    <t>Paraboschi, Paolo (IG/EG-7) ITDGTOL00068352</t>
  </si>
  <si>
    <t>ITDGTOL00071770</t>
  </si>
  <si>
    <t>Brasile770!</t>
  </si>
  <si>
    <t>configurazione Lambo (chiedi a Luca Cananzi) e programmi dedicati come catia, connect, windchill e CREO</t>
  </si>
  <si>
    <t>SR3124849</t>
  </si>
  <si>
    <t>ALABD Fatma (Randstad) - IG/S-2</t>
  </si>
  <si>
    <t>ITDGTOL00073489</t>
  </si>
  <si>
    <t>Compliance489!</t>
  </si>
  <si>
    <t>SR3124846</t>
  </si>
  <si>
    <t>CONTE Fabrizio (rinomina) – IG/EG-I</t>
  </si>
  <si>
    <t>ITDGTOL00073488</t>
  </si>
  <si>
    <t>Compliance488!</t>
  </si>
  <si>
    <t>SR3119410</t>
  </si>
  <si>
    <t>ITDGTOL00071772</t>
  </si>
  <si>
    <t>Brasile772!</t>
  </si>
  <si>
    <t>Cameo-Canalyzer-Canape20-Canoe25 (Instalatto Canoe 16)</t>
  </si>
  <si>
    <t>SR3116430</t>
  </si>
  <si>
    <t>MAZZARINI Alessio – IG/ER-2E</t>
  </si>
  <si>
    <t>ITDGTOL00071771</t>
  </si>
  <si>
    <t>Brasile771!</t>
  </si>
  <si>
    <t>SR2129938</t>
  </si>
  <si>
    <t>ROSSO Nicola (rinomina) – IG/EE-5</t>
  </si>
  <si>
    <t>ITDGTOL00071768</t>
  </si>
  <si>
    <t>Brasile768!</t>
  </si>
  <si>
    <t>Office-Idex-CPTool-ODIS (è possibile trasferire la mia licenza?), BeyondTrust-RimozioneWirelessAutoswicht-CANoe 10-CANoe 15-CANape 19-Citrix Workspace</t>
  </si>
  <si>
    <t>SR3119416</t>
  </si>
  <si>
    <t>SILVERI Marco – IG/EL-1</t>
  </si>
  <si>
    <t>ITDGTOL00071773</t>
  </si>
  <si>
    <t>Brasile773!</t>
  </si>
  <si>
    <t>Catia - Think cell - Citrix</t>
  </si>
  <si>
    <t>SR2129977</t>
  </si>
  <si>
    <t>Aimaro Alberto (rinomina) IG/EE-3</t>
  </si>
  <si>
    <t>ITDGTOL00073477</t>
  </si>
  <si>
    <t>Altenigo477!</t>
  </si>
  <si>
    <t>Canoe-VectorDriver-LevelShifterDriver-PyCharm+Python-Putty-RimozioneWirelessAutoswicht-BeyondTrust</t>
  </si>
  <si>
    <t>SR3119291</t>
  </si>
  <si>
    <t>Musso Cinzia IG/EE-3</t>
  </si>
  <si>
    <t>ITDGTOL00073479</t>
  </si>
  <si>
    <t>Altenigo479!</t>
  </si>
  <si>
    <t>Putty-DriverFTDI+CP210x+LevelShifter-Python-RimozioneWirelessAutoswicht-BeyondTrust-RimozioneWirelessAutoswicht</t>
  </si>
  <si>
    <t>SR3119326</t>
  </si>
  <si>
    <t>Romano Erminio (rinomina) IG/EE-3</t>
  </si>
  <si>
    <t>ITDGTOL00073480</t>
  </si>
  <si>
    <t>Altenigo480!</t>
  </si>
  <si>
    <t>Canoe-DriverCanoe-LevelShifter-PyCharm-Python-Putty-RimozioneWirelessAutoswicht-BeyondTrust-RimozioneWirelessAutoswicht</t>
  </si>
  <si>
    <t>SR3119380</t>
  </si>
  <si>
    <t>Campagnola Mattia IG/EE-3</t>
  </si>
  <si>
    <t>ITDGTOL00073481</t>
  </si>
  <si>
    <t>Altenigo481!</t>
  </si>
  <si>
    <t>checkIT² - Audi - checkIT² - VW - iDEX - Easy4Q - Audi Workbench 4.0 Live - system42 - ODIS - JT2Go - Update center - R 4.3.0 - VT-Funktionsmatrix - Novo viewer</t>
  </si>
  <si>
    <t>SR3120920</t>
  </si>
  <si>
    <t>CIMINO Maria Teresa (rinomina) – IG/GT</t>
  </si>
  <si>
    <t>ITDGTOL00073484</t>
  </si>
  <si>
    <t>Altenigo484!</t>
  </si>
  <si>
    <t>SR3121795</t>
  </si>
  <si>
    <t xml:space="preserve"> LUCA Alessandro Giovanni – IG/EE-5</t>
  </si>
  <si>
    <t>ITDGTOL00073486</t>
  </si>
  <si>
    <t>Altenigo486!</t>
  </si>
  <si>
    <t>SR2125858</t>
  </si>
  <si>
    <t>ITDGTOL00073273</t>
  </si>
  <si>
    <t>Different273!</t>
  </si>
  <si>
    <t>SR2125861</t>
  </si>
  <si>
    <t>ITDGTOL00073274</t>
  </si>
  <si>
    <t>Different274!</t>
  </si>
  <si>
    <t>SR3130427</t>
  </si>
  <si>
    <t>TARDONATO Nicoletta Carmela – IG/S-2</t>
  </si>
  <si>
    <t>Manca Firmare documento consegna</t>
  </si>
  <si>
    <t>SR3125266</t>
  </si>
  <si>
    <t>MANTIONE Elena – IG/S-1</t>
  </si>
  <si>
    <t>ITDGTOL00073490</t>
  </si>
  <si>
    <t>Compliance490!</t>
  </si>
  <si>
    <t xml:space="preserve">configurazione di Zucchetti </t>
  </si>
  <si>
    <t>SR3119440</t>
  </si>
  <si>
    <t>GIORDANO Maurizio – IG/EL-2</t>
  </si>
  <si>
    <t>ITDGTOL00071774</t>
  </si>
  <si>
    <t>Brasile774!</t>
  </si>
  <si>
    <t>SR3121455</t>
  </si>
  <si>
    <t>SAMBARINO Ornella (rinomina) – IG/GT</t>
  </si>
  <si>
    <t>ITDGTOL00073485</t>
  </si>
  <si>
    <t>Altenigo485!</t>
  </si>
  <si>
    <t>SR3120908</t>
  </si>
  <si>
    <t>AVELLINO Mauro – IG/Q-1</t>
  </si>
  <si>
    <t>ITDGTOL00073482</t>
  </si>
  <si>
    <t>Altenigo482!</t>
  </si>
  <si>
    <t>SR3119033</t>
  </si>
  <si>
    <t>Vitrani</t>
  </si>
  <si>
    <t>Remeber69206</t>
  </si>
  <si>
    <t>SR3132784</t>
  </si>
  <si>
    <t>SCHMUECKLE Aileen – IG/EE</t>
  </si>
  <si>
    <t>SR3120914</t>
  </si>
  <si>
    <t>Anfosso, Andrea (IG/GT) (MANCA INVIARE DOCUMENTO)</t>
  </si>
  <si>
    <t>ITDGTOL00073483</t>
  </si>
  <si>
    <t>Altenigo483!</t>
  </si>
  <si>
    <t>9 nov h 16:00</t>
  </si>
  <si>
    <t>SR3132281</t>
  </si>
  <si>
    <t>Piccatto, Andrea (IG/EG-V)</t>
  </si>
  <si>
    <t>ITDGTOL00073491</t>
  </si>
  <si>
    <t>9 Nov h 15:00</t>
  </si>
  <si>
    <t>ThinkCell-AudiWorkbench-Avon</t>
  </si>
  <si>
    <t>SR3136879</t>
  </si>
  <si>
    <t>Groppo, Luisella (IG/EL)</t>
  </si>
  <si>
    <t>ITDGTOL00073492</t>
  </si>
  <si>
    <t>Ipatinga492!</t>
  </si>
  <si>
    <t>10 nov h 08:30</t>
  </si>
  <si>
    <t>SR3129778</t>
  </si>
  <si>
    <t>3158 – PACCHIOTTI Simona – cdc 6289 Engineering Services – IG/EE-3  - Empl. Numb. 99158 (Ideneers Program)</t>
  </si>
  <si>
    <t>ITDGTOL00071783</t>
  </si>
  <si>
    <t>Cruzeiro783!</t>
  </si>
  <si>
    <t>SR3129796</t>
  </si>
  <si>
    <t>3159 – PISON Armando – cdc 6289 Engineering Services – IG/EL-2  - Empl. Numb. 99159 (Ideneers Program)</t>
  </si>
  <si>
    <t>ITDGTOL00071784</t>
  </si>
  <si>
    <t>Cruzeiro784!</t>
  </si>
  <si>
    <t>SR3129808</t>
  </si>
  <si>
    <t>3160 – QUILOS Michelle Elain – cdc 6289 Engineering Services – IG/EE-3  - Empl. Numb. 99160 (Ideneers Program)</t>
  </si>
  <si>
    <t>ITDGTOL00071785</t>
  </si>
  <si>
    <t>Cruzeiro785!</t>
  </si>
  <si>
    <t>SR3131126</t>
  </si>
  <si>
    <t>3161 – REVIGLIONE Riccardo – cdc 259 Project Quality – IG/Q-2  - Empl. Numb. 99161 (Ideneers Program)</t>
  </si>
  <si>
    <t>ITDGTOL00071786</t>
  </si>
  <si>
    <t>Cortex786!</t>
  </si>
  <si>
    <t>SR3131132</t>
  </si>
  <si>
    <t>3162 – VECA Alessandro – cdc 6289 Engineering Services – IG/EE-5  - Empl. Numb. 99162 (Ideneers Program)</t>
  </si>
  <si>
    <t>ITDGTOL00071787</t>
  </si>
  <si>
    <t>Cortex787!</t>
  </si>
  <si>
    <t>SR3131150</t>
  </si>
  <si>
    <t>3163 – RUSSO Paolo – cdc 6289 Engineering Services – IG/EE-4  - Empl. Numb. 99163 (Ideneers Program)</t>
  </si>
  <si>
    <t>ITDGTOL00071788</t>
  </si>
  <si>
    <t>Cortex788!</t>
  </si>
  <si>
    <t>SR3131168</t>
  </si>
  <si>
    <t>3164 – IMPERATRICE Edoardo – cdc 6289 Engineering Services – IG/EE-4  - Empl. Numb. 99164 (Ideneers Program)</t>
  </si>
  <si>
    <t>ITDGTOL00071789</t>
  </si>
  <si>
    <t>Cortex789!</t>
  </si>
  <si>
    <t>SR3120899</t>
  </si>
  <si>
    <t>3151 – GIUGANINO Marco – cdc 286 Electric &amp; Electronics – IG/EE – Empl. Numb. 99151</t>
  </si>
  <si>
    <t>ITDGTOL00071775</t>
  </si>
  <si>
    <t>Brasile775!</t>
  </si>
  <si>
    <t>SR3129612</t>
  </si>
  <si>
    <t>3153 – CASTAGNOTTI Alberto – cdc 6289 Engineering Services – IG/EL-1  - Empl. Numb. 99153 (Ideneers Program)</t>
  </si>
  <si>
    <t>ITDGTOL00071778</t>
  </si>
  <si>
    <t>Cruzeiro778!</t>
  </si>
  <si>
    <t>SR3129621</t>
  </si>
  <si>
    <t>3154 – COSTA Giuseppe – cdc 6289 Engineering Services – IG/EG-I  - Empl. Numb. 99154 (Ideneers Program)</t>
  </si>
  <si>
    <t>ITDGTOL00071779</t>
  </si>
  <si>
    <t>Cruzeiro779!</t>
  </si>
  <si>
    <t>SR3129645</t>
  </si>
  <si>
    <t>3155 – DI MARIA Vittorio Giuseppe – cdc 6289 Engineering Services – IG/EG-C  - Empl. Numb. 99155 (Ideneers Program)</t>
  </si>
  <si>
    <t>ITDGTOL00071780</t>
  </si>
  <si>
    <t>Cruzeiro780!</t>
  </si>
  <si>
    <t>SR3129651</t>
  </si>
  <si>
    <t>3156 – LA ROCCA Mauro – cdc 6289 Engineering Services – IG/EE  - Empl. Numb. 99156 (Ideneers Program)</t>
  </si>
  <si>
    <t>ITDGTOL00071781</t>
  </si>
  <si>
    <t>Cruzeiro781!</t>
  </si>
  <si>
    <t>SR3129766</t>
  </si>
  <si>
    <t>3157 – MORELLI Luca – cdc 6289 Engineering Services – IG/EE-3  - Empl. Numb. 99157 (Ideneers Program)</t>
  </si>
  <si>
    <t>ITDGTOL00071782</t>
  </si>
  <si>
    <t>Cruzeiro782!</t>
  </si>
  <si>
    <t>SR3129606</t>
  </si>
  <si>
    <t>3152 – CASCELLA Sara – cdc 6289 Engineering Services – IG/EE-3  - Empl. Numb. 99152 (Ideneers Program)</t>
  </si>
  <si>
    <t>ITDGTOL00071777</t>
  </si>
  <si>
    <t>Cruzeiro777!</t>
  </si>
  <si>
    <t>SR3140828</t>
  </si>
  <si>
    <t>TEA Roberto – cdc 284 Interiors Development – IG/EI-33 – Empl. Numb. 99165</t>
  </si>
  <si>
    <t>ITDGTOL00071794</t>
  </si>
  <si>
    <t>Cortex794!</t>
  </si>
  <si>
    <t>SR3141569</t>
  </si>
  <si>
    <t>3166 – DALLA VALLE Alberto (rinomina) – cdc 238 Special Vehicles – IG/EL-2  - Empl. Numb. 99166</t>
  </si>
  <si>
    <t>ITDGTOL00071795</t>
  </si>
  <si>
    <t>Cortex795!</t>
  </si>
  <si>
    <t>SR3140795</t>
  </si>
  <si>
    <t>Tortorelli, Celestino (IG/EG-8) - ITDGTOL00068434</t>
  </si>
  <si>
    <t>ITDGTOL00073495</t>
  </si>
  <si>
    <t>Minasgerais495!</t>
  </si>
  <si>
    <t>TI-Synchro</t>
  </si>
  <si>
    <t>SR3140786</t>
  </si>
  <si>
    <t>SHOUR Ibrahim – cdc 286 Electric &amp; Electronics – IG/EE – Empl. Numb. 99168</t>
  </si>
  <si>
    <t>ITDGTOL00073494</t>
  </si>
  <si>
    <t>Minasgerais494!</t>
  </si>
  <si>
    <t>Canoe15-Canalyzer15-Vector_CANoe_AddOn_VAG_Multibus_Package_3.1.4.zip-iDEX-cptool-Audi Workbench 4.0 live-Citrix workspace-Arduino-GNU Octave-notepad++_disinstallare Autoswitch</t>
  </si>
  <si>
    <t>SR3136956</t>
  </si>
  <si>
    <t>3167 – CRAVERO Manuela (rinomina) – cdc 246 Engineering Surfacing  – IG/ER-S – Empl. Numb. 99167</t>
  </si>
  <si>
    <t>ITDGTOL00071792</t>
  </si>
  <si>
    <t>Cortex792!</t>
  </si>
  <si>
    <t>Catia V5 - Connect - Icem Surf 2022.2</t>
  </si>
  <si>
    <t>SR3147293</t>
  </si>
  <si>
    <t>Ferraris, Rachele (IG/D-3) - ITDGTOL00072263</t>
  </si>
  <si>
    <t>Adobe Suite</t>
  </si>
  <si>
    <t>SR3140801</t>
  </si>
  <si>
    <t>Giovanakis, Yannick (IG/EE-5) - ITDGTOL00069142</t>
  </si>
  <si>
    <t>ITDGTOL00073496</t>
  </si>
  <si>
    <t>Minasgerais496!</t>
  </si>
  <si>
    <t>PyCharm, Visual Code, Diversi pacchetti python</t>
  </si>
  <si>
    <t>SR3147694</t>
  </si>
  <si>
    <t>3169 – GIANTURCO Vittorio – cdc 6652 Procurement – IG/B-2 – Empl. Numb. 99169</t>
  </si>
  <si>
    <t>ITDGTOL00073497</t>
  </si>
  <si>
    <t>Velozes497!</t>
  </si>
  <si>
    <t>SR3143823</t>
  </si>
  <si>
    <t>Minelli</t>
  </si>
  <si>
    <t>MiniPC</t>
  </si>
  <si>
    <t>ITDGTOC00071631</t>
  </si>
  <si>
    <t>Jesus71631!</t>
  </si>
  <si>
    <t>BeyondTrust + FTDI Driver _ Pc già inserito nel gruppo Connection Manager - Agent ok</t>
  </si>
  <si>
    <t>SR3143841</t>
  </si>
  <si>
    <t>ITDGTOC00071632</t>
  </si>
  <si>
    <t>Jesus71632!</t>
  </si>
  <si>
    <t>SR3143869</t>
  </si>
  <si>
    <t>ITDGTOC00071633</t>
  </si>
  <si>
    <t>Jesus71633!</t>
  </si>
  <si>
    <t>BeyondTrust + FTDI Driver_ Pc già inserito nel gruppo Connection Manager - Agent ok</t>
  </si>
  <si>
    <t>SR3143909</t>
  </si>
  <si>
    <t>ITDGTOC00071634</t>
  </si>
  <si>
    <t>Jesus71634!</t>
  </si>
  <si>
    <t>SR3143915</t>
  </si>
  <si>
    <t>ITDGTOC00071635</t>
  </si>
  <si>
    <t>Jesus71635!</t>
  </si>
  <si>
    <t>SR3143926</t>
  </si>
  <si>
    <t>ITDGTOC00071636</t>
  </si>
  <si>
    <t>Jesus71636!</t>
  </si>
  <si>
    <t>BeyondTrust + FTDI Driver_ Pc già inserito nel gruppo Connection Manager - Agent ok + script</t>
  </si>
  <si>
    <t>SR3143938</t>
  </si>
  <si>
    <t>ITDGTOC00071637</t>
  </si>
  <si>
    <t>Jesus71637!</t>
  </si>
  <si>
    <t>BeyondTrust + FTDI Driver_ Pc già inserito nel gruppo Connection Manager - Lanciato Script</t>
  </si>
  <si>
    <t>SR3144018</t>
  </si>
  <si>
    <t>ITDGTOC00071638</t>
  </si>
  <si>
    <t>Jesus71638!</t>
  </si>
  <si>
    <t>SR3144024</t>
  </si>
  <si>
    <t>ITDGTOC00071639</t>
  </si>
  <si>
    <t>Jesus71639!</t>
  </si>
  <si>
    <t>SR3144030</t>
  </si>
  <si>
    <t>ITDGTOC00071640</t>
  </si>
  <si>
    <t>Jesus71640!</t>
  </si>
  <si>
    <t>3170 – MENNELLA Luca – cdc 6289 Engineering Services – IG/ES – Empl. Numb. 99170</t>
  </si>
  <si>
    <t>SR3150912</t>
  </si>
  <si>
    <t>Fracchia Cristiano IG/D-2 - ITDGTOL00070956</t>
  </si>
  <si>
    <t>ITDGTOL00071796</t>
  </si>
  <si>
    <t>Superacao796!</t>
  </si>
  <si>
    <t>Photoshop-Surface-Cintiq</t>
  </si>
  <si>
    <t>SR3131198</t>
  </si>
  <si>
    <t xml:space="preserve">HAGEL Theresa – cdc 242, ADAS Development– IDD/EE-5 </t>
  </si>
  <si>
    <t>ITDGTOL00071791</t>
  </si>
  <si>
    <t>Cortex791!</t>
  </si>
  <si>
    <t>Idex-Notepad++-Preevision V10.0.14-Canalyzer15-Canoe15-VectorDriver</t>
  </si>
  <si>
    <t>SR3136929</t>
  </si>
  <si>
    <t>NEMETH Andras – cdc 282, Exteriors Development – IDD/ER-2M – employee number 98980</t>
  </si>
  <si>
    <t>ITDGTOL00073493</t>
  </si>
  <si>
    <t>Ipatinga493!</t>
  </si>
  <si>
    <t>SR3152203</t>
  </si>
  <si>
    <t>Trifilo, Francesco (IDD/ER-4) - ITDGTOL00071253 - URGENTE PER IL 30 NOVEMBRE</t>
  </si>
  <si>
    <t>ITDGTOL00073498</t>
  </si>
  <si>
    <t>Superacao498!</t>
  </si>
  <si>
    <t>Think-Cell-Avon-Workbech-SAP(PT3)</t>
  </si>
  <si>
    <t>SR3152398</t>
  </si>
  <si>
    <t>3173 – VIGLIERCO Alex – cdc 217 Aerodynamics, Air conditioning and Thermal Mgmnt – IG/ER-3  - Empl. Numb. 99173</t>
  </si>
  <si>
    <t>Zbook Z16</t>
  </si>
  <si>
    <t>ITDGTOL00073326</t>
  </si>
  <si>
    <t>Superacao326!</t>
  </si>
  <si>
    <t>SR3152383</t>
  </si>
  <si>
    <t>3172 – ADAMO Antonio – cdc 217 Aerodynamics, Air conditioning and Thermal Mgmnt – IG/ER-3  - Empl. Numb. 99172</t>
  </si>
  <si>
    <t>ITDGTOL00071798</t>
  </si>
  <si>
    <t>Superacao798!</t>
  </si>
  <si>
    <t>SR3152371</t>
  </si>
  <si>
    <t>3171 – GARDINALI Maurizio – cdc 238 Special Vehicles – IG/EL-2 – Empl. Numb. 99171 </t>
  </si>
  <si>
    <t>ITDGTOL00071797</t>
  </si>
  <si>
    <t>Superacao797!</t>
  </si>
  <si>
    <t>SR3152251</t>
  </si>
  <si>
    <t>3181 – SACCONE Giuseppe (rinomina) – cdc 365 EE-systems production – IG/P-62 – Empl. Numb. 99181</t>
  </si>
  <si>
    <t>N. Assunto</t>
  </si>
  <si>
    <t>ELITEBOOK 640 i5 16 GB</t>
  </si>
  <si>
    <t>ITDGTOL00073289</t>
  </si>
  <si>
    <t>Superacao289!</t>
  </si>
  <si>
    <t>Canoe15+DriverVector</t>
  </si>
  <si>
    <t>SR3152287</t>
  </si>
  <si>
    <t>3177 – RAVASIO Daniele (rinomina) – cdc 228 Cost Engineering – IG/EG-6 – Empl. Numb. 99177</t>
  </si>
  <si>
    <t>ITDGTOL00073291</t>
  </si>
  <si>
    <t>Superacao291!</t>
  </si>
  <si>
    <t>SR3152221</t>
  </si>
  <si>
    <t>3179 – CARAPEZZA Giulio (rinomina) – cdc 290 Engineering Project Management – IG/GT – Empl. Numb. 99179</t>
  </si>
  <si>
    <t>ITDGTOL00073499</t>
  </si>
  <si>
    <t>Superacao499!</t>
  </si>
  <si>
    <t>SR3155798</t>
  </si>
  <si>
    <t>3178 – DITANO Dario (rinomina) – cdc 6660 Controlling – IG/F-12 – Empl. Numb. 99178</t>
  </si>
  <si>
    <t>ITDGTOL00073294</t>
  </si>
  <si>
    <t>Superacao294!</t>
  </si>
  <si>
    <t>Power BI Desktop-ThinkCell</t>
  </si>
  <si>
    <t>SR3152311</t>
  </si>
  <si>
    <t>3180 – RIZZOLI Andrea (rinomina) – cdc 389 Project Engineering – IG/P-10 – Empl. Numb. 99180</t>
  </si>
  <si>
    <t>ITDGTOL00073292</t>
  </si>
  <si>
    <t>Superacao292!</t>
  </si>
  <si>
    <t>Office, Kisters, PDF writer,  7.ZIP, Photoshop</t>
  </si>
  <si>
    <t>SR3152233</t>
  </si>
  <si>
    <t>3175 – MIGHRI Hajer (rinomina) – cdc 243 EE Validation &amp; Testing – IG/EE-4 – Empl. Numb. 99175</t>
  </si>
  <si>
    <t>ITDGTOL00073287</t>
  </si>
  <si>
    <t>Superacao287!</t>
  </si>
  <si>
    <t>TestStand-LabView-Canoe12-DriverEthernetAdapter-FTDI-BeyondTrust</t>
  </si>
  <si>
    <t>SR3152245</t>
  </si>
  <si>
    <t>3176 – RIAHI Takwa (rinomina) – cdc 243 EE Validation &amp; Testing – IG/EE-4 – Empl. Numb. 99176</t>
  </si>
  <si>
    <t>ITDGTOL00073288</t>
  </si>
  <si>
    <t>Superacao288!</t>
  </si>
  <si>
    <t>SR3152275</t>
  </si>
  <si>
    <t>3174 – ZAMARRIPA DAVALOS Camila – cdc 359 Product Quality – IG/Q-2 – Empl. Numb. 99174</t>
  </si>
  <si>
    <t>ITDGTOL00073290</t>
  </si>
  <si>
    <t>Superacao290!</t>
  </si>
  <si>
    <t>SR3155809</t>
  </si>
  <si>
    <t>3182 – RUBIOLO Sara – cdc 660 Finance – IG/F-1 – Empl. Numb. 99182</t>
  </si>
  <si>
    <t>ITDGTOL00073295</t>
  </si>
  <si>
    <t>Superacao295!</t>
  </si>
  <si>
    <t>SR3155827</t>
  </si>
  <si>
    <t>Lettry, Sonia (IG/EL-1) - ITDGTOL00070773</t>
  </si>
  <si>
    <t>ITDGTOL00071799</t>
  </si>
  <si>
    <t>Colibri799!</t>
  </si>
  <si>
    <t>ThinkCell-VmwareHorizonClient-NOVOViewer-Zoom</t>
  </si>
  <si>
    <t>SR2123162</t>
  </si>
  <si>
    <t>Sahim, Abdelghani - ITDGTOL00059778</t>
  </si>
  <si>
    <t>ITDGTOL00073452</t>
  </si>
  <si>
    <t>Mastino1996!!</t>
  </si>
  <si>
    <t>SR3157174</t>
  </si>
  <si>
    <t>Monteleone</t>
  </si>
  <si>
    <t>ITDGTOC00098505</t>
  </si>
  <si>
    <t>Paraiso505!</t>
  </si>
  <si>
    <t>CpTool-Python3_10-Odis-Canoe-VectorDriver-VagTool-EccezioneVAS-BeyondTrust-FTDIDriver</t>
  </si>
  <si>
    <t>SR3157188</t>
  </si>
  <si>
    <t>ITDGTOC00098506</t>
  </si>
  <si>
    <t>Paraiso506!</t>
  </si>
  <si>
    <t>SR3157194</t>
  </si>
  <si>
    <t>ITDGTOC00098507</t>
  </si>
  <si>
    <t>Paraiso507!</t>
  </si>
  <si>
    <t>SR3157203</t>
  </si>
  <si>
    <t>ITDGTOC00098508</t>
  </si>
  <si>
    <t>Paraiso508!</t>
  </si>
  <si>
    <t>SR3157215</t>
  </si>
  <si>
    <t>ITDGTOC00098509</t>
  </si>
  <si>
    <t>Paraiso509!</t>
  </si>
  <si>
    <t>SR3157110</t>
  </si>
  <si>
    <t>Gasparoni, Massimo (IG/F-12) - ITDGTOL00068425 - Batteria gonfia</t>
  </si>
  <si>
    <t>ITDGTOL00073297</t>
  </si>
  <si>
    <t>Paraiso297!</t>
  </si>
  <si>
    <t>SR3157063</t>
  </si>
  <si>
    <t>3183 – CORIANI Amedeo (rinomina) – cdc 101 Design Research – IG/D-3 – Empl. Numb. 99183</t>
  </si>
  <si>
    <t>ITDGTOL00071800</t>
  </si>
  <si>
    <t>Paraiso71800!</t>
  </si>
  <si>
    <t>photoshop, xd, illustrator, indesign, after effect, blender, media encoder</t>
  </si>
  <si>
    <t>SR3163866</t>
  </si>
  <si>
    <t>Picciafoco, Paolo (IG/EG-I) - ITDGTOL00070480 - 345 2817 682</t>
  </si>
  <si>
    <t>ELITEBOOK 640 i7 32 GB</t>
  </si>
  <si>
    <t>ITDGTOL00071709</t>
  </si>
  <si>
    <t>Galaxia709!</t>
  </si>
  <si>
    <t>Mantiene diritti ADM su macchina, installa lui i SW-Modifica già eseguita lato ARS e lato Client</t>
  </si>
  <si>
    <t>SR3157075</t>
  </si>
  <si>
    <t>3184 – ANTINUCCI Luigi (rinomina) – cdc 279 Vehicle Safety Development – IG/ER-4 – Empl. Numb. 99184 - 328 28 81 590</t>
  </si>
  <si>
    <t>ITDGTOL00073296</t>
  </si>
  <si>
    <t>Paraiso296!</t>
  </si>
  <si>
    <t>Idex-VectorDriver-CpTool</t>
  </si>
  <si>
    <t>SR3157127</t>
  </si>
  <si>
    <t>3185 – LIBETTA Daniele (rinomina) – cdc 277 Interiors Functional Development – IG/EI-1 – Empl. Numb. 99185 - 320 2505 199</t>
  </si>
  <si>
    <t>ITDGTOL00073298</t>
  </si>
  <si>
    <t>Paraiso298!</t>
  </si>
  <si>
    <t>Animator-Kisters-Vviewer</t>
  </si>
  <si>
    <t>SR3174751</t>
  </si>
  <si>
    <t>Cassieri-VadòMagazzinoCancelli (Vedi mail Cassieri)</t>
  </si>
  <si>
    <t>Fuori Dominio - Eliminare anche da ARS - Per i sw ci pensa Cassieri</t>
  </si>
  <si>
    <t>SR3174768</t>
  </si>
  <si>
    <t>SR3131186</t>
  </si>
  <si>
    <t>Cantiello, Roberto (IG/EG-V) ITDGTOL00068813 - 349 301 8602</t>
  </si>
  <si>
    <t>ITDGTOL00071790</t>
  </si>
  <si>
    <t>Cortex790!</t>
  </si>
  <si>
    <t>Catia-Connect-AVX-AVON</t>
  </si>
  <si>
    <t>SR3174726</t>
  </si>
  <si>
    <t>Rossetti, Stefano (IG/ER-2B) ITDGTOL00068807</t>
  </si>
  <si>
    <t>ITDGTOL00073327</t>
  </si>
  <si>
    <t>Jaqueta327!</t>
  </si>
  <si>
    <t>Connect-Catia-Avon</t>
  </si>
  <si>
    <t>SR3170111</t>
  </si>
  <si>
    <t>Lichtner, Axel (IG/EE-5) rif. Serafini</t>
  </si>
  <si>
    <t>Canape20-Canoe15</t>
  </si>
  <si>
    <t>SR3175995</t>
  </si>
  <si>
    <t>Scarati, Davide (IG/S-3) - ITDGTOL00070443</t>
  </si>
  <si>
    <t>ITDGTOL00071710</t>
  </si>
  <si>
    <t>Jaqueta710!</t>
  </si>
  <si>
    <t>Chrome, Diritti adm</t>
  </si>
  <si>
    <t>SR3174792</t>
  </si>
  <si>
    <t>Mariotto, Ernesto (IG/EG-7) ITDGTOL00068252</t>
  </si>
  <si>
    <t>ITDGTOL00073328</t>
  </si>
  <si>
    <t>Jaqueta328!</t>
  </si>
  <si>
    <t>Connect-Catia-NovoViewer</t>
  </si>
  <si>
    <t>SR3177580</t>
  </si>
  <si>
    <t>Raspante, Massimiliano (IG/EG-I) PC serve come client condiviso per connessione Citrix su client remoto Audi</t>
  </si>
  <si>
    <t>ITDGTOL00070480</t>
  </si>
  <si>
    <t>SR3178971</t>
  </si>
  <si>
    <t>Giai Merlera, Davide (IG/ER-4) (muletto progetto Maranello) Vedi mail Agnelli/Giai</t>
  </si>
  <si>
    <t>SR3163825</t>
  </si>
  <si>
    <t>Cicchi, Alberto (IG/EG-I) - ITDGTOL00072463 - 328 87 66 844</t>
  </si>
  <si>
    <t>ITDGTOL00071708</t>
  </si>
  <si>
    <t>Galaxia708!</t>
  </si>
  <si>
    <t>Canoe10-PyCharm-PreeVision</t>
  </si>
  <si>
    <t>Fabrizio Mina - GM USA - rif. Saracco</t>
  </si>
  <si>
    <t>ITDGTOL00073304</t>
  </si>
  <si>
    <t>Italdesign73304@!</t>
  </si>
  <si>
    <t>SR3181932</t>
  </si>
  <si>
    <t>3186 – RICHTER Sven – cdc 278 Vehicle Functional Development – IG/EG-Q</t>
  </si>
  <si>
    <t>ITDGTOL00073308</t>
  </si>
  <si>
    <t>Naosei308!</t>
  </si>
  <si>
    <t>Adobe Acrobat DC (scriitura), Think Cell</t>
  </si>
  <si>
    <t>SR3177438</t>
  </si>
  <si>
    <t>3187 – SCHMIDBAUER Niklas (FSE) – cdc 6289 Engineering Services – IG/E – Empl. Numb. 99187</t>
  </si>
  <si>
    <t>SR3177441</t>
  </si>
  <si>
    <t>3193 – DILIBERTO Pietro – cdc 627 ICT &amp; Process Digitalization – IG/S-31 – Empl. Numb. 99193</t>
  </si>
  <si>
    <t>ITDGTOL00073302</t>
  </si>
  <si>
    <t>Culindri302</t>
  </si>
  <si>
    <t>SR3177453</t>
  </si>
  <si>
    <t>3191 – LOSURDO Pasquale (rinomina – cdc 276 Exteriors Numerical Simulations – IG/ER-N – Empl. Numb. 99191</t>
  </si>
  <si>
    <t>ITDGTOL00073331</t>
  </si>
  <si>
    <t>Culindri331</t>
  </si>
  <si>
    <t>Animator-Ansa-Kisters-Connect</t>
  </si>
  <si>
    <t>SR3181950</t>
  </si>
  <si>
    <t>3188 – NUCERA Valeria (rinomina) – cdc 217 Aerodynamics, Air conditioning and Thermal Mgmnt – IG/ER-3 – Empl. Numb. 99188</t>
  </si>
  <si>
    <t>ITDGTOL00073333</t>
  </si>
  <si>
    <t>Naosei333!</t>
  </si>
  <si>
    <t>Catia-Connect-AVX-Kisters-ThinkCell</t>
  </si>
  <si>
    <t>SR3181920</t>
  </si>
  <si>
    <t>3197 – TONELLI Alessandro (rinomina) – cdc 240 User Interface, Infotainment and Connected Car – IG/EE-2  - Empl. Numb. 99197 MANCA MONITOR</t>
  </si>
  <si>
    <t>ITDGTOL00073306</t>
  </si>
  <si>
    <t>Naosei306!</t>
  </si>
  <si>
    <t>Canoe 15, Driver FTDI Level Shifter - Beyond Trust</t>
  </si>
  <si>
    <t>SR3181926</t>
  </si>
  <si>
    <t>3198 – GAVRILIUC Ion (rinomina) – cdc 240 User Interface, Infotainment and Connected Car – IG/EE-2  - Empl. Numb. 99198</t>
  </si>
  <si>
    <t>ITDGTOL00073307</t>
  </si>
  <si>
    <t>Naosei307!</t>
  </si>
  <si>
    <t>Canoe 10, Canoe 15, Canape Driver FTDI Level Shifter - Beyond Trust</t>
  </si>
  <si>
    <t>SR3181914</t>
  </si>
  <si>
    <t>3196 – SONZINI Paola – cdc 240 User Interface, Infotainment and Connected Car – IG/EE-2 – Empl. Numb. 99196</t>
  </si>
  <si>
    <t>ITDGTOL00073305</t>
  </si>
  <si>
    <t>Naosei305!</t>
  </si>
  <si>
    <t>SR3177444</t>
  </si>
  <si>
    <t>3194 – CURA Seren – cdc 279 Vehicle Safety Development – IG/ER-4 – Empl. Numb. 99194</t>
  </si>
  <si>
    <t>ITDGTOL00073303</t>
  </si>
  <si>
    <t>Culindri303</t>
  </si>
  <si>
    <t>Diadem-Kisters-Vviewer</t>
  </si>
  <si>
    <t>SR3177432</t>
  </si>
  <si>
    <t>3189 – PINTO Michele (rinomina) – cdc 286 Electric &amp; electronics – IG/EE – Empl. Numb. 99189</t>
  </si>
  <si>
    <t>ITDGTOL00073299</t>
  </si>
  <si>
    <t>Culindri299</t>
  </si>
  <si>
    <t>SR3177435</t>
  </si>
  <si>
    <t>3190 – SCARANO Roberta (rinomina) – cdc 239 Architecture &amp; Integration – IG/EG-I – Empl. Numb. 99190</t>
  </si>
  <si>
    <t>ITDGTOL00073300</t>
  </si>
  <si>
    <t>Culindri300</t>
  </si>
  <si>
    <t>SR3181938</t>
  </si>
  <si>
    <t>3200 – D’ARGENIO Luca – cdc 240 User Interface, Infotainment and Connected Car – IG/EE-1 – Empl. Numb. 99200</t>
  </si>
  <si>
    <t>ITDGTOL00073309</t>
  </si>
  <si>
    <t>Naosei309!</t>
  </si>
  <si>
    <t>SR3181944</t>
  </si>
  <si>
    <t>Matteo Spina IG/GT-P</t>
  </si>
  <si>
    <t>ITDGTOL00073310</t>
  </si>
  <si>
    <t>Naosei310!</t>
  </si>
  <si>
    <t>SR3190245</t>
  </si>
  <si>
    <t>3203 – DE SALVO Samuel – cdc 6289 Engineering Services – IG/ES – Empl. Numb. 99203</t>
  </si>
  <si>
    <t>ERP</t>
  </si>
  <si>
    <t>SR3199313</t>
  </si>
  <si>
    <t>3204 – PANERO Pietro – cdc 101 Design Research – IG/D-1 – Empl. Numb. 99204</t>
  </si>
  <si>
    <t>Photoshop, Illustrator, Rhino 3d v7, Fusion 360, Blender, Keyshot 2023</t>
  </si>
  <si>
    <t>SR3199310</t>
  </si>
  <si>
    <t>3205 – DEMARTIS Manuel - cdc 146 Surfacing - CAS – IG/D-61 – Empl. Numb. 99205</t>
  </si>
  <si>
    <t>Alias Surface, Alias Vred, Photoshop</t>
  </si>
  <si>
    <t>SR3181964</t>
  </si>
  <si>
    <t>3201 – DI BLASI Gianluca (rinomina) – cdc 276 Exteriors Numerical Simulations – IG/ER-N – Empl. Numb. 99201</t>
  </si>
  <si>
    <t>ITDGTOL00073335</t>
  </si>
  <si>
    <t>Naosei335!</t>
  </si>
  <si>
    <t>SR3177447</t>
  </si>
  <si>
    <t>3192 – CAPORALE Emiliano – cdc 282 Exteriors Development – IG/ER-2L – Empl. Numb. 99192 </t>
  </si>
  <si>
    <t>ITDGTOL00073329</t>
  </si>
  <si>
    <t>Culindri329</t>
  </si>
  <si>
    <t>SR3181976</t>
  </si>
  <si>
    <t>Lombardi, Giovanni (IG/ER-2L) - ITDGTOL00069204</t>
  </si>
  <si>
    <t>ITDGTOL00073337</t>
  </si>
  <si>
    <t>Naosei337!</t>
  </si>
  <si>
    <t>Connect, Catia, Status-E, Material tool, Webex, Avon</t>
  </si>
  <si>
    <t>SR3181970</t>
  </si>
  <si>
    <t>IQBAL Usman – cdc 242, ADAS Development – IDD/EE-5 employee number 98985</t>
  </si>
  <si>
    <t>ITDGTOL00073336</t>
  </si>
  <si>
    <t>Naosei336!</t>
  </si>
  <si>
    <t>SR3204367</t>
  </si>
  <si>
    <t>Raspante Massimiliano</t>
  </si>
  <si>
    <t>Elitebook 840</t>
  </si>
  <si>
    <t>SR3152329</t>
  </si>
  <si>
    <t>Schilling, Horst Joachim IDD/G - ITDGTOL00070444  - WOLFSBURG</t>
  </si>
  <si>
    <t>ITDGTOL00073293</t>
  </si>
  <si>
    <t>Wolfsburg</t>
  </si>
  <si>
    <t>SR3177450</t>
  </si>
  <si>
    <t>Bhadri, Koushik Sheshadri (IDD/EG-I) - ITDGTOL00072428</t>
  </si>
  <si>
    <t>ITDGTOL00073330</t>
  </si>
  <si>
    <t>Culindri330</t>
  </si>
  <si>
    <t xml:space="preserve">Gaimersheim </t>
  </si>
  <si>
    <t>SR3181958</t>
  </si>
  <si>
    <t>Foti, Simone (IG/Q-2) - ITDGTOL00069208</t>
  </si>
  <si>
    <t>ITDGTOL00073334</t>
  </si>
  <si>
    <t>Naosei334!</t>
  </si>
  <si>
    <t>KeePass2-Catia-Connect-AcrobatWriter</t>
  </si>
  <si>
    <t>SR3182099</t>
  </si>
  <si>
    <t>Garrone, Antonello (IG/EL) - ITDGTOL00070600</t>
  </si>
  <si>
    <t>ITDGTOL00073311</t>
  </si>
  <si>
    <t>Naosei311!</t>
  </si>
  <si>
    <t>SR3199535</t>
  </si>
  <si>
    <t>BICHIOU Salim – cdc 239, Architecture &amp; Integration – IDD/EG-I  – employee number 98984</t>
  </si>
  <si>
    <t>ITDGTOL00073312</t>
  </si>
  <si>
    <t>SR3211252</t>
  </si>
  <si>
    <t>Madriz Claramunt, Federico (IDD/EE)</t>
  </si>
  <si>
    <t>ITDGTOL00071711</t>
  </si>
  <si>
    <t>Alemanha711!</t>
  </si>
  <si>
    <t>SR3215447</t>
  </si>
  <si>
    <t>3206 – LOSCHI Alessandro (rinomina) – 240 User Interface, Infotainment and Connected Car – IG/EE-2 – Empl. Numb. 99206 - 347 37 59 183</t>
  </si>
  <si>
    <t>ELITEBOOK 640 i5 16 GB ITA</t>
  </si>
  <si>
    <t>ITDGTOL00073614</t>
  </si>
  <si>
    <t>cALISTRI614</t>
  </si>
  <si>
    <t>Cp-Tool, WinSCP, Notepad++, Putty, remove AutoSwitch</t>
  </si>
  <si>
    <t>SR3204491</t>
  </si>
  <si>
    <t>3209 – D’EUSTACCHIO Mauro – cdc 238 Special Vehicles – IG/EL-1  - Empl. Numb. 99209</t>
  </si>
  <si>
    <t>Zbook Z16 ITA</t>
  </si>
  <si>
    <t>ITDGTOL00073338</t>
  </si>
  <si>
    <t>Catia V5, Connect, Thinkcell</t>
  </si>
  <si>
    <t>SR3204479</t>
  </si>
  <si>
    <t>3211 – DONETTI Dario – cdc 284 Interiors Development – IG/EI-33 – Empl. Numb. 99211</t>
  </si>
  <si>
    <t>ITDGTOL00073339</t>
  </si>
  <si>
    <t>Eternidade339!</t>
  </si>
  <si>
    <t>SR3215439</t>
  </si>
  <si>
    <t>3208 – SCAPIN Federica – cdc 359 Product Quality – IG/Q-1 – Empl. Numb. 99208</t>
  </si>
  <si>
    <t>ITDGTOL00073613</t>
  </si>
  <si>
    <t>Calistri613</t>
  </si>
  <si>
    <t>SR3217857</t>
  </si>
  <si>
    <t>3207 – DEMENUS Kyllian (rinomina) – cdc 278 Vehicle Functional Development – IG/EG-5 – Empl. Numb. 99207 +33 669 33 82 38</t>
  </si>
  <si>
    <t>Zbook Z16 US</t>
  </si>
  <si>
    <t>ITDGTOL00073340</t>
  </si>
  <si>
    <t>Endergirl340!</t>
  </si>
  <si>
    <t>Catia, Think Cell - connect</t>
  </si>
  <si>
    <t>SR3215470</t>
  </si>
  <si>
    <t>Salton, Lorenzo (IG/ER-2M) - ITDGTOL00069781</t>
  </si>
  <si>
    <t>ITDGTOL00073638</t>
  </si>
  <si>
    <t>Palermo638</t>
  </si>
  <si>
    <t>Catia, Kcad, Avon</t>
  </si>
  <si>
    <t>SR3215464</t>
  </si>
  <si>
    <t>3210 – APRILE Antonio Cosimo – cdc 239 Architecture &amp; Integration – IG/EG-I – Empl. Numb. 99210</t>
  </si>
  <si>
    <t>ELITEBOOK 840 i5 16 GB</t>
  </si>
  <si>
    <t>SR3190239</t>
  </si>
  <si>
    <t>3199 – MIGALE Alessandro – cdc 240 User Interface, Infotainment and Connected Car – IG/EE-2 – Empl. Numb. 99199</t>
  </si>
  <si>
    <t>SR3224100</t>
  </si>
  <si>
    <t>Ejibenam, Chukwuebuka Patrick (IG/EE-1) - ITDGTOL00068355</t>
  </si>
  <si>
    <t>ITDGTOL00073342</t>
  </si>
  <si>
    <t>Fiedaegua342!</t>
  </si>
  <si>
    <t>SR3217863</t>
  </si>
  <si>
    <t>Carbone, Laura (IG/ER-N) - ITDGTOL00068232 - schermo non funzionante</t>
  </si>
  <si>
    <t>ITDGTOL00073341</t>
  </si>
  <si>
    <t>Endergirl341!</t>
  </si>
  <si>
    <t>Ultra VNC-Connect</t>
  </si>
  <si>
    <t>SR3223562</t>
  </si>
  <si>
    <t>Lombardi, Luigi (IG/B-2) - ITDGTOL00065791</t>
  </si>
  <si>
    <t>ITDGTOL00073615</t>
  </si>
  <si>
    <t>Fiedaegua615!</t>
  </si>
  <si>
    <t>SR3226468</t>
  </si>
  <si>
    <t>Anders Matthias</t>
  </si>
  <si>
    <t>ITDGTOL00073343</t>
  </si>
  <si>
    <t>Pixel343!</t>
  </si>
  <si>
    <t>SR3223573</t>
  </si>
  <si>
    <t>Cravero, Marco (IG/SH-2) - ITDGTOL00065125</t>
  </si>
  <si>
    <t>ITDGTOL00073616</t>
  </si>
  <si>
    <t>Fiedaegua616!</t>
  </si>
  <si>
    <t>SR3226385</t>
  </si>
  <si>
    <t>Bertazzoni, Alessandro (IG/EG-5)</t>
  </si>
  <si>
    <t>ITDGTOL00073366</t>
  </si>
  <si>
    <t>Coverci366!</t>
  </si>
  <si>
    <t>Canape20-Configurazione moduli CSM-DEWESOFT</t>
  </si>
  <si>
    <t>SR3215473</t>
  </si>
  <si>
    <t>Cantaro, Oscar (IG/P-82) - ITDGTOL00069471</t>
  </si>
  <si>
    <t>ITDGTOL00073639</t>
  </si>
  <si>
    <t>Palermo639</t>
  </si>
  <si>
    <t>TAGLIO di WORKNC</t>
  </si>
  <si>
    <t>SR3232343</t>
  </si>
  <si>
    <t>Bocchino, Bartolomeo (IG/EE) - ITDGTOL00070475</t>
  </si>
  <si>
    <t>ITDGTOL00073618</t>
  </si>
  <si>
    <t>Pizzapazza618!</t>
  </si>
  <si>
    <t>13/02 h 14.00</t>
  </si>
  <si>
    <t>SR3199541</t>
  </si>
  <si>
    <r>
      <t>3214 –</t>
    </r>
    <r>
      <rPr>
        <sz val="11"/>
        <color rgb="FFFF0000"/>
        <rFont val="Prompt Light"/>
      </rPr>
      <t xml:space="preserve"> BAUDUCCO Diletta – </t>
    </r>
    <r>
      <rPr>
        <sz val="11"/>
        <color theme="1"/>
        <rFont val="Prompt Light"/>
      </rPr>
      <t>cdc 674 Facilities &amp; Maintenance – IG/SH-2 – Empl. Numb. 99214</t>
    </r>
  </si>
  <si>
    <t>ITDGTOL00073313</t>
  </si>
  <si>
    <t>Mundial313!</t>
  </si>
  <si>
    <t>Controllare foglio consegna</t>
  </si>
  <si>
    <t>SR3234018</t>
  </si>
  <si>
    <t>3215 – MATTIO Beatrice – cdc 661 Human Resources – IG/S-2 – Empl. Numb. 99215</t>
  </si>
  <si>
    <t>Alex</t>
  </si>
  <si>
    <t>ITDGTOL00073620</t>
  </si>
  <si>
    <t>Ciambella620!</t>
  </si>
  <si>
    <t>SR3234000</t>
  </si>
  <si>
    <t>Zazzarini, Matthias Florian (IG/EG) - ITDGTOL00068399</t>
  </si>
  <si>
    <t>ITDGTOL00073619</t>
  </si>
  <si>
    <t>Ciambella619!</t>
  </si>
  <si>
    <t>Adobe Writer, Think Cell, Audi workbench</t>
  </si>
  <si>
    <t>SR3215433</t>
  </si>
  <si>
    <t>CHRISTIANS Katrin – cdc 243, EE Validation &amp; Testing – IDD/EE-4  – employee number 98986</t>
  </si>
  <si>
    <t>ITDGTOL00073612</t>
  </si>
  <si>
    <t>Calistri612</t>
  </si>
  <si>
    <t>ThinkCell, Visio, Tortoise SVN</t>
  </si>
  <si>
    <t>SR3226432</t>
  </si>
  <si>
    <t>Di Nicola, Francesca (IG/GT-D) - ITDGTOL00068228</t>
  </si>
  <si>
    <t>ITDGTOL00073617</t>
  </si>
  <si>
    <t>Tacos617!</t>
  </si>
  <si>
    <t>Think Cell, Project, Kister 3d View Station</t>
  </si>
  <si>
    <t>SR3234410</t>
  </si>
  <si>
    <t>Collesei, Dario (IG/ER-4) - ITDGTOL00069837</t>
  </si>
  <si>
    <t>ITDGTOL00073621</t>
  </si>
  <si>
    <t>Ciambella621!</t>
  </si>
  <si>
    <t>DIADEM</t>
  </si>
  <si>
    <t>SR3140807</t>
  </si>
  <si>
    <t>Folli, Moreno (IG/EE) - ITDGTOL00070555</t>
  </si>
  <si>
    <t>Zbook Z15 ITA</t>
  </si>
  <si>
    <t>ITDGTOL00071793</t>
  </si>
  <si>
    <t>Cortex793!</t>
  </si>
  <si>
    <t>SR3238059</t>
  </si>
  <si>
    <t>Grippo, Riccardo IG/D-S</t>
  </si>
  <si>
    <t>Zbook Z16 - 64 GB ITA</t>
  </si>
  <si>
    <t>ITDGTOL00076003</t>
  </si>
  <si>
    <t>Marmellata003</t>
  </si>
  <si>
    <t>SR3228860</t>
  </si>
  <si>
    <t>Bravin, Marco (IG/EL-2) - ITDGTOL00070727</t>
  </si>
  <si>
    <t>ITDGTOL00073640</t>
  </si>
  <si>
    <t>Cannella640!</t>
  </si>
  <si>
    <t>SR3247308</t>
  </si>
  <si>
    <t>Agostino, Andrea (IG/ER-2L) - ITDGTOL00073332</t>
  </si>
  <si>
    <t>ITDGTOL00073345</t>
  </si>
  <si>
    <t>Sabedoria345!</t>
  </si>
  <si>
    <t>Catia V5 ; Connect ; AVON; Vamos; KIAS; Status E ; JT2Go</t>
  </si>
  <si>
    <t>SR3243531</t>
  </si>
  <si>
    <t>La Rocca, Luigi (IG/EG-7) - ITDGTOL00069194</t>
  </si>
  <si>
    <t>ITDGTOL00073344</t>
  </si>
  <si>
    <t>Sensacional344!</t>
  </si>
  <si>
    <t>AcrobatWriter-Catia-Connect</t>
  </si>
  <si>
    <t>SR3237295</t>
  </si>
  <si>
    <t>3216 – PARADISO Andrea (rinomina) – cdc 278 Vehicle Functional Development – IG/EG-Q – Empl. Numb. 99216</t>
  </si>
  <si>
    <t>ITDGTOL00073622</t>
  </si>
  <si>
    <t>Cioccolato622!</t>
  </si>
  <si>
    <t>SR3240198</t>
  </si>
  <si>
    <t>3218 – DE BENETTI Greta – cdc 650 Logistics &amp; Warehouse – IG/P-S1 – Empl. Numb. 99218</t>
  </si>
  <si>
    <t>ITDGTOL00073625</t>
  </si>
  <si>
    <t>Coniglio625!</t>
  </si>
  <si>
    <t>SR3240697</t>
  </si>
  <si>
    <t>3217 – VASTA Elisa – cdc 243 EE Validation &amp; Testing – IG/EE-4  - Empl. Numb. 99217</t>
  </si>
  <si>
    <t>ITDGTOL00073665</t>
  </si>
  <si>
    <t>Pannacotta665!</t>
  </si>
  <si>
    <t>TestStand, LabView, Canoe 10, Canoe 17, Driver Seriale, Odis</t>
  </si>
  <si>
    <t>SR3240195</t>
  </si>
  <si>
    <t>3220 – TETI Samanta – cdc 6289 Engineering Services – IG/ES – Empl. Numb. 99220</t>
  </si>
  <si>
    <t>ITDGTOL00073624</t>
  </si>
  <si>
    <t>Coniglio624!</t>
  </si>
  <si>
    <t>Solo plugin AVON</t>
  </si>
  <si>
    <t>SR3253544</t>
  </si>
  <si>
    <t>Mina Win11 fuori dominio (rif Saracco - consegnatogli in data 01/03/24)</t>
  </si>
  <si>
    <t>ELITEBOOK 640 i7 32 GB US</t>
  </si>
  <si>
    <t>SR3247655</t>
  </si>
  <si>
    <t>Verrua, Daniel (IG/EL-2) - ITDGTOL00069839</t>
  </si>
  <si>
    <t>ITDGTOL00073346</t>
  </si>
  <si>
    <t>Sabedoria346!</t>
  </si>
  <si>
    <t>Catia-Connect-TEVON-AVON-Think Cell</t>
  </si>
  <si>
    <t>SR3240192</t>
  </si>
  <si>
    <t>Gambuti, Roberto (IG/EE) - ITDGTOL00068411</t>
  </si>
  <si>
    <t>ITDGTOL00073623</t>
  </si>
  <si>
    <t>Coniglio623!</t>
  </si>
  <si>
    <t>Kisters, Integrity Starter ATVW</t>
  </si>
  <si>
    <t>SR3249226</t>
  </si>
  <si>
    <t>Trivigno, Giuseppe (IG/S-1) - ITDGTOL00070462  Tasto esc non funzionante - 342 74 37 864</t>
  </si>
  <si>
    <t>ITDGTOL00073626</t>
  </si>
  <si>
    <t>Sabedoria626!</t>
  </si>
  <si>
    <t>SR3250558</t>
  </si>
  <si>
    <t>Ferrero, Monica (IG/GT-D) - ITDGTOL00069863</t>
  </si>
  <si>
    <t>ITDGTOL00073347</t>
  </si>
  <si>
    <t>Sabedoria347!</t>
  </si>
  <si>
    <t>Connect-Kisters-AcrobatWriter</t>
  </si>
  <si>
    <t>SR3256538</t>
  </si>
  <si>
    <t>Raballo, Andrea (IG/S-31) - MANCA DOCUMENTI FIRMATI</t>
  </si>
  <si>
    <t>ITDGTOL00073666</t>
  </si>
  <si>
    <t>Sabedoria666!</t>
  </si>
  <si>
    <t>07/03/20204</t>
  </si>
  <si>
    <t>SR3256167</t>
  </si>
  <si>
    <t>Perlo, Mattia (IG/S-1) - ITDGTOL00063837</t>
  </si>
  <si>
    <t>Jackson/Balbi</t>
  </si>
  <si>
    <t>SR3253967</t>
  </si>
  <si>
    <t>3219 – CASTAGNONE Fabio – cdc 652 Purchasing – IG/B – Empl. Numb. 99219</t>
  </si>
  <si>
    <t>SR3249232</t>
  </si>
  <si>
    <t>Lisco, Giulia (IG/EI-33) - ITDGTOL00070928</t>
  </si>
  <si>
    <t>ITDGTOL00073627</t>
  </si>
  <si>
    <t>Sabedoria627!</t>
  </si>
  <si>
    <t>Kisters,Audi Workbench,Vw-Start,Sap(PT3),Think-Cell</t>
  </si>
  <si>
    <t>SR3240600</t>
  </si>
  <si>
    <t>Savino, Giuseppe (IG/S) - ITDGTOL00070490</t>
  </si>
  <si>
    <t>ITDGTOL00073664</t>
  </si>
  <si>
    <t>Gerencia664!</t>
  </si>
  <si>
    <t>ThinkCell, AdobeWriter</t>
  </si>
  <si>
    <t>SR3247180</t>
  </si>
  <si>
    <t>Marziali, Andrea (IG/ER-2M) - ITDGTOL00068809</t>
  </si>
  <si>
    <t>ITDGTOL00073643</t>
  </si>
  <si>
    <t>Candriva643</t>
  </si>
  <si>
    <t>Catia, Connect, SAP, Status-e, Avon, Tevon</t>
  </si>
  <si>
    <t>SR3261081</t>
  </si>
  <si>
    <t>Bellusci, Marco (IG/EE-2)</t>
  </si>
  <si>
    <t>Canoe17-Wireshark-Idex-Putty-Rufus-BeyondTrust</t>
  </si>
  <si>
    <t>SR3226397</t>
  </si>
  <si>
    <t>Abbamonte, Matteo (IG/EE-1)</t>
  </si>
  <si>
    <t>ITDGTOC00076007</t>
  </si>
  <si>
    <t>Montana007!</t>
  </si>
  <si>
    <t>Ubuntu</t>
  </si>
  <si>
    <t>SR3262777</t>
  </si>
  <si>
    <t>Milani, Federico (IG/D-2) - ITDGTOL00068264</t>
  </si>
  <si>
    <t>Emanuele</t>
  </si>
  <si>
    <t>ITDGTOL00073351</t>
  </si>
  <si>
    <t>Italdesign202473351</t>
  </si>
  <si>
    <t>Photoshop, Illustrator, Premiere, XD, Figma.</t>
  </si>
  <si>
    <t>SR3247174</t>
  </si>
  <si>
    <t>Bessone, Pierluigi (IG/P-72) - ITDGTOL00069750 - Problema ventola</t>
  </si>
  <si>
    <t>ITDGTOL00073642</t>
  </si>
  <si>
    <t>Candriva642</t>
  </si>
  <si>
    <t>Catia-WorkNC-Connect-Rhinoceros-Icem-Dymo</t>
  </si>
  <si>
    <t>SR3261421</t>
  </si>
  <si>
    <t>3221 – FERINI STRAMBI Stefano (rinomina) – cdc 243 EE Validation &amp; Testing – IG/EE-4 – Empl. Numb. 99221 MANCA MONITOR</t>
  </si>
  <si>
    <t>ITDGTOL00073350</t>
  </si>
  <si>
    <t>Pacoca350</t>
  </si>
  <si>
    <t>CpTool-Idex-Python-Tortoise-Visio-IntelliJ</t>
  </si>
  <si>
    <t>SR3237303</t>
  </si>
  <si>
    <t>Perera, Alessandra (IG/V-P)</t>
  </si>
  <si>
    <t>Mac</t>
  </si>
  <si>
    <t>M3 Pro</t>
  </si>
  <si>
    <t>IGITMONMC005479</t>
  </si>
  <si>
    <t>SR3267247</t>
  </si>
  <si>
    <t>Vinci, Nikolas (IG/E) - ITDGTOL00068230 - Non funziona schermo</t>
  </si>
  <si>
    <t>ITDGTOL00073650</t>
  </si>
  <si>
    <t>Pacoca650</t>
  </si>
  <si>
    <t>Catia.Connect</t>
  </si>
  <si>
    <t>SR3243573</t>
  </si>
  <si>
    <t>Assettati, Giovanni (IG/EL-1) ITDGTOL00073117</t>
  </si>
  <si>
    <t>ITDGTOL00073641</t>
  </si>
  <si>
    <t>Sensacional641!</t>
  </si>
  <si>
    <t>Adobe Acrobat DC writer, Catia V5, Photoshop, Kisters, Think Cell, 7Zip</t>
  </si>
  <si>
    <t>SR3261015</t>
  </si>
  <si>
    <t>CAVALLARO, Pino Giovanni</t>
  </si>
  <si>
    <t>ITDGTOL00073649</t>
  </si>
  <si>
    <t>Pacoca649</t>
  </si>
  <si>
    <t>SR3261094</t>
  </si>
  <si>
    <t>Rapisarda, Orazio Salvatore (IG/ER-4, extern)</t>
  </si>
  <si>
    <t>Office 840</t>
  </si>
  <si>
    <t>ITDGTOL00070600</t>
  </si>
  <si>
    <t>Kisters-JT2GO</t>
  </si>
  <si>
    <t>SR3256366</t>
  </si>
  <si>
    <t>Vangieri, Damiano (IG/ER-2E) - ITDGTOL00069193 rumore ventole</t>
  </si>
  <si>
    <t>ITDGTOL00073349</t>
  </si>
  <si>
    <t>Sabedoria349!</t>
  </si>
  <si>
    <t>MDM FWE,VLC mediaplayer, CATIA V5, Connect, Webex, Audi Workbench, AVON, TEVON</t>
  </si>
  <si>
    <t>SR3270399</t>
  </si>
  <si>
    <t>Ferrero, Federica (IG/EG-8) - ITDGTOL00065795 - 346 24 00 186</t>
  </si>
  <si>
    <t>ELITEBOOK 640 i5 16 GB US</t>
  </si>
  <si>
    <t>ITDGTOL00073315</t>
  </si>
  <si>
    <t>Canjicao315</t>
  </si>
  <si>
    <t>25/03 h 14:30</t>
  </si>
  <si>
    <t>Ti-Syncro e il visualizzatore JT2Go</t>
  </si>
  <si>
    <t>SR3274777</t>
  </si>
  <si>
    <t>Baffo, Alessandra (IG/SH-2) - ITDGTOL00069398</t>
  </si>
  <si>
    <t>ITDGTOL00073637</t>
  </si>
  <si>
    <t>Sanguinella76</t>
  </si>
  <si>
    <t>Photoshop-Autocad-Autodesk Revit</t>
  </si>
  <si>
    <t>SR3260993</t>
  </si>
  <si>
    <t>MARCENTA, Claudio</t>
  </si>
  <si>
    <t>ITDGTOL00073646</t>
  </si>
  <si>
    <t>Pacoca646</t>
  </si>
  <si>
    <t>27/03/2024 h 08:30</t>
  </si>
  <si>
    <t>SR3270420</t>
  </si>
  <si>
    <t>3. M’SELMI Wassim – cdc 240, Infotainment &amp; Connectivity – IDD/EE-2 – employee number 98992"</t>
  </si>
  <si>
    <t>Spedizione IDD</t>
  </si>
  <si>
    <t>ITDGTOL00073629</t>
  </si>
  <si>
    <t>Canjicao629</t>
  </si>
  <si>
    <t>CpTool-WinSCP-Notepad++-Putty-BeyondTrust</t>
  </si>
  <si>
    <t>SR3268619</t>
  </si>
  <si>
    <t>1. DANESE Luca – cdc 242, ADAS Development – IDD/EE-5  – employee number 98993 - SPEDIRE IDD GAIMERSHEIM</t>
  </si>
  <si>
    <t>ITDGTOL00073667</t>
  </si>
  <si>
    <t>Mandioca667</t>
  </si>
  <si>
    <t>Canoe16-Trace32-Python-Odis-Idex-CpTool-Cameo-MobaxTerm-Notepad++-Putty</t>
  </si>
  <si>
    <t>SR3275819</t>
  </si>
  <si>
    <t>2. ELGAMAL Mohamed Abdalla Mohamed – cdc 286, Electric &amp; Electronics – IDD/EE – employee number 98989</t>
  </si>
  <si>
    <t>ITDGTOL00073652</t>
  </si>
  <si>
    <t>Salpicao652</t>
  </si>
  <si>
    <t>SR3275828</t>
  </si>
  <si>
    <t>2. MOORHOUSE Gustav – cdc 240, UX/HMI/Software Development and Infotainment Components – IDD/EE-1 – employee number 98991</t>
  </si>
  <si>
    <t>ITDGTOL00073653</t>
  </si>
  <si>
    <t>Salpicao653</t>
  </si>
  <si>
    <t>SR3261001</t>
  </si>
  <si>
    <t>BULONE, Massimo</t>
  </si>
  <si>
    <t>ITDGTOL00073647</t>
  </si>
  <si>
    <t>Pacoca647</t>
  </si>
  <si>
    <t>SR3263090</t>
  </si>
  <si>
    <t>3223 – CECCANI Donatella (rinomina) – cdc 240 User Interface, Infotainment and Connected Car – IG/EE-1 – Empl. Numb. 99223</t>
  </si>
  <si>
    <t>ITDGTOL00073352</t>
  </si>
  <si>
    <t>Italdesign202473352</t>
  </si>
  <si>
    <t>photoshop, Illustrator, After effect, Premiere, XD, FIGMA, thinkcell</t>
  </si>
  <si>
    <t>SR3274358</t>
  </si>
  <si>
    <t>3222 – ALAIMO Massimiliano (rinomina) – cdc 278 Vehicle Functional Development – IG/EG-Q – Empl. Numb. 99222</t>
  </si>
  <si>
    <t>ITDGTOL00073651</t>
  </si>
  <si>
    <t>Pacoca651</t>
  </si>
  <si>
    <t>SR3260987</t>
  </si>
  <si>
    <t>SESIA, Marco</t>
  </si>
  <si>
    <t>ITDGTOL00073645</t>
  </si>
  <si>
    <t>Pacoca645</t>
  </si>
  <si>
    <t>SR3270390</t>
  </si>
  <si>
    <t>3226 – VINUESA ROSA Pedro – cdc 365 EE-systems production – IG/P-62 – Empl. Numb. 99226</t>
  </si>
  <si>
    <t>ITDGTOL00073314</t>
  </si>
  <si>
    <t>Canjicao314</t>
  </si>
  <si>
    <t>CapitanHarness-Canoe15-DriverVector-Diagra-BeyondTrust</t>
  </si>
  <si>
    <t>SR3270426</t>
  </si>
  <si>
    <t>3228 – VOLANTE Manfredi Maria – cdc 239 Architecture &amp; Integration – IG/EG-I – Empl. Numb. 99228 - PARLA INGLESE</t>
  </si>
  <si>
    <t>ITDGTOL00073630</t>
  </si>
  <si>
    <t>Canjicao630</t>
  </si>
  <si>
    <t>SR3275834</t>
  </si>
  <si>
    <t>3224 – LEO Rocco (rinomina) – cdc 240 User Interface, Infotainment and Connected Car – IG/EE-2 – Empl. Numb. 99224</t>
  </si>
  <si>
    <t>ITDGTOL00073631</t>
  </si>
  <si>
    <t>Salpicao631</t>
  </si>
  <si>
    <t>SR3281769</t>
  </si>
  <si>
    <t>3225 – REVEL GARRONE Niccolò – cdc 627 ICT &amp; Process Digitalization – IG/S-3 – Empl. Numb. 99225</t>
  </si>
  <si>
    <t>ITDGTOL00071713</t>
  </si>
  <si>
    <t>Garrafa713</t>
  </si>
  <si>
    <t>SR3260981</t>
  </si>
  <si>
    <t>ANDRIOLO, Sara</t>
  </si>
  <si>
    <t>ITDGTOL00073644</t>
  </si>
  <si>
    <t>Pacoca644</t>
  </si>
  <si>
    <t>SR3283409</t>
  </si>
  <si>
    <t>Constantin, George Andrei (IG/S-3) - ITDGTOL00072761 - Muletto</t>
  </si>
  <si>
    <t>SR3261007</t>
  </si>
  <si>
    <t>ROTTURA, Alessandro</t>
  </si>
  <si>
    <t>ITDGTOL00073648</t>
  </si>
  <si>
    <t>Pacoca648</t>
  </si>
  <si>
    <t>03/04/2024 h  14:00</t>
  </si>
  <si>
    <t>SR3271181</t>
  </si>
  <si>
    <t>3229 – GIRGSDIES Bettina – cdc 290 Engineering Project Management – IG/GT-E – Empl. Numb. 99229 </t>
  </si>
  <si>
    <t>Actis Grande, Gianluca (IG/SD) - ITDGTOL00065764</t>
  </si>
  <si>
    <t>Zbook Z16 ITA 32GB ITA</t>
  </si>
  <si>
    <t>ITDGTOL00073332</t>
  </si>
  <si>
    <t>Adobe Photoshop, Adobe Lightroom Classic, Adobe Premiere Pro, Adobe Illustrator, Adobe Acrobat DC-Magic Info Premium (per i monitor aziendali), K-Lite Codec Pack, Epson Scan (per lo scanner</t>
  </si>
  <si>
    <t>SR3281780</t>
  </si>
  <si>
    <t>Calmanti, Claudia (IDD/EI-1) - ITDGTOL00070548</t>
  </si>
  <si>
    <t>ITDGTOL00071714</t>
  </si>
  <si>
    <t>Garrafa714</t>
  </si>
  <si>
    <t>Avon, System 42, Zoom, Skype</t>
  </si>
  <si>
    <t>SR3247753</t>
  </si>
  <si>
    <t xml:space="preserve">Ruotolo, Fabrizio (IG/EE) ITDGTOL0065612 </t>
  </si>
  <si>
    <t>Matlab/Simulink-Canape-Canoe-LabView-Diadem</t>
  </si>
  <si>
    <t>SR3247756</t>
  </si>
  <si>
    <t>Quesito, Francesco (IG/EE) ITDGTOL0065613</t>
  </si>
  <si>
    <t>SR3288586</t>
  </si>
  <si>
    <t>3231 – VOTTERO Francesca – cdc 6289 Engineering Services – IG/ES – Empl. Numb. 99231</t>
  </si>
  <si>
    <t>ITDGTOL00073635</t>
  </si>
  <si>
    <t>Coitelo635</t>
  </si>
  <si>
    <t>SR3282409</t>
  </si>
  <si>
    <t>Anetsberger, Johannes (IDD/EE-5) - ITDGTOL00069312</t>
  </si>
  <si>
    <t>ITDGTOL00073657</t>
  </si>
  <si>
    <t>Garrafa657</t>
  </si>
  <si>
    <t>Vas6154-Idex-Odis-Cp-Tool-Canalyzer-Canoe-Wireshark-Notepad++-AVLConcerto</t>
  </si>
  <si>
    <t>SR3263932</t>
  </si>
  <si>
    <t> Mosca, Lucia (IG/EE-4)</t>
  </si>
  <si>
    <t>Z8 G4 WS</t>
  </si>
  <si>
    <t>MonitorTastieraMouse-Canoe16-VtestStudiov8-TightVNC-GIT</t>
  </si>
  <si>
    <t>SR3263947</t>
  </si>
  <si>
    <t>SR3280032</t>
  </si>
  <si>
    <t>Ena, Mauro (IG/P-63) - ITDGTOL00069443</t>
  </si>
  <si>
    <t>ITDGTOL00073634</t>
  </si>
  <si>
    <t>Topics634</t>
  </si>
  <si>
    <t>Agent per K-Prod, Dymo Label V8, Adobe Illustrator, Autocad, UploderV1_6 (per chiave dinamometrica FACOM), Kisters, Gimp</t>
  </si>
  <si>
    <t>SR3293102</t>
  </si>
  <si>
    <t>Vitrani, Stefano (IG/EE-5) - ITDGTOL00069206</t>
  </si>
  <si>
    <t>ITDGTOL00073658</t>
  </si>
  <si>
    <t>Linux658</t>
  </si>
  <si>
    <t>Idex, System42, Cp-Tool, Canoe 10 e 15, Canape 16 e 19, Doors (citrix), Edm</t>
  </si>
  <si>
    <t>SR3288589</t>
  </si>
  <si>
    <t>3232 – SADEK Madonna Samer Naer (rinomina) – cdc 243 EE Validation &amp; Testing – IG/EE-4 – Empl. Numb. 99232</t>
  </si>
  <si>
    <t>ITDGTOL00073636</t>
  </si>
  <si>
    <t>Coitelo636</t>
  </si>
  <si>
    <t>Canoe v.10 - VtestStudio v.8  - Git</t>
  </si>
  <si>
    <t>SR3293379</t>
  </si>
  <si>
    <t>Gemetto, Barbara (IG/D) - ITDGTOL00069874 - Lettore PKI non funzionante</t>
  </si>
  <si>
    <t>ITDGTOL00071716</t>
  </si>
  <si>
    <t>Linux716</t>
  </si>
  <si>
    <t>15/04 h 10:30</t>
  </si>
  <si>
    <t>SR3300266</t>
  </si>
  <si>
    <t>Costamagna, Giovanni (IG/P-62) ITDGTOL00063514</t>
  </si>
  <si>
    <t>Aimino</t>
  </si>
  <si>
    <t>ITDGTOL00073633</t>
  </si>
  <si>
    <t>Topics633</t>
  </si>
  <si>
    <t>16/04 h 08:30</t>
  </si>
  <si>
    <t>SR3275848</t>
  </si>
  <si>
    <t>Sgarbi, Marcello (IG/EE-2) - ITDGTOL00070699 - Via Nizza</t>
  </si>
  <si>
    <t>ITDGTOL00073632</t>
  </si>
  <si>
    <t>Salpicao632</t>
  </si>
  <si>
    <t>ArduinoIDE-FTDIDriver-VisualStudioCode-Gimp-Putty-GITSCM-WinSCP-Wireshark-Idex-Cptool-Citrix-Drawio-OBSStudio</t>
  </si>
  <si>
    <t>SR3293370</t>
  </si>
  <si>
    <t>Montanari, Andrea (IG/ER-3) - ITDGTOL00069851</t>
  </si>
  <si>
    <t>ITDGTOL00071715</t>
  </si>
  <si>
    <t>Linux715</t>
  </si>
  <si>
    <t>17/04 h 08:30</t>
  </si>
  <si>
    <t>Audi Workbench</t>
  </si>
  <si>
    <t>SR3295230</t>
  </si>
  <si>
    <t>Marenga, Anna (IG/S-3, extern)</t>
  </si>
  <si>
    <t>Pc recuperato da Vottero</t>
  </si>
  <si>
    <t>SR3304784</t>
  </si>
  <si>
    <t>3234 – TORTORELLI Giorgia - cdc 239 Architecture &amp; Integration – IG/EG-I – Empl. Numb. 99234</t>
  </si>
  <si>
    <t>PREEVision</t>
  </si>
  <si>
    <t>SR3304787</t>
  </si>
  <si>
    <t>3233 – BESENVAL Edoardo – cdc 390 VSC Project Management – IG/GT-P – Empl. Numb. 99233</t>
  </si>
  <si>
    <t>SR3282441</t>
  </si>
  <si>
    <t>Muriella, Christian (IG/EG-Q) - ITDGTOL00071565</t>
  </si>
  <si>
    <t>ITDGTOL00073654</t>
  </si>
  <si>
    <t>Garrafa654</t>
  </si>
  <si>
    <t>Alpos-Elsa-Connect</t>
  </si>
  <si>
    <t>SR3282382</t>
  </si>
  <si>
    <t>3235 – OLIVEIRA CASSOL Giordano – cdc 241 Harness Development – IG/ER-7 – Empl. Numb. 99235</t>
  </si>
  <si>
    <t>ITDGTOL00073656</t>
  </si>
  <si>
    <t>Garrafa656</t>
  </si>
  <si>
    <t>Catia, Capital Harness Viewer e Capital Harness Designer</t>
  </si>
  <si>
    <t>SR3303605</t>
  </si>
  <si>
    <t>3236 – VOTA Tiziano Gabriele (rinomina) – cdc 284 Interiors Development – IG/EI-32  - Empl. Numb. 99236 - 347 485 93 80</t>
  </si>
  <si>
    <t>SR3310505</t>
  </si>
  <si>
    <t>SARACCO</t>
  </si>
  <si>
    <t>ITDGTOL00073669</t>
  </si>
  <si>
    <t>Italdesign73669@!</t>
  </si>
  <si>
    <t>SR3307719</t>
  </si>
  <si>
    <t>3239 – LESCHIERA Matteo – cdc 290 Engineering Project Management – IG/GT-E – Empl. Numb. 99239</t>
  </si>
  <si>
    <t>ITDGTOL00071719</t>
  </si>
  <si>
    <t>Susto719</t>
  </si>
  <si>
    <t>SR3307913</t>
  </si>
  <si>
    <t>3241 – LANEVE Roberta – cdc 278 Vehicle Functional Development – IG/EG-Q – Empl. Numb. 99241</t>
  </si>
  <si>
    <t>Jack</t>
  </si>
  <si>
    <t>ITDGTOL00071717</t>
  </si>
  <si>
    <t>Susto717</t>
  </si>
  <si>
    <t>SR3311069</t>
  </si>
  <si>
    <t>3237 – BENEVENTO Riccardo (rinomina) – cdc 252 Concept Development – IG/EG-C – Empl. Numb. 99237</t>
  </si>
  <si>
    <t>ITDGTOL00076111</t>
  </si>
  <si>
    <t>Garrafa111</t>
  </si>
  <si>
    <t>SR3307727</t>
  </si>
  <si>
    <t>3240 – MELANI Marco – cdc 240 User Interface, Infotainment and Connected Car – IG/EE-1  - Empl. Numb. 99240</t>
  </si>
  <si>
    <t>ITDGTOL00071720</t>
  </si>
  <si>
    <t>Susto720</t>
  </si>
  <si>
    <t>SR3310349</t>
  </si>
  <si>
    <t>Progetto IDG_Academy_Napoli</t>
  </si>
  <si>
    <t>ITDGTOL00073671</t>
  </si>
  <si>
    <t>Curier671</t>
  </si>
  <si>
    <t>IDG_Accademy-Teamviewer-Bitlocker-Ripristino - Imp. Wifi Academy - 509330617</t>
  </si>
  <si>
    <t>SR3310352</t>
  </si>
  <si>
    <t>ITDGTOL00073672</t>
  </si>
  <si>
    <t>Curier672</t>
  </si>
  <si>
    <t>IDG_Accademy-Teamviewer-Bitlocker-Ripristino - Imp. Wifi Academy - 501185425</t>
  </si>
  <si>
    <t>SR3310355</t>
  </si>
  <si>
    <t>ITDGTOL00073673</t>
  </si>
  <si>
    <t>Curier673</t>
  </si>
  <si>
    <t>IDG_Accademy-Teamviewer-Bitlocker-Ripristino - Imp. Wifi Academy - 499292832</t>
  </si>
  <si>
    <t>SR3310358</t>
  </si>
  <si>
    <t>ITDGTOL00073674</t>
  </si>
  <si>
    <t>Curier674</t>
  </si>
  <si>
    <t>IDG_Accademy-Teamviewer-Bitlocker-Ripristino - Imp. Wifi Academy - 509561016</t>
  </si>
  <si>
    <t>SR3310361</t>
  </si>
  <si>
    <t>ITDGTOL00073675</t>
  </si>
  <si>
    <t>Curier675</t>
  </si>
  <si>
    <t>IDG_Accademy-Teamviewer-Bitlocker-Ripristino - Imp. Wifi Academy - 511511545</t>
  </si>
  <si>
    <t>SR3310364</t>
  </si>
  <si>
    <t>ITDGTOL00073676</t>
  </si>
  <si>
    <t>Turneo676</t>
  </si>
  <si>
    <t>IDG_Accademy-Teamviewer-Bitlocker-Ripristino - Imp. Wifi Academy - 505343556</t>
  </si>
  <si>
    <t>SR3310367</t>
  </si>
  <si>
    <t>ITDGTOL00073677</t>
  </si>
  <si>
    <t>Turneo677</t>
  </si>
  <si>
    <t>IDG_Accademy-Teamviewer-Bitlocker-Ripristino - Imp. Wifi Academy - 503397607</t>
  </si>
  <si>
    <t>SR3310481</t>
  </si>
  <si>
    <t>ITDGTOL00073678</t>
  </si>
  <si>
    <t>Turneo678</t>
  </si>
  <si>
    <t>IDG_Accademy-Teamviewer-Bitlocker-Ripristino - Imp. Wifi Academy - 506012610</t>
  </si>
  <si>
    <t>SR3310373</t>
  </si>
  <si>
    <t>ITDGTOL00073679</t>
  </si>
  <si>
    <t>Turneo679</t>
  </si>
  <si>
    <t>IDG_Accademy-Teamviewer-Bitlocker-Ripristino - Imp. Wifi Academy- 501851262</t>
  </si>
  <si>
    <t>SR3308718</t>
  </si>
  <si>
    <t>3243 – CAREGGIO Viola – cdc 661 Human Resources – IG/S-2 – Empl. Numb. 99243</t>
  </si>
  <si>
    <t>SR3310394</t>
  </si>
  <si>
    <t>3245 – BARCA Salvatore (rinomina) – cdc 243 EE Validation &amp; Testing – IG/EE-4 – Empl. Numb. 99245</t>
  </si>
  <si>
    <t>ITDGTOL00073670</t>
  </si>
  <si>
    <t>Castel670</t>
  </si>
  <si>
    <t>VTestStudio-Canoe10-Git</t>
  </si>
  <si>
    <t>SR3310429</t>
  </si>
  <si>
    <t>3244 – PELLICCIOTTA Daniela (rinomina) – cdc 278 Vehicle Functional Development – IG/EG-Q  - Empl. Numb. 99244</t>
  </si>
  <si>
    <t>ITDGTOL00073686</t>
  </si>
  <si>
    <t>Castel686</t>
  </si>
  <si>
    <t>SR3310376</t>
  </si>
  <si>
    <t>ITDGTOL00073680</t>
  </si>
  <si>
    <t>Turneo680</t>
  </si>
  <si>
    <t>IDG_Accademy-Teamviewer-Bitlocker-Ripristino - Imp. Wifi Academy - 505583763</t>
  </si>
  <si>
    <t>SR3310493</t>
  </si>
  <si>
    <t>ITDGTOL00073681</t>
  </si>
  <si>
    <t>Naples681</t>
  </si>
  <si>
    <t>IDG_Accademy-Teamviewer-Bitlocker-Ripristino - Imp. Wifi Academy - 512504677</t>
  </si>
  <si>
    <t>SR3310484</t>
  </si>
  <si>
    <t>ITDGTOL00073682</t>
  </si>
  <si>
    <t>Naples682</t>
  </si>
  <si>
    <t>IDG_Accademy-Teamviewer-Bitlocker-Ripristino - Imp. Wifi Academy - 533470263</t>
  </si>
  <si>
    <t>SR3310473</t>
  </si>
  <si>
    <t>ITDGTOL00073683</t>
  </si>
  <si>
    <t>Naples683</t>
  </si>
  <si>
    <t>IDG_Accademy-Teamviewer-Bitlocker-Ripristino - Imp. Wifi Academy - 535718905</t>
  </si>
  <si>
    <t>SR3310457</t>
  </si>
  <si>
    <t>ITDGTOL00073684</t>
  </si>
  <si>
    <t>Naples684</t>
  </si>
  <si>
    <t>IDG_Accademy-Teamviewer-Bitlocker-Ripristino - Imp. Wifi Academy - 536263874</t>
  </si>
  <si>
    <t>SR3310449</t>
  </si>
  <si>
    <t>ITDGTOL00073685</t>
  </si>
  <si>
    <t>Naples685</t>
  </si>
  <si>
    <t>IDG_Accademy-Teamviewer-Bitlocker-Ripristino - Imp. Wifi Academy - 539400670</t>
  </si>
  <si>
    <t>SR3309960</t>
  </si>
  <si>
    <t>3247 –  CARNOVALE Vanessa – cdc 661 Human Resources – IG/S-2 – Empl. Numb. 99247 Cadarzina matula</t>
  </si>
  <si>
    <t>ITDGTOL00073668</t>
  </si>
  <si>
    <t>Castel668</t>
  </si>
  <si>
    <t>SR3311052</t>
  </si>
  <si>
    <t>3238 – JAKAJ Aurela – cdc 282 Exteriors Development – IG/ER-2E – Empl. Numb. 99238</t>
  </si>
  <si>
    <t>ITDGTOL00076110</t>
  </si>
  <si>
    <t>Garrafa110</t>
  </si>
  <si>
    <t>SR3316644</t>
  </si>
  <si>
    <t>3242 – PADUANO Antonio – cdc 276 Exteriors Numerical Simulations – IG/ER-N – Empl. Numb. 99242</t>
  </si>
  <si>
    <t>Ansa, Putty</t>
  </si>
  <si>
    <t>SR3254754</t>
  </si>
  <si>
    <t>Boschi, Anna (IG/EE-5) - Sostituzione 4 laptop</t>
  </si>
  <si>
    <t>ITDGTOL00073348</t>
  </si>
  <si>
    <t>Sabedoria348!</t>
  </si>
  <si>
    <t>Canoe12-Diagnostic Software 6.14.0-Elaphe Device Configuration Tool-LV POSView</t>
  </si>
  <si>
    <t>SR3317742</t>
  </si>
  <si>
    <t>Casini, Davide (IG/E) - ITDGTOL00069427</t>
  </si>
  <si>
    <t>ITDGTOL00076167</t>
  </si>
  <si>
    <t>Panela167</t>
  </si>
  <si>
    <t>10 mag h 12:30</t>
  </si>
  <si>
    <t>SR3296601</t>
  </si>
  <si>
    <t>Seren Rosso Riccardo (IG/EI-34)</t>
  </si>
  <si>
    <t>ITDGTOC00073353</t>
  </si>
  <si>
    <t>Mandriva73353</t>
  </si>
  <si>
    <t>SR3317766</t>
  </si>
  <si>
    <t>Roselli, Alessandro (IG/ER-S) - ITDGTOL00068258</t>
  </si>
  <si>
    <t>ITDGTOL00076113</t>
  </si>
  <si>
    <t>Panela113</t>
  </si>
  <si>
    <t>Catia-Connect-IcemSurf-Surface-Rhinoceros(con Grasshopper)</t>
  </si>
  <si>
    <t>SR3317769</t>
  </si>
  <si>
    <t>3248 – MADDALUNO Luigi – cdc 284 Interiors Development – IG/EI-32 – Empl. Numb. 99248</t>
  </si>
  <si>
    <t>ITDGTOL00076114</t>
  </si>
  <si>
    <t>Panela114</t>
  </si>
  <si>
    <t>Catia-Connect-Vviewer-Avon</t>
  </si>
  <si>
    <t>SR3317739</t>
  </si>
  <si>
    <t>3249 – SILVA Riccardo (rinomina) – cdc 240 User Interface, Infotainment and Connected Car – IG/EE-1  - Empl. Numb. 99249 - 340 812 9508</t>
  </si>
  <si>
    <t>ITDGTOL00076166</t>
  </si>
  <si>
    <t>Panela166</t>
  </si>
  <si>
    <t>ThinkCell-Canoe-Canalyzer</t>
  </si>
  <si>
    <t>SR3317736</t>
  </si>
  <si>
    <t>Pignatale, Domenico (IG/EE) - ITDGTOL00069819 (richiesto da Saracco)</t>
  </si>
  <si>
    <t>ITDGTOL00076165</t>
  </si>
  <si>
    <t>Panela165</t>
  </si>
  <si>
    <t>14/05/20248  h 08:30</t>
  </si>
  <si>
    <t xml:space="preserve">Adobe Acrobat DC, Adobe Photoshop, Connect, Kisters </t>
  </si>
  <si>
    <t>SR3317730</t>
  </si>
  <si>
    <t>1. BADESCU Dan-Mihai – cdc 240, Infotainment &amp; Connectivity – IDD/EE-2 – employee number 98994 GAIMERSHEIM</t>
  </si>
  <si>
    <t>ITDGTOL00073687</t>
  </si>
  <si>
    <t>Panela687</t>
  </si>
  <si>
    <t>SR3317772</t>
  </si>
  <si>
    <t>2. GIOLITTI Marco – cdc 242, ADAS Development – IDD/EE-5  – employee number 98995 GAIMERSHEIM</t>
  </si>
  <si>
    <t>ITDGTOL00076115</t>
  </si>
  <si>
    <t>Panela115</t>
  </si>
  <si>
    <t>PyCharm-Idex-CpTool-Canoe-Canalyzer-Canape-Cameo-Wireshark</t>
  </si>
  <si>
    <t>SR3327263</t>
  </si>
  <si>
    <t>Zanellato - Nichelino - Desigo</t>
  </si>
  <si>
    <t>Office</t>
  </si>
  <si>
    <t>Pc richiesto da Vigna in data 14/05/24, da assegnare a Zanellato (Nichelino) per gestire il sw Desigo</t>
  </si>
  <si>
    <t>SR3327266</t>
  </si>
  <si>
    <t>Balzani - Nichelino - Vigilon</t>
  </si>
  <si>
    <t>Pc richiesto da Vigna in data 14/05 per sostituire il pc della videosorveglianza a Nichelino (sw Vigilon)</t>
  </si>
  <si>
    <t>SR3317778</t>
  </si>
  <si>
    <t>Napoli, Michele (IG/EG-8) - ITDGTOL00069876</t>
  </si>
  <si>
    <t>Panela117</t>
  </si>
  <si>
    <t>Connect - Catia</t>
  </si>
  <si>
    <t>SR3323212</t>
  </si>
  <si>
    <t>3250 – EL HOMRANI Seif Eddine (rinomina) – cdc 243 EE Validation &amp; Testing – IG/EE-4 – Empl. Numb. 99250</t>
  </si>
  <si>
    <t>ITDGTOL00076168</t>
  </si>
  <si>
    <t>Azteco76168</t>
  </si>
  <si>
    <t>Canoe 10 - Vtest Studio v.8 - Tightvnc - Git - Vteste Viewer</t>
  </si>
  <si>
    <t>SR3323220</t>
  </si>
  <si>
    <t>Balma, Caterina (IG/B-1) - ITDGTOL00069168 - Batteria Gonfia</t>
  </si>
  <si>
    <t>ITDGTOL00076169</t>
  </si>
  <si>
    <t>Azteco76169</t>
  </si>
  <si>
    <t>SR3282367</t>
  </si>
  <si>
    <t>Cagno, Francesco (IG/P-82) - ITDGTOL00063896</t>
  </si>
  <si>
    <t>ITDGTOL00073655</t>
  </si>
  <si>
    <t>Garrafa655</t>
  </si>
  <si>
    <t>Settimana del 15/4</t>
  </si>
  <si>
    <t>Catia-Tebis (Saracco)</t>
  </si>
  <si>
    <t>SR3329218</t>
  </si>
  <si>
    <t>3252 – COLLO Lorenzo – cdc 670 General Direction – IG/G – Empl. Numb. 99252</t>
  </si>
  <si>
    <t>SR3327257</t>
  </si>
  <si>
    <t>3254 – CANDIAN Alessia – cdc 6189 Design Services – IG/D – Empl. Numb. 99254</t>
  </si>
  <si>
    <t>SR3327260</t>
  </si>
  <si>
    <t>3253 – GIAI BAUDISSARD Roberto – cdc 610 Business Development – IG/V – Empl. Numb. 99253</t>
  </si>
  <si>
    <t>SR3323228</t>
  </si>
  <si>
    <t>3251 – FAUCI Gabriella – cdc 216 IT Digital Services – IG/S-32 – Empl. Numb. 99251</t>
  </si>
  <si>
    <t>ITDGTOL00076170</t>
  </si>
  <si>
    <t>Azteco76170</t>
  </si>
  <si>
    <t>SR3323204</t>
  </si>
  <si>
    <t>Vinci - Nikolas - ITDGTOL00073650</t>
  </si>
  <si>
    <t>ITDGTOL00076119</t>
  </si>
  <si>
    <t>Azteco76119</t>
  </si>
  <si>
    <t>Catia - Connect - Thinkcell</t>
  </si>
  <si>
    <t>SR3329204</t>
  </si>
  <si>
    <t>Pellegrino, Antonio (IG/P-62) - ITDGTOL00069215 - IR3319210</t>
  </si>
  <si>
    <t>SR3327254</t>
  </si>
  <si>
    <t>Serafini, Daniele (IG/EE-5) - ITDGTOL00069309</t>
  </si>
  <si>
    <t>CAD</t>
  </si>
  <si>
    <t>CP-Tool - Fimp, Git - Idex - Python - ODIS - EPM - CANalyzer 15 - CANape 20 - CANoe 15 - CAMEO</t>
  </si>
  <si>
    <t>SR3324048</t>
  </si>
  <si>
    <t>Muletto per Sonzini Paola IG/EE-2</t>
  </si>
  <si>
    <t>Mosquitto2,0,15-Python 3,11-GIT-VisualStudio</t>
  </si>
  <si>
    <t>SR3294437</t>
  </si>
  <si>
    <t>Lovera, Alexio (IG/P-62) - ITDGTOL00068402</t>
  </si>
  <si>
    <t>ITDGTOL00071721</t>
  </si>
  <si>
    <t>Cruzcredo721</t>
  </si>
  <si>
    <t>Connect - NOVO Viewer</t>
  </si>
  <si>
    <t>SR3341005</t>
  </si>
  <si>
    <t>3255 – ALTIERI Giuliana – cdc 101 Design Research – IG/D-3 – Empl. Numb. 99255</t>
  </si>
  <si>
    <t>Photoshop-Illustrator-XD-AfterEffect-Blender</t>
  </si>
  <si>
    <t>SR3317775</t>
  </si>
  <si>
    <t>Milic, Mirjana (IG/ER-N) - ITDGTOL00068224</t>
  </si>
  <si>
    <t>ITDGTOL00076116</t>
  </si>
  <si>
    <t>Panela116</t>
  </si>
  <si>
    <t>Putty - WinSCP - Connect - Kisters - Ansa - MetaPost - Animator - Pacchetto Hexagon/MSC Sw</t>
  </si>
  <si>
    <t>SR3323186</t>
  </si>
  <si>
    <t>Miserere, Silvio (IG/ER-N) - ITDGTOL00068222</t>
  </si>
  <si>
    <t>&lt;</t>
  </si>
  <si>
    <t>Azteco76118</t>
  </si>
  <si>
    <t>Gimp - PDFsam Basic - Blade 4.0 - CATIA - CONNECT - Kirsten - Actran</t>
  </si>
  <si>
    <t>SR3336533</t>
  </si>
  <si>
    <t>3257 – VITIELLO Gianluca (rinomina) – cdc 240 User Interface, Infotainment and Connected Car – IG/EE-2 – Empl. Numb. 99257 345 343 95 76</t>
  </si>
  <si>
    <t>ITDGTOL00076171</t>
  </si>
  <si>
    <t>Furacao171</t>
  </si>
  <si>
    <t>CpTool-WinSCP-Notepad++-PuTTy-BeyondTrust</t>
  </si>
  <si>
    <t>SR3336557</t>
  </si>
  <si>
    <t>3259 – INSALACO Cristina – cdc 240 User Interface, Infotainment and Connected Car – IG/EE-2 – Empl. Numb. 99259</t>
  </si>
  <si>
    <t>ITDGTOL00076172</t>
  </si>
  <si>
    <t>Furacao172</t>
  </si>
  <si>
    <t>SR3340230</t>
  </si>
  <si>
    <t>3258 – ABATE Valentina – cdc 370 Project Readiness – IG/B-2 – Empl. Numb. 99258</t>
  </si>
  <si>
    <t>ITDGTOL00076173</t>
  </si>
  <si>
    <t>Aguagelada173</t>
  </si>
  <si>
    <t>SR3340236</t>
  </si>
  <si>
    <t>3260 – ALFERI Manuela – cdc 679 Prevention &amp; Safety – IG/SH-1 – Empl. Numb. 99260</t>
  </si>
  <si>
    <t>Aguagelada174</t>
  </si>
  <si>
    <t>SR3306229</t>
  </si>
  <si>
    <t>Garcia Sanchis, Joaquin (IG/D)</t>
  </si>
  <si>
    <t>Cruzcredo718</t>
  </si>
  <si>
    <t>Dopo 24 maggio</t>
  </si>
  <si>
    <t>Photoshop and Acrobat "writer"</t>
  </si>
  <si>
    <t>SR3352913</t>
  </si>
  <si>
    <t>De Pasquale, Bruno (IG/P-S1) - ITDGTOL00072915</t>
  </si>
  <si>
    <t>SR3353515</t>
  </si>
  <si>
    <t>Carbone, Nicholas (IG/P-83) - ITDGTOL00060601</t>
  </si>
  <si>
    <t>SR3345361</t>
  </si>
  <si>
    <t>Musmeci, Ettore (IG/EE-2)</t>
  </si>
  <si>
    <t>ITDGTOC00076593</t>
  </si>
  <si>
    <t>Jesussalva593</t>
  </si>
  <si>
    <t>EPM-Idex-CPTool + 1 cavo eth</t>
  </si>
  <si>
    <t>SR3345367</t>
  </si>
  <si>
    <t>ITDGTOC00076594</t>
  </si>
  <si>
    <t>Jesussalva594</t>
  </si>
  <si>
    <t>SR3345373</t>
  </si>
  <si>
    <t>ITDGTOC00076595</t>
  </si>
  <si>
    <t>Jesussalva595</t>
  </si>
  <si>
    <t>SR3327994</t>
  </si>
  <si>
    <t>Belvedere Michele - Ved. Mail Saracco</t>
  </si>
  <si>
    <t>Catia - Connect - Pacchetto ansys</t>
  </si>
  <si>
    <t>SR3351431</t>
  </si>
  <si>
    <t>Succo, Sara (IG/F-12) - ITDGTOL00070659 - PC guasto (caduta)</t>
  </si>
  <si>
    <t>ITDGTOL00076179</t>
  </si>
  <si>
    <t>Correria179</t>
  </si>
  <si>
    <t>Think cell - citrix</t>
  </si>
  <si>
    <t>SR3317733</t>
  </si>
  <si>
    <t>Soleti, Annalisa (IG/B-1) - ITDGTOL00070682 (richiesto da Saracco)</t>
  </si>
  <si>
    <t>ITDGTOL00073688</t>
  </si>
  <si>
    <t>Panela688</t>
  </si>
  <si>
    <t>CITRIX, Think cell</t>
  </si>
  <si>
    <t>SR3353009</t>
  </si>
  <si>
    <t>Montesi, Diego (IG/ER-N) - ITDGTOL00068233</t>
  </si>
  <si>
    <t>ITDGTOL00076123</t>
  </si>
  <si>
    <t>Correria123</t>
  </si>
  <si>
    <t>Catia - Kisters</t>
  </si>
  <si>
    <t>SR3353401</t>
  </si>
  <si>
    <t>3261 – FERRATINI Pietro – cdc 290 Engineering Project Management – IG/GT-E – Empl. Numb. 99261</t>
  </si>
  <si>
    <t>SR3352949</t>
  </si>
  <si>
    <t>Pomponio, Pierpaolo (IG/ER-2B) - ITDGTOL00070733</t>
  </si>
  <si>
    <t>Manu</t>
  </si>
  <si>
    <t>ITDGTOL00076122</t>
  </si>
  <si>
    <t>Correria122</t>
  </si>
  <si>
    <t>SR3356504</t>
  </si>
  <si>
    <t>Di Lorenzo, Giacomo (IG/EE-4) - ITDGTOL00068791 - Non si accende</t>
  </si>
  <si>
    <t>ITDGTOL00076185</t>
  </si>
  <si>
    <t>Sozinho185</t>
  </si>
  <si>
    <t>SR3352872</t>
  </si>
  <si>
    <t>Barbi, Giacomo (IG/EE-2) - ITDGTOL00070719 - Non urgente, ma tasto "I" rotto, si stacca di continuo</t>
  </si>
  <si>
    <t>ITDGTOL00076181</t>
  </si>
  <si>
    <t>Correria181</t>
  </si>
  <si>
    <t>System 42 - CP Tool - Idex - EsoTrace Viewer - Falko - Notepad++, Audacity - AudiWorkbench 4.0 - canoe - Avon - Tevon - Cirtrix</t>
  </si>
  <si>
    <t>SR3356498</t>
  </si>
  <si>
    <t>3264 – RHO Francesca – cdc 6289 Engineering Services – IG/ES – Empl. Numb. 99264</t>
  </si>
  <si>
    <t>ITDGTOL00076184</t>
  </si>
  <si>
    <t>Sozinho184</t>
  </si>
  <si>
    <t>SR3336479</t>
  </si>
  <si>
    <t>3262 – DI MENNA Umberto – cdc 282 Exteriors Development – IG/ER-2L – Empl. Numb. 99262</t>
  </si>
  <si>
    <t>ITDGTOL00076120</t>
  </si>
  <si>
    <t>Furacao120</t>
  </si>
  <si>
    <t>SR3352866</t>
  </si>
  <si>
    <t>3263 – ZINGARELLI Annapaola (rinomina) – cdc 239 Architecture &amp; Integration – IG/EG-I  - Empl. Numb. 99263 - 348 120 2424</t>
  </si>
  <si>
    <t>ITDGTOL00076180</t>
  </si>
  <si>
    <t>Correria180</t>
  </si>
  <si>
    <t>SR3336509</t>
  </si>
  <si>
    <t>Caminiti, Rocco (IG/EG-7) - ITDGTOL00069827 - Non funziona lettore PKI</t>
  </si>
  <si>
    <t>ITDGTOL00076121</t>
  </si>
  <si>
    <t>Furacao121</t>
  </si>
  <si>
    <t>SR3356492</t>
  </si>
  <si>
    <t>Graziano, Walter (IG/P-72) - ITDGTOL00065800 - 338 88 30 156</t>
  </si>
  <si>
    <t>ITDGTOL00076183</t>
  </si>
  <si>
    <t>Sozinho183</t>
  </si>
  <si>
    <t>SR3345379</t>
  </si>
  <si>
    <t>Minelli, Pietro (IG/EE-2)</t>
  </si>
  <si>
    <t>ITDGTOC00076596</t>
  </si>
  <si>
    <t>Jesussalva596</t>
  </si>
  <si>
    <t>Canoe16-EPM-FTDI Driver</t>
  </si>
  <si>
    <t>SR3345385</t>
  </si>
  <si>
    <t>ITDGTOC00076597</t>
  </si>
  <si>
    <t>Jesussalva597</t>
  </si>
  <si>
    <t>SR3345391</t>
  </si>
  <si>
    <t>ITDGTOC00076598</t>
  </si>
  <si>
    <t>Jesussalva598</t>
  </si>
  <si>
    <t>SR3345397</t>
  </si>
  <si>
    <t>ITDGTOC00076599</t>
  </si>
  <si>
    <t>Jesussalva599</t>
  </si>
  <si>
    <t>SR3345403</t>
  </si>
  <si>
    <t>ITDGTOC00076600</t>
  </si>
  <si>
    <t>Jesussalva600</t>
  </si>
  <si>
    <t>SR3345409</t>
  </si>
  <si>
    <t>ITDGTOC00076601</t>
  </si>
  <si>
    <t>Jesussalva601</t>
  </si>
  <si>
    <t>SR3345415</t>
  </si>
  <si>
    <t>ITDGTOC00076602</t>
  </si>
  <si>
    <t>Jesussalva602</t>
  </si>
  <si>
    <t>SR3357115</t>
  </si>
  <si>
    <t>Pappadia, Pasquale (IG/P-63) - ITDGTOL00058911 -Danno della pioggia</t>
  </si>
  <si>
    <t>ITDGTOL00070443</t>
  </si>
  <si>
    <t>SR3361243</t>
  </si>
  <si>
    <t>Borger, Benjamin (IDD/EI-33) - PC Rubato</t>
  </si>
  <si>
    <t>ITDGTOL00076186</t>
  </si>
  <si>
    <t>Luxemburgo186</t>
  </si>
  <si>
    <t>SR3344167</t>
  </si>
  <si>
    <t xml:space="preserve">Riccardi, Martina (IG/F-12) - ITDGTOL00069433	</t>
  </si>
  <si>
    <t>ITDGTOL00076178</t>
  </si>
  <si>
    <t>Jesussalva178</t>
  </si>
  <si>
    <t>Power BI Desktop</t>
  </si>
  <si>
    <t>SR3352887</t>
  </si>
  <si>
    <t>Mastratisi, Franco (IG/EG-8) - ITDGTOL00068422</t>
  </si>
  <si>
    <t>ITDGTOL00076182</t>
  </si>
  <si>
    <t>Correria182</t>
  </si>
  <si>
    <t>Ti-Syncro - Avon</t>
  </si>
  <si>
    <t>SR3361261</t>
  </si>
  <si>
    <t>Kang, Han-See (IG/EE-2) - ITDGTOL00073116 - Schermo guasto</t>
  </si>
  <si>
    <t>ITDGTOL00076188</t>
  </si>
  <si>
    <t>Luxemburgo188</t>
  </si>
  <si>
    <t>SR3361255</t>
  </si>
  <si>
    <t>Agnelli, Denis (IG/S-31) - ITDGTOL00070641</t>
  </si>
  <si>
    <t>ITDGTOL00076187</t>
  </si>
  <si>
    <t>Luxemburgo187</t>
  </si>
  <si>
    <t>PowerBI Desktop</t>
  </si>
  <si>
    <t>SR3356486</t>
  </si>
  <si>
    <t>Maggiolo, Sara (IG/D-62) - ITDGTOL00069463 - Tastiera non funziona - 334 38 07 247</t>
  </si>
  <si>
    <t>ITDGTOL00076126</t>
  </si>
  <si>
    <t>Sozinho126</t>
  </si>
  <si>
    <t>Alias 2023, 2024 - Connect</t>
  </si>
  <si>
    <t>SR3356472</t>
  </si>
  <si>
    <t>Bezzan, Patrizio (IG/EL-1) - ITDGTOL00069752 - PC non si accende</t>
  </si>
  <si>
    <t>ITDGTOL00076124</t>
  </si>
  <si>
    <t>Sozinho124</t>
  </si>
  <si>
    <t>SR3372331</t>
  </si>
  <si>
    <t>Rastelli, Giuseppe (IDD/ER-7) - ITDGTOL00069201</t>
  </si>
  <si>
    <t>ITDGTOL00076128</t>
  </si>
  <si>
    <t>Rosa128</t>
  </si>
  <si>
    <t>Catia - Connect - Avon</t>
  </si>
  <si>
    <t>SR3372283</t>
  </si>
  <si>
    <t>3271 – MARCHINA Alessandro (rinomina) – cdc 278 Vehicle Functional Development – IG/EG-Q – Empl. Numb. 99271  - 348 14 29 072</t>
  </si>
  <si>
    <t>ITDGTOL00076190</t>
  </si>
  <si>
    <t>Rosa190</t>
  </si>
  <si>
    <t>SR3373089</t>
  </si>
  <si>
    <t>3270 – CUCCURULLO Simone Antonio Giuseppe (ronomina) – cdc 246 Engineering Surfacing – IG/ER-S – Empl. Numb. 99270 - 347 31 38 309</t>
  </si>
  <si>
    <t>ITDGTOL00076543</t>
  </si>
  <si>
    <t>Rosa543</t>
  </si>
  <si>
    <t xml:space="preserve">Unity - Maya - VRED 2024 </t>
  </si>
  <si>
    <t>SR3372339</t>
  </si>
  <si>
    <t>3268 – BORIO Alessandro (rinomina) – cdc 243 EE Validation &amp; Testing – IG/EE-4 – Empl. Numb. 99268 </t>
  </si>
  <si>
    <t>ITDGTOL00076129</t>
  </si>
  <si>
    <t>Rosa129</t>
  </si>
  <si>
    <t>LabView-TestStand-Canoe10-DriverSeriali-EPM</t>
  </si>
  <si>
    <t>SR3356480</t>
  </si>
  <si>
    <t>3265 – SOPRANO Vittorio (rinomina) – cdc 242 ADAS Development – IG/EE-5 – Empl. Numb. 99265</t>
  </si>
  <si>
    <t>ITDGTOL00076125</t>
  </si>
  <si>
    <t>Sozinho125</t>
  </si>
  <si>
    <t>Canoe10_15-Canape16_19-Canalyzer15-Vector XL Driver Library-CpTool-Idex-Odis - EPM-Citrix-AudiWorkbench-ThinkCell</t>
  </si>
  <si>
    <t>SR3372277</t>
  </si>
  <si>
    <t>3267 – FORTINI Christian (rinomina) – cdc 365 EE-systems production – IG/P-62 – Empl. Numb. 99267 - 331 77 42 597</t>
  </si>
  <si>
    <t>ITDGTOL00076189</t>
  </si>
  <si>
    <t>Rosa189</t>
  </si>
  <si>
    <t>CapitanHarness-Canoe15-DriverVector-EPM-Diagra-Idex-CpTool-Odis</t>
  </si>
  <si>
    <t>SR3372289</t>
  </si>
  <si>
    <t>3266 – VARGIU Andrea (rinomina) – cdc 6660 Controlling – IG/F-12  - Empl. Numb. 99266 - 333 933 02 83</t>
  </si>
  <si>
    <t>ITDGTOL00076191</t>
  </si>
  <si>
    <t>Rosa191</t>
  </si>
  <si>
    <t>SR3372322</t>
  </si>
  <si>
    <t>3269 – BOTTERO Stefano – cdc 217 Aerodynamics, Air conditioning &amp; Thermal management – IG/ER-3 – Empl. Numb. 99269</t>
  </si>
  <si>
    <t>ITDGTOL00076127</t>
  </si>
  <si>
    <t>Rosa127</t>
  </si>
  <si>
    <t>Configurazione Lamborghini (ISO Adamo Antonio, con Winchill)-Connect-Catia-ThinkCell</t>
  </si>
  <si>
    <t>SR3340242</t>
  </si>
  <si>
    <t>Monteleone, Filippo (IG/GT-E) - ITDGTOL00069396 - Batteria Gonfia</t>
  </si>
  <si>
    <t>ITDGTOL00076175</t>
  </si>
  <si>
    <t>Aguagelada175</t>
  </si>
  <si>
    <t>SR3344161</t>
  </si>
  <si>
    <t>Franzon, Robert (IG/EI-34) - ITDGTOL00069606 - Problema Batteria</t>
  </si>
  <si>
    <t>ITDGTOL00076177</t>
  </si>
  <si>
    <t>Jesussalva177</t>
  </si>
  <si>
    <t>SR3376355</t>
  </si>
  <si>
    <t>Latte, Massimo (IG/ER-N) - ITDGTOL00065740</t>
  </si>
  <si>
    <t>ITDGTOL00076544</t>
  </si>
  <si>
    <t>Feio544</t>
  </si>
  <si>
    <t>03/07/24 - 15:00</t>
  </si>
  <si>
    <t>Connect - Notepad++, WinMerge, Kisters, Putty, WinSCP, Citrix</t>
  </si>
  <si>
    <t>SR3373740</t>
  </si>
  <si>
    <t>Massa, Massimiliano (IG/EE-4) - ITDGTOL00068396</t>
  </si>
  <si>
    <t>SR3373075</t>
  </si>
  <si>
    <t>Scopelliti, Antonio (IG/EG-I) - ITDGTOL00070630</t>
  </si>
  <si>
    <t>ITDGTOL00076542</t>
  </si>
  <si>
    <t>Rosa542</t>
  </si>
  <si>
    <t>05/07/24 - 14:00</t>
  </si>
  <si>
    <t>Canoe 16 (licenza su dongle) - Wireshark - Qt Framework - Arduido IDE, Git, Tartoise Git, Autodesk Fusion 360, SerialUsb FTDI Driver dongle usb - EPM</t>
  </si>
  <si>
    <t>SR3382802</t>
  </si>
  <si>
    <t>Z4 Rack G5 675W RCTO</t>
  </si>
  <si>
    <t>ITDGTOC00073606</t>
  </si>
  <si>
    <t>Server606!</t>
  </si>
  <si>
    <t>Ubuntu 24,04 LTS</t>
  </si>
  <si>
    <t>SR3383024</t>
  </si>
  <si>
    <t>HP Z2 Mini G3 Workstation</t>
  </si>
  <si>
    <t>SR3382808</t>
  </si>
  <si>
    <t>ITDGTOC00073607</t>
  </si>
  <si>
    <t>Server607!</t>
  </si>
  <si>
    <t>SR3344155</t>
  </si>
  <si>
    <t>Merialdo, Fabio Giulio (IG/P-71) - ITDGTOL00059781 - 327 897 85 79</t>
  </si>
  <si>
    <t>ITDGTOL00076176</t>
  </si>
  <si>
    <t>Jesussalva176</t>
  </si>
  <si>
    <t>SR3376428</t>
  </si>
  <si>
    <t>Kuzeci, Yapincak (IG/EG) - ITDGTOL00068245</t>
  </si>
  <si>
    <t>ITDGTOL00076545</t>
  </si>
  <si>
    <t>Feio545</t>
  </si>
  <si>
    <t>Thinkcell, Connect, Catia, Avon, Audi Workbench 4,0</t>
  </si>
  <si>
    <t>SR3389244</t>
  </si>
  <si>
    <t>Jozzo, Luca Riccardo (IG/S-3) - ITDGTOL00071223</t>
  </si>
  <si>
    <t>ITDGTOL00076192</t>
  </si>
  <si>
    <t>Rosa192</t>
  </si>
  <si>
    <t>SR3383174</t>
  </si>
  <si>
    <t>Melissano (muletto per corso)</t>
  </si>
  <si>
    <t>11/06/2024 h 08:30</t>
  </si>
  <si>
    <t>SR3389153</t>
  </si>
  <si>
    <t>Bombara, Veronica (IG/ER-N) - ITDGTOL00069209 - Non si accende</t>
  </si>
  <si>
    <t>ITDGTOL00076550</t>
  </si>
  <si>
    <t>Ipatinga550</t>
  </si>
  <si>
    <t>Ansa - Connect - Kistes - Animator - Loco</t>
  </si>
  <si>
    <t>SR3380491</t>
  </si>
  <si>
    <t>Perino, Alessandra (IG/ER-4) - ITDGTOL00070970</t>
  </si>
  <si>
    <t>ITDGTOL00076546</t>
  </si>
  <si>
    <t>Caramba546</t>
  </si>
  <si>
    <t>12/07/2024 h 08:30</t>
  </si>
  <si>
    <t>DIADEM, KISTERS, KINOVEA</t>
  </si>
  <si>
    <t>SR3388924</t>
  </si>
  <si>
    <t>Aquilino, Nicolo (IG/EI-1) - ITDGTOL00068798 - 334 29 80 111</t>
  </si>
  <si>
    <t>ITDGTOL00076549</t>
  </si>
  <si>
    <t>Ipatinga549</t>
  </si>
  <si>
    <t>12/07 h 13:30</t>
  </si>
  <si>
    <t>Catia-Connect-(dock e monitor da capire) - spugnette cuffie - mouse</t>
  </si>
  <si>
    <t>SR3380382</t>
  </si>
  <si>
    <t>Pizzitelli, Roberta (IG/S-1) - ITDGTOL00069437</t>
  </si>
  <si>
    <t>ITDGTOL00076193</t>
  </si>
  <si>
    <t>Caramba193</t>
  </si>
  <si>
    <t>15/07 h 08:30</t>
  </si>
  <si>
    <t>Desktop telematico, software di controllo Uniemens Indiviale, tinkcell, webcomponents_win</t>
  </si>
  <si>
    <t>SR3388930</t>
  </si>
  <si>
    <t>3272 – CRESTA Edoardo – cdc 661 Human Resources – IG/S – Empl. Numb. 99272</t>
  </si>
  <si>
    <t>ITDGTOL00073760</t>
  </si>
  <si>
    <t>Ipatinga760</t>
  </si>
  <si>
    <t>SR3388918</t>
  </si>
  <si>
    <t>Belmonte, Vincenzo (IDD/EG-C) - ITDGTOL00069452 SPEDIRE IDD</t>
  </si>
  <si>
    <t>ITDGTOL00076548</t>
  </si>
  <si>
    <t>Ipatinga548</t>
  </si>
  <si>
    <t>Catia-Connect (installo in remoto)</t>
  </si>
  <si>
    <t>SR3380497</t>
  </si>
  <si>
    <t>Rissone, Maurizio Domenico (IG/EI-33) - ITDGTOL00069468 - 333 29 33 729</t>
  </si>
  <si>
    <t>ITDGTOL00076547</t>
  </si>
  <si>
    <t>Caramba547</t>
  </si>
  <si>
    <t>16/07/2024 - 09:00</t>
  </si>
  <si>
    <t>Catia, connect, VismoKup, Mastertrim</t>
  </si>
  <si>
    <t>SR3388942</t>
  </si>
  <si>
    <t>Lusso, Sara (IG/F-12) - ITDGTOL00069159</t>
  </si>
  <si>
    <t>ITDGTOL00073761</t>
  </si>
  <si>
    <t>Ipatinga761</t>
  </si>
  <si>
    <t>17/07/2024 h 12:00</t>
  </si>
  <si>
    <t>SR3390622</t>
  </si>
  <si>
    <t>Schettino, Sonia (IG/ER-2M) - ITDGTOL00071561</t>
  </si>
  <si>
    <t>ITDGTOL00076552</t>
  </si>
  <si>
    <t>Timoteo552</t>
  </si>
  <si>
    <t>19/07 - 10:30</t>
  </si>
  <si>
    <t>Catia-Connect-AWB4-MDMFWE</t>
  </si>
  <si>
    <t>SR3388951</t>
  </si>
  <si>
    <t>Neumayer, Martina (IDD/ER-4) - ITDGTOL00070457</t>
  </si>
  <si>
    <t>ITDGTOL00073762</t>
  </si>
  <si>
    <t>Ipatinga762</t>
  </si>
  <si>
    <t>SR3390628</t>
  </si>
  <si>
    <t>Avidano, Roberto (IG/ER-2M) - ITDGTOL00069196 - Non funziona la LAN</t>
  </si>
  <si>
    <t>ITDGTOL00076553</t>
  </si>
  <si>
    <t>Timoteo553</t>
  </si>
  <si>
    <t>SR3388957</t>
  </si>
  <si>
    <t>Galati, Gianluigi (IG/EE-5) - ITDGTOL00069822</t>
  </si>
  <si>
    <t>ITDGTOL00073763</t>
  </si>
  <si>
    <t>Ipatinga763</t>
  </si>
  <si>
    <t>Audi Workbench, System 42, Kisters 3D View Station</t>
  </si>
  <si>
    <t>SR3397728</t>
  </si>
  <si>
    <t>Anders, Matthias (IDD/S-31) - (Pc già in inglese, DDT già inviato tramite mail. Bisogna solo portarlo a magazzino)</t>
  </si>
  <si>
    <t>ITDGTOL00073764</t>
  </si>
  <si>
    <t>Fabriciano764</t>
  </si>
  <si>
    <t>Lingua inglese, DDT</t>
  </si>
  <si>
    <t>SR3380530</t>
  </si>
  <si>
    <t>Mantovani, Roberto (IG/F-1) - ITDGTOL00069845 - Batteria gonfia</t>
  </si>
  <si>
    <t>ITDGTOL00073758</t>
  </si>
  <si>
    <t>Caramba758</t>
  </si>
  <si>
    <t>24/07 h 08:30</t>
  </si>
  <si>
    <t>Acrobat Writer - Dike GoSign</t>
  </si>
  <si>
    <t>SR3397806</t>
  </si>
  <si>
    <t>La Via, Giorgio (IG/EE-5)</t>
  </si>
  <si>
    <t>Surface Laptop Studio</t>
  </si>
  <si>
    <t>ITDGTOL00071311</t>
  </si>
  <si>
    <t>Fuori Dominio. Solo Sistema Operativo</t>
  </si>
  <si>
    <t>SR3397827</t>
  </si>
  <si>
    <t>ITDGTOL00070485</t>
  </si>
  <si>
    <t>SR3390616</t>
  </si>
  <si>
    <t>Irico, Fabrizio (IG/P-83) - ITDGTOL00060029 - Spedire Nichelino</t>
  </si>
  <si>
    <t>ITDGTOL00076551</t>
  </si>
  <si>
    <t>Timoteo551</t>
  </si>
  <si>
    <t>17/07/2024 - 09:00</t>
  </si>
  <si>
    <t>SR3393323</t>
  </si>
  <si>
    <t>Candini, Claudio (IG/EI-34) - ITDGTOL00070669 Richiesto da Cananzi</t>
  </si>
  <si>
    <t>ITDGTOL00076555</t>
  </si>
  <si>
    <t>Timoteo555</t>
  </si>
  <si>
    <t>Catia - Connect - Kisters-ThinkCell</t>
  </si>
  <si>
    <t>SR3397752</t>
  </si>
  <si>
    <t>Volonta, Dario (IG/ER) - ITDGTOL00069155</t>
  </si>
  <si>
    <t>ITDGTOL00073765</t>
  </si>
  <si>
    <t>Fabriciano765</t>
  </si>
  <si>
    <t>SR3397776</t>
  </si>
  <si>
    <t xml:space="preserve">Fassio, Chiara (IG/F-1) - ITDGTOL00071206 </t>
  </si>
  <si>
    <t>ITDGTOL00073767</t>
  </si>
  <si>
    <t>Fabriciano767</t>
  </si>
  <si>
    <t>29/07/24 h 07:30</t>
  </si>
  <si>
    <t>SR3390634</t>
  </si>
  <si>
    <t>Sito, Claudio (IG/EI-34) - ITDGTOL00070605 Richiesto da Cananzi</t>
  </si>
  <si>
    <t>ITDGTOL00076554</t>
  </si>
  <si>
    <t>Timoteo554</t>
  </si>
  <si>
    <t>29/07 h:08:30</t>
  </si>
  <si>
    <t>SR3395718</t>
  </si>
  <si>
    <t>Lago, Enrico (IG/D-1) PRIORITà - ITDGTOC00069597</t>
  </si>
  <si>
    <t>HP Z8 Fury G5 Workstation (97R61EC)</t>
  </si>
  <si>
    <t>ITDGTOC00076004</t>
  </si>
  <si>
    <t>Fabriciano004</t>
  </si>
  <si>
    <t>29/07/24 - 14:00</t>
  </si>
  <si>
    <t>Keyshot2023-Vred-Surface-Rhino7-Rhino8-Photoshop-Illustrator-Premier-AfterEffect-InDesign-Blender</t>
  </si>
  <si>
    <t>SR3399345</t>
  </si>
  <si>
    <t>Luca, Bonassi (ID/D-3) PRIORITà - ITDGTOL00069212</t>
  </si>
  <si>
    <t>ITDGTOL00073318</t>
  </si>
  <si>
    <t>Linux318</t>
  </si>
  <si>
    <t>30/07 h 10:30</t>
  </si>
  <si>
    <t>Surface-Illustrator-AdobeDimention-Photoshop-Vred2025-Rhino/Grasshopper-Blender</t>
  </si>
  <si>
    <t>SR3293395</t>
  </si>
  <si>
    <t>Giorgia, De Silva (ID/D-3) PRIORITà - ITDGTOL00070566</t>
  </si>
  <si>
    <t>ITDGTOL00073317</t>
  </si>
  <si>
    <t>Linux317</t>
  </si>
  <si>
    <t>30/07 h 11:00</t>
  </si>
  <si>
    <t>Surface-Illustrator-AdobeDimention-Photoshop-Vred-Rhino/Grasshopper-Keyshot-Blender</t>
  </si>
  <si>
    <t>SR3399922</t>
  </si>
  <si>
    <t>Stefano Scafi (ID/D-6) - ITDGTOL00069760</t>
  </si>
  <si>
    <t>31/07 h 08:30</t>
  </si>
  <si>
    <t>IcemSurf (con licenza per Catia)-Catia-Surface-IcemSurf3DExperienceIMA-Connect</t>
  </si>
  <si>
    <t>SR3399267</t>
  </si>
  <si>
    <t>Bussetti, Nicolas (IG/D-1) - ITDGTOL00070965</t>
  </si>
  <si>
    <t>ITDGTOL00076557</t>
  </si>
  <si>
    <t>Iapu557</t>
  </si>
  <si>
    <t>Autodesk Alias, Maya, Vred, Icem Surf, Photoshop, Illustrator Keyshot e Rhino</t>
  </si>
  <si>
    <t>SR3406678</t>
  </si>
  <si>
    <t>Coppola, Marco (IG/ER-2L) - ITDGTOL00069774</t>
  </si>
  <si>
    <t>ITDGTOL00076559</t>
  </si>
  <si>
    <t>Bugre559</t>
  </si>
  <si>
    <t>SR3269966</t>
  </si>
  <si>
    <t>Sottile, Francesco (IG/P-83) - ITDGTOL00063519</t>
  </si>
  <si>
    <t>ITDGTOL00073628</t>
  </si>
  <si>
    <t>Canjicao628</t>
  </si>
  <si>
    <t>Consegnato in ufficio IT Nichelino in data 22/04</t>
  </si>
  <si>
    <t>Kisters - no monitor/docking etc..</t>
  </si>
  <si>
    <t>SR3401767</t>
  </si>
  <si>
    <t>Veneziano, Stefano (IG/SH-2) - ITDGTOL00068438 - Batteria gonfia (RIENTRA 13/08)</t>
  </si>
  <si>
    <t>ITDGTOL00073768</t>
  </si>
  <si>
    <t>Fabriciano768</t>
  </si>
  <si>
    <t>SR3380690</t>
  </si>
  <si>
    <t>Gasparoni, Leandro (IG/SD) - ITDGTOL00070477</t>
  </si>
  <si>
    <t>ITDGTOL00073759</t>
  </si>
  <si>
    <t>Caramba759</t>
  </si>
  <si>
    <t>24/07 h 14:00</t>
  </si>
  <si>
    <t>SR3401776</t>
  </si>
  <si>
    <t>EBERT Daniel – cdc 279, Vehicle Safety Development – IDD/ER-4 – employee number 98996 - SPEDIRE IDD</t>
  </si>
  <si>
    <t>ITDGTOL00073769</t>
  </si>
  <si>
    <t>Fabriciano769</t>
  </si>
  <si>
    <t>Idex-CpTool-VectorDriver</t>
  </si>
  <si>
    <t>SR3399256</t>
  </si>
  <si>
    <t xml:space="preserve">KONIETZKO Christian Juergen – cdc 277, Interios Functional Development – IDD/EI-1 – employee number 98997 - SPEDIRE IDD - </t>
  </si>
  <si>
    <t>ITDGTOL00076556</t>
  </si>
  <si>
    <t>Iapu556</t>
  </si>
  <si>
    <t>Diadem-Catia-ThinkCell-Kinovea</t>
  </si>
  <si>
    <t>SR3406668</t>
  </si>
  <si>
    <t>Degaetano, Luca (IG/EG-C) / Belmonte, vincenzo (IDD/EG-C) - IN ATTESA RIENTRO LUCA PER I TEST</t>
  </si>
  <si>
    <t>ITDGTOL00076558</t>
  </si>
  <si>
    <t>Bugre558</t>
  </si>
  <si>
    <t>Catia - Connect - Citrix</t>
  </si>
  <si>
    <t>SR3415569</t>
  </si>
  <si>
    <t>Parizia Marco</t>
  </si>
  <si>
    <t>SR3413586</t>
  </si>
  <si>
    <t>Carosso, Francesco (IG/GT-P) - ITDGTOL00069848</t>
  </si>
  <si>
    <t>ITDGTOL00073774</t>
  </si>
  <si>
    <t>Palermo774</t>
  </si>
  <si>
    <t>SR3411348</t>
  </si>
  <si>
    <t>Bolognesi, Roberto (IG/SD) - ITDGTOL00065124</t>
  </si>
  <si>
    <t>Indacorosso1503</t>
  </si>
  <si>
    <t>SR3411437</t>
  </si>
  <si>
    <t>Bolognesi, Roberto (IG/SD)</t>
  </si>
  <si>
    <t>ITDGTOL00069168</t>
  </si>
  <si>
    <t>Inventario69168</t>
  </si>
  <si>
    <t>SR3414435</t>
  </si>
  <si>
    <t>Pampara, Umberto (IG/ER-S) - ITDGTOL00070545</t>
  </si>
  <si>
    <t>ITDGTOL00076560</t>
  </si>
  <si>
    <t>Palermo560</t>
  </si>
  <si>
    <t>SR3414451</t>
  </si>
  <si>
    <t>Torta, Paola (IG/ER-N) ITDGTOL00065752</t>
  </si>
  <si>
    <t>ITDGTOL00076561</t>
  </si>
  <si>
    <t>Palermo561</t>
  </si>
  <si>
    <t>03/09 h 10:00</t>
  </si>
  <si>
    <t>Loco-Connect-Ansa-Animator</t>
  </si>
  <si>
    <t>SR3410421</t>
  </si>
  <si>
    <t>Bussetti, Nicolas (IG/D-1) - ITDGTOC00068772</t>
  </si>
  <si>
    <t>SR3293389</t>
  </si>
  <si>
    <t>Matera, Riccardo (IG/D-1) PRIORITà - ITDGTOL00072730</t>
  </si>
  <si>
    <t>ITDGTOL00073316</t>
  </si>
  <si>
    <t>Linux316</t>
  </si>
  <si>
    <t>Keyshot2023-Rhino8-Blender-Photoshop-Premiere-InDesign-Illustrator-AfterEffect-MediaEncoder-Surface</t>
  </si>
  <si>
    <t>SR3402176</t>
  </si>
  <si>
    <t>Pignatale, Domenico (IG/EE-6)</t>
  </si>
  <si>
    <t>HP Z8 Fury G5 Workstation Desktop PC (4Z3K7AV)</t>
  </si>
  <si>
    <t>ITDGTOC00073609</t>
  </si>
  <si>
    <t>Fabriciano609</t>
  </si>
  <si>
    <t>Lucid Shape di Synopsis (2022.03, CAA R32) - Autodesk Vred - Keyshot -Catia V5 -Connect</t>
  </si>
  <si>
    <t>SR3413574</t>
  </si>
  <si>
    <t>3273 – TORO Alessandro – cdc 290 Engineering Project Management – IG/GT-E – Empl. Numb. 99273</t>
  </si>
  <si>
    <t>ITDGTOL00073772</t>
  </si>
  <si>
    <t>Palermo772</t>
  </si>
  <si>
    <t>SR3418892</t>
  </si>
  <si>
    <t>Piracci, Fiorenzo Pio (IG/V) - ITDGTOL00069417 - Non funziona il tasto E</t>
  </si>
  <si>
    <t>ITDGTOL00073778</t>
  </si>
  <si>
    <t>Ferias778</t>
  </si>
  <si>
    <t>SR3418878</t>
  </si>
  <si>
    <t>Bartoletta, Giovanni Luca (IG/ER-4) - ITDGTOL00068348</t>
  </si>
  <si>
    <t>ITDGTOL00073776</t>
  </si>
  <si>
    <t>Ferias776</t>
  </si>
  <si>
    <t>SR3413692</t>
  </si>
  <si>
    <t>3280 – DI MARZIO Chiara – cdc 671 Public Relations – IG/V-P – Empl. Numb. 99280</t>
  </si>
  <si>
    <t>Photoshop-InDesign-AfterEffect-Premier</t>
  </si>
  <si>
    <t>SR3413702</t>
  </si>
  <si>
    <t>3281 – KIRN Tatjana – cdc 671 Public Relations – IG/V-P – Empl. Numb. 99281</t>
  </si>
  <si>
    <t>SR3413568</t>
  </si>
  <si>
    <t>3275 – SARTINI Beatrice (rinomina) – cdc 239 Architecture &amp; Integration – IG/EG-I – Empl. Numb. 99275</t>
  </si>
  <si>
    <t>ITDGTOL00073771</t>
  </si>
  <si>
    <t>Palermo771</t>
  </si>
  <si>
    <t>SR3401784</t>
  </si>
  <si>
    <t>3274 – FASSIO Davide (rinomina) – cdc 240 User Interface, Infotainment and Connected Car – IG/EE-1  - Empl. Numb. 99274</t>
  </si>
  <si>
    <t>ITDGTOL00073770</t>
  </si>
  <si>
    <t>Fabriciano770</t>
  </si>
  <si>
    <t>SR3413094</t>
  </si>
  <si>
    <t>3276 – ALTIERI Giuliana – cdc 101 Design Research – IG/D-3 – Empl. Numb. 99276</t>
  </si>
  <si>
    <t>Zbook (no monitor perché già presente in ufficio Stile)</t>
  </si>
  <si>
    <t>SR3413111</t>
  </si>
  <si>
    <t>3278 – FIORETTO Gabriele – cdc 101 Design Research – IG/D-3 – Empl. Numb. 99278</t>
  </si>
  <si>
    <t>Zbook + Wacom</t>
  </si>
  <si>
    <t>photoshop, blender, alias + Wacom Driver</t>
  </si>
  <si>
    <t>SR3413714</t>
  </si>
  <si>
    <t>3277 – DORIA Cecilia – cdc 101 Design Research – IG/D-1 – Empl. Numb. 99277</t>
  </si>
  <si>
    <t>VredPro-Photoshop-Illustrator-Rhino-Fusion360-Blender-Keyshot2023</t>
  </si>
  <si>
    <t>SR3418496</t>
  </si>
  <si>
    <t>3279 – BORSANO Enrichetta Maria – cdc 155 AR/VR – IG/D-S – Empl. Numb. 99279</t>
  </si>
  <si>
    <t>Vred-Surface-Maya-Blender-UnrealEngine-Photoshop-Illustrator-AfterEffects</t>
  </si>
  <si>
    <t>SR3425270</t>
  </si>
  <si>
    <t>Gori, Matteo (IG/ER-N) - ITDGTOL00065741</t>
  </si>
  <si>
    <t>ITDGTOL00076562</t>
  </si>
  <si>
    <t>Faster562</t>
  </si>
  <si>
    <t>SR3424455</t>
  </si>
  <si>
    <t>Pascucci, Pier Luigi (IG/EI-3)</t>
  </si>
  <si>
    <t>ITDGTOL00073780</t>
  </si>
  <si>
    <t>Brasil780</t>
  </si>
  <si>
    <t>SR3424035</t>
  </si>
  <si>
    <t>3282 – PORTELLI Riccardo – cdc 146 Surfacing CAS – IG/D-61 – Empl. Numb. 99282</t>
  </si>
  <si>
    <t>Surface-Vred-Photoshop</t>
  </si>
  <si>
    <t>SR3425279</t>
  </si>
  <si>
    <t>Ivaldi, Davide (IG/EE-7) - ITDGTOL00065768</t>
  </si>
  <si>
    <t>ITDGTOL00076564</t>
  </si>
  <si>
    <t>Faster564</t>
  </si>
  <si>
    <t>SR3424029</t>
  </si>
  <si>
    <t>3283 – TIWARI Siddharth – cdc 146 Surfacing CAS – IG/D-62 – Empl. Numb. 99283</t>
  </si>
  <si>
    <t>SR3424461</t>
  </si>
  <si>
    <t>Coatto, Elisa (IG/EE) - ITDGTOL00069846</t>
  </si>
  <si>
    <t>ITDGTOL00073781</t>
  </si>
  <si>
    <t>Brasil781</t>
  </si>
  <si>
    <t>SR3430943</t>
  </si>
  <si>
    <t>Borsano, Enrichetta Maria (IG/D-S) - ITDGTOL00070945</t>
  </si>
  <si>
    <t>SR3418884</t>
  </si>
  <si>
    <t>Lunardelli, Piergiorgio (IG/G) - ITDGTOL00069619</t>
  </si>
  <si>
    <t>ITDGTOL00073777</t>
  </si>
  <si>
    <t>Ferias777</t>
  </si>
  <si>
    <t>SR3424467</t>
  </si>
  <si>
    <t>Marengo, Massimo (IG/P-S1) - ITDGTOL00068913 (pc portato a magazzino il 16/09)</t>
  </si>
  <si>
    <t>ITDGTOL00073782</t>
  </si>
  <si>
    <t>Brasil782</t>
  </si>
  <si>
    <t>18/09 h 09:00 Vadò</t>
  </si>
  <si>
    <t>SR3424473</t>
  </si>
  <si>
    <t>Corti, Chiara (IG/P-S) - ITDGTOL00068925</t>
  </si>
  <si>
    <t>ITDGTOL00073783</t>
  </si>
  <si>
    <t>Brasil783</t>
  </si>
  <si>
    <t>18 sett h 10:30</t>
  </si>
  <si>
    <t>SR3431632</t>
  </si>
  <si>
    <t>Ruotolo, Fabrizio (IG/EE-7) - ITDGTOL00069831</t>
  </si>
  <si>
    <t>jackson</t>
  </si>
  <si>
    <t>ITDGTOL00076565</t>
  </si>
  <si>
    <t>Pro565</t>
  </si>
  <si>
    <t>25/09/2024 h 08:30</t>
  </si>
  <si>
    <t>Kisters,Photoshop-ThinkCell</t>
  </si>
  <si>
    <t>SR3413580</t>
  </si>
  <si>
    <t>3. FISCHER Andreas  – cdc 239, Architecture &amp; Integration – IDD/EG-I – employee number 99000 IDD 01/10</t>
  </si>
  <si>
    <t>ITDGTOL00073773</t>
  </si>
  <si>
    <t>Palermo773</t>
  </si>
  <si>
    <t>SR3418872</t>
  </si>
  <si>
    <t>2. CHEVLE Abhishek – cdc 240, Infotainment &amp; Connectivity – IDD/EE-2 – employee number 99001 IDD Gaimersheim</t>
  </si>
  <si>
    <t>ITDGTOL00073775</t>
  </si>
  <si>
    <t>Ferias775</t>
  </si>
  <si>
    <t>CpTool-WinSCP-Notepad++-Putty-EPM</t>
  </si>
  <si>
    <t>SR3439292</t>
  </si>
  <si>
    <r>
      <t>1. PANCHAL Tej</t>
    </r>
    <r>
      <rPr>
        <i/>
        <sz val="10"/>
        <color rgb="FF000000"/>
        <rFont val="Prompt Light"/>
      </rPr>
      <t xml:space="preserve"> – cdc 242, ADAS Development – IDD/EE-5 employee number</t>
    </r>
    <r>
      <rPr>
        <b/>
        <i/>
        <sz val="10"/>
        <rFont val="Prompt Light"/>
      </rPr>
      <t xml:space="preserve"> </t>
    </r>
    <r>
      <rPr>
        <i/>
        <sz val="10"/>
        <color rgb="FF000000"/>
        <rFont val="Prompt Light"/>
      </rPr>
      <t xml:space="preserve">99292 </t>
    </r>
  </si>
  <si>
    <t>Canape-Canoe-Canalyzer-Matlab-EPM</t>
  </si>
  <si>
    <t>SR3424041</t>
  </si>
  <si>
    <t>Raspante, Massimiliano (IG/EG-I) - ITDGTOL00065744</t>
  </si>
  <si>
    <t>27 sett  h 14</t>
  </si>
  <si>
    <t>Canoe10-16-Idex-CpTool-Vas</t>
  </si>
  <si>
    <t>SR3439755</t>
  </si>
  <si>
    <t>Venza, Davide (IG/B-2) - ITDGTOL00069812</t>
  </si>
  <si>
    <t>ITDGTOL00076568</t>
  </si>
  <si>
    <t>Caneta568</t>
  </si>
  <si>
    <t>SR3399351</t>
  </si>
  <si>
    <t>Turra, Giuseppe (IG/D-61) PRIORITà - ITDGTOL00069809</t>
  </si>
  <si>
    <t>ITDGTOL00073319</t>
  </si>
  <si>
    <t>Linux319</t>
  </si>
  <si>
    <t>30/09/2024 ore 11:00</t>
  </si>
  <si>
    <t xml:space="preserve">alias 2022, 2025. Rhino 7, 8. </t>
  </si>
  <si>
    <t>SR3431635</t>
  </si>
  <si>
    <t>3294 – LORO PILONE Gabriele (rinomina) – cdc 252 Concept Development – IG/EG-C  - Empl. Numb. 99294 </t>
  </si>
  <si>
    <t>ITDGTOL00076566</t>
  </si>
  <si>
    <t>Pro566</t>
  </si>
  <si>
    <t>SR3431638</t>
  </si>
  <si>
    <t>3295 – ANTONINI Alessia (rinomina) – cdc 278 Vehicle Functional Development – IG/EG-5 – Empl. Numb. 99295</t>
  </si>
  <si>
    <t>ITDGTOL00076567</t>
  </si>
  <si>
    <t>Pro567</t>
  </si>
  <si>
    <t>Catia, Connect, Diadem, Avx</t>
  </si>
  <si>
    <t>SR3441942</t>
  </si>
  <si>
    <t>Caricasole, Alex (IG/EG-I) - ITDGTOL00072751 - Caduta l'acqua - 3450958953</t>
  </si>
  <si>
    <t>ITDGTOL00073784</t>
  </si>
  <si>
    <t>Caneta784</t>
  </si>
  <si>
    <t>Canoe 10, Canoe 15, Idex, Odis, CP-Tool, System42, Diagra, ITARA Desk, Teraterm, Wireshark, EPM</t>
  </si>
  <si>
    <t>SR3397764</t>
  </si>
  <si>
    <t>3293 – BONO Stephen Salvatore (rinomina) – cdc 240 User Interface, Infotainment and Connected Car – IG/EE-2 – Empl. Numb. 99293</t>
  </si>
  <si>
    <t>ITDGTOL00073766</t>
  </si>
  <si>
    <t>Fabriciano766</t>
  </si>
  <si>
    <t>SR3437934</t>
  </si>
  <si>
    <t>Scarati, Davide (IG/S-3) - Muletto</t>
  </si>
  <si>
    <t>SR3445353</t>
  </si>
  <si>
    <t>3296 – KARN Abhijeet – cdc 287 Virtual Vehicle – IG/EG-7 – Empl. Numb. 99296</t>
  </si>
  <si>
    <t>SR3445365</t>
  </si>
  <si>
    <t>3297 – ZAMPETTI Francesco Pio – cdc 277 Interiors Functional Development – IG/EI-1 – Empl. Numb. 99297</t>
  </si>
  <si>
    <t>Animator-Diadem-Kinovea-Vviewer-Kisters</t>
  </si>
  <si>
    <t>SR3424427</t>
  </si>
  <si>
    <t>Ferrato, Gian Maria (IG/ER-2E) - ITDGTOL00070712 - PC non si accende</t>
  </si>
  <si>
    <t>ITDGTOL00073779</t>
  </si>
  <si>
    <t>Brasil779</t>
  </si>
  <si>
    <t>SR3441873</t>
  </si>
  <si>
    <t>Speca, Federica (IG/EE-5) - ITDGTOL00071378 - Display rotto e lettore PKI diffetoso.</t>
  </si>
  <si>
    <t>ITDGTOL00076570</t>
  </si>
  <si>
    <t>Caneta570</t>
  </si>
  <si>
    <t>SR3400096</t>
  </si>
  <si>
    <t>Martino, Luca Antonio (IG/D-61) PRIORITà - ITDGTOL00070770</t>
  </si>
  <si>
    <t>ITDGTOL00073320</t>
  </si>
  <si>
    <t>Linux320</t>
  </si>
  <si>
    <t>09/10 - 09:00</t>
  </si>
  <si>
    <t>Alias Surface 2023, 2025 - VRED - Rhino</t>
  </si>
  <si>
    <t>SR3446806</t>
  </si>
  <si>
    <t>Castorina, Riccardo (IG/P-82) - ITDGTOL00069464</t>
  </si>
  <si>
    <t>ITDGTOL00076571</t>
  </si>
  <si>
    <t>Rimini571</t>
  </si>
  <si>
    <t>09/10/2024 - 14:00</t>
  </si>
  <si>
    <t>Catia - Adobe W - Think Cell</t>
  </si>
  <si>
    <t>SR3451475</t>
  </si>
  <si>
    <t>Boschi, Vittorio (IG/ER-2B) - ITDGTOL00069797</t>
  </si>
  <si>
    <t>ITDGTOL00076773</t>
  </si>
  <si>
    <t>Capoeira773</t>
  </si>
  <si>
    <t>WMware Horizon Client Catia V5, Connect, Kister3D vision station, Zoom, Webex</t>
  </si>
  <si>
    <t>SR3451646</t>
  </si>
  <si>
    <t>Samuele, Piccarini (ID/D-2) - ITDGTOL00070986</t>
  </si>
  <si>
    <t>ITDGTOL00073322</t>
  </si>
  <si>
    <t>Linux322</t>
  </si>
  <si>
    <t>Photoshop-Keyshot12-blender-Surface2025-Vred-Wacom</t>
  </si>
  <si>
    <t>SR3446734</t>
  </si>
  <si>
    <t>Ottavianelli, Roberta (IG/ER) - ITDGTOL00069150</t>
  </si>
  <si>
    <t>ITDGTOL00076329</t>
  </si>
  <si>
    <t>Rimini329</t>
  </si>
  <si>
    <t>11/10/2024 h 09:00</t>
  </si>
  <si>
    <t>SR3439763</t>
  </si>
  <si>
    <t>Bertino, Ilaria (IG/ER-N) - ITDGTOL00068216</t>
  </si>
  <si>
    <t>ITDGTOL00076569</t>
  </si>
  <si>
    <t>Caneta569</t>
  </si>
  <si>
    <t>Ansa-Animator-Loco-Connect</t>
  </si>
  <si>
    <t>SR3446770</t>
  </si>
  <si>
    <t>Matula, Katarzyna (IG/S-2) - ITDGTOL00069160</t>
  </si>
  <si>
    <t>ITDGTOL00076333</t>
  </si>
  <si>
    <t>Rimini333</t>
  </si>
  <si>
    <t>SR3451487</t>
  </si>
  <si>
    <t>Ferrero, Livio (IG/EI-34) - ITDGTOL00069192</t>
  </si>
  <si>
    <t>ITDGTOL00076775</t>
  </si>
  <si>
    <t>Capoeira775</t>
  </si>
  <si>
    <t>Catia - Connect - ThinkCell - Avon - T-Rex - Kisters - Ti-Syincro</t>
  </si>
  <si>
    <t>SR3400108</t>
  </si>
  <si>
    <t>Lago, Enrico (IG/D-1) PRIORITà - ITDGTOL00070772</t>
  </si>
  <si>
    <t>ITDGTOL00073321</t>
  </si>
  <si>
    <t>Linux321</t>
  </si>
  <si>
    <t>14/10/24 - 10:30</t>
  </si>
  <si>
    <t>Keyshot 2023 + pug in Rhino, Vred, Alias, rhino 7, 8, Photoshop, Ilustrator, Indesign, Beldner</t>
  </si>
  <si>
    <t>SR3446797</t>
  </si>
  <si>
    <t>Romano, Elio (IG/EI-33) - ITDGTOL00070679</t>
  </si>
  <si>
    <t>ITDGTOL00076334</t>
  </si>
  <si>
    <t>Rimini334</t>
  </si>
  <si>
    <t>SR3458620</t>
  </si>
  <si>
    <t>Napoli, Michele (IG/EG-7 ) - ITDGTOL00076117</t>
  </si>
  <si>
    <t>ITDGTOL00076772</t>
  </si>
  <si>
    <t>Capoeira772</t>
  </si>
  <si>
    <t>15/10/24 - 09:00</t>
  </si>
  <si>
    <t>Connect - Ty-Syncro (SAP) - Think-Cell - Catia - Avon</t>
  </si>
  <si>
    <t>SR3439286</t>
  </si>
  <si>
    <t>Ceo, Francesco (IG/GT-D) - ITDGTOL00069610 - Batteria Gonfia</t>
  </si>
  <si>
    <t>15/10/24 - 08:00</t>
  </si>
  <si>
    <t>SR3446718</t>
  </si>
  <si>
    <t>Ruocco, Francesco (IG/ER-4) - ITDGTOL00069855</t>
  </si>
  <si>
    <t>ITDGTOL00073785</t>
  </si>
  <si>
    <t>Rimini785</t>
  </si>
  <si>
    <t>16/10/2024 h 08:30</t>
  </si>
  <si>
    <t>SR3446752</t>
  </si>
  <si>
    <t>3299 – PERRI Michele – cdc 679 Prevention &amp; Safety – IG/SH-1  - Empl. Numb. 99299</t>
  </si>
  <si>
    <t>ITDGTOL00076331</t>
  </si>
  <si>
    <t>Rimini331</t>
  </si>
  <si>
    <t>SR3451654</t>
  </si>
  <si>
    <t>Gaspare, Conticelli (ID/D-2) - ITDGTOL00071389</t>
  </si>
  <si>
    <t>ITDGTOL00073323</t>
  </si>
  <si>
    <t>Linux323</t>
  </si>
  <si>
    <t>16/10/24 - 14:00</t>
  </si>
  <si>
    <t>Photoshop-Blender-Alias-Keyshot-Vred-Wacom</t>
  </si>
  <si>
    <t>SR3451481</t>
  </si>
  <si>
    <t>3298 – BORELLA Enrica – cdc 277 Interiors Functional Development – IG/EI-1 – Empl. Numb. 99298</t>
  </si>
  <si>
    <t>ITDGTOL00076774</t>
  </si>
  <si>
    <t>Capoeira774</t>
  </si>
  <si>
    <t>Catia-Connect-ThinkCell-Kisters-Apis</t>
  </si>
  <si>
    <t>SR3311072</t>
  </si>
  <si>
    <t>Cagno, Francesco (IG/P-82) - ITDGTOL00063897</t>
  </si>
  <si>
    <t>ITDGTOL00076112</t>
  </si>
  <si>
    <t>Panela112</t>
  </si>
  <si>
    <t>NewCatia-FastTrim-Delmia (Saracco)</t>
  </si>
  <si>
    <t>SR3458843</t>
  </si>
  <si>
    <t>3300 – GRANDE Massimiliano – cdc 282 Exteriors Development – IG/ER-2M – Empl. Numb. 99300</t>
  </si>
  <si>
    <t>ITDGTOL00076777</t>
  </si>
  <si>
    <t>Saudade777</t>
  </si>
  <si>
    <t>SR3458849</t>
  </si>
  <si>
    <t>Pochettino, Giorgio (IG/GT-P) - ITDGTOL00069392</t>
  </si>
  <si>
    <t>ITDGTOL00076335</t>
  </si>
  <si>
    <t>Saudade335</t>
  </si>
  <si>
    <t>21/10/2024 - 13:15</t>
  </si>
  <si>
    <t>SR3462463</t>
  </si>
  <si>
    <t>3301 – SPINATO Stefano – cdc 260 EE-new branch – IG/EE-1 - Empl. Numb. 99301</t>
  </si>
  <si>
    <t>ITDGTOL00076337</t>
  </si>
  <si>
    <t>Realeza337</t>
  </si>
  <si>
    <t>SR3462469</t>
  </si>
  <si>
    <t>3302 – RICCI Micol – cdc 260 EE-new branch – IG/EE-1 – Empl. Numb. 99302</t>
  </si>
  <si>
    <t>ITDGTOL00076338</t>
  </si>
  <si>
    <t>Realeza338</t>
  </si>
  <si>
    <t>SR3462484</t>
  </si>
  <si>
    <t>3303 – CARNEGLIA Francesco – cdc 260 EE-new branch – IG/EE-2 – Empl. Numb. 99303</t>
  </si>
  <si>
    <t>ITDGTOL00076339</t>
  </si>
  <si>
    <t>Realeza339</t>
  </si>
  <si>
    <t>CpTool-WinSCP-Notepad++Putty-EPM</t>
  </si>
  <si>
    <t>SR3446746</t>
  </si>
  <si>
    <t>Petronio, Alessandro (IG/F-12) - ITDGTOL00069850</t>
  </si>
  <si>
    <t>ITDGTOL00076330</t>
  </si>
  <si>
    <t>Rimini330</t>
  </si>
  <si>
    <t>23/10 h 10:30</t>
  </si>
  <si>
    <t>Power BI</t>
  </si>
  <si>
    <t>SR3451660</t>
  </si>
  <si>
    <t>Giargia Livio (ID/D-6) - ITDGTOL00071375</t>
  </si>
  <si>
    <t>ITDGTOL00073324</t>
  </si>
  <si>
    <t>Linux324</t>
  </si>
  <si>
    <t>23/10 h 08:00</t>
  </si>
  <si>
    <t>Catia-Surface-IcemSurf-Connect-Vred-OBSStudio</t>
  </si>
  <si>
    <t>SR3462533</t>
  </si>
  <si>
    <t>Ciriolo, Federico (IG/EE-4) - ITDGTOL00069397</t>
  </si>
  <si>
    <t>24/10 h 08:30</t>
  </si>
  <si>
    <t>Catia-Inventor2024-Canoe16-Odis18,2-Idex-CpTool</t>
  </si>
  <si>
    <t>SR3468415</t>
  </si>
  <si>
    <t>Tuffanelli, Luca (IG/SD)</t>
  </si>
  <si>
    <t>MacBook Pro M3 Pro</t>
  </si>
  <si>
    <t>IGITMONMC006636</t>
  </si>
  <si>
    <t>SR3458837</t>
  </si>
  <si>
    <t>Pautassi, Luca (IG/ER-S) - ITDGTOL00069785</t>
  </si>
  <si>
    <t>ITDGTOL00076776</t>
  </si>
  <si>
    <t>Saudade776</t>
  </si>
  <si>
    <t>CATIA V5 + ( ISX Licenza Add. )-Surface-Gimp-InkScape</t>
  </si>
  <si>
    <t>SR3446724</t>
  </si>
  <si>
    <t>Caponnetto, Lorenza (IG/F) - ITDGTOL00069627</t>
  </si>
  <si>
    <t>ITDGTOL00073786</t>
  </si>
  <si>
    <t>Rimini786</t>
  </si>
  <si>
    <t>25/10 h 08:30</t>
  </si>
  <si>
    <t>Zoom, Adobe Acrobat DC</t>
  </si>
  <si>
    <t>SR3462565</t>
  </si>
  <si>
    <t>Trizio, Marco (IG/EE-1) - ITDGTOL00072254</t>
  </si>
  <si>
    <t>ITDGTOL00076780</t>
  </si>
  <si>
    <t>Realeza780</t>
  </si>
  <si>
    <t>Full Adobe Cloud Suite</t>
  </si>
  <si>
    <t>SR3462571</t>
  </si>
  <si>
    <t>Cavallaro, Pino Giovanni (IG/ER-2B) - ITDGTOL00073649 - 338 705 4304</t>
  </si>
  <si>
    <t>ITDGTOL00076781</t>
  </si>
  <si>
    <t>Realeza781</t>
  </si>
  <si>
    <t>SR3462553</t>
  </si>
  <si>
    <t>Pietropaolo, Marco (IG/EG-C)</t>
  </si>
  <si>
    <t>ITDGTOL00076778</t>
  </si>
  <si>
    <t>Realeza778</t>
  </si>
  <si>
    <t>SR3462501</t>
  </si>
  <si>
    <t>Pettolino, Michele (IG/GT-E) - ITDGTOL00069394</t>
  </si>
  <si>
    <t>ITDGTOL00076340</t>
  </si>
  <si>
    <t>Realeza340</t>
  </si>
  <si>
    <t>28/10/2024 - 12:30:00</t>
  </si>
  <si>
    <t>Horizon - zoom</t>
  </si>
  <si>
    <t>SR3462559</t>
  </si>
  <si>
    <t>Andriani, Antonio (IG/P-S1) - Wifi problem - ITDGTOL00069821</t>
  </si>
  <si>
    <t>ITDGTOL00076779</t>
  </si>
  <si>
    <t>Realeza779</t>
  </si>
  <si>
    <t>28/10 - 14:30</t>
  </si>
  <si>
    <t>Adobe Wr - Catia - Connect - Kister - Dymo Labe v.8 - Gimp</t>
  </si>
  <si>
    <t>SR3451666</t>
  </si>
  <si>
    <t>Giuseppe Mariniello (ID/D-6) - ITDGTOL00070521</t>
  </si>
  <si>
    <t>ITDGTOL00073325</t>
  </si>
  <si>
    <t>Linux325</t>
  </si>
  <si>
    <t>29/10 h 09:88</t>
  </si>
  <si>
    <t>Icem-Catia-VredDesign-Photoshop-Connect-Blender-OBSStudio-Oculus su pc</t>
  </si>
  <si>
    <t>SR3470067</t>
  </si>
  <si>
    <t>Corigliano, Alessandro (IG/EL-1) - ITDGTOL00068240</t>
  </si>
  <si>
    <t>ITDGTOL00076785</t>
  </si>
  <si>
    <t>Chefe785</t>
  </si>
  <si>
    <t>30/10 h 08:30</t>
  </si>
  <si>
    <t xml:space="preserve">Catia V5, Connect, sticky notes , visual studio , python - think cell </t>
  </si>
  <si>
    <t>SR3472792</t>
  </si>
  <si>
    <t>Serafini, Daniele (IG/EE-5) - ITDGTOL00069469 - Pc va in crash</t>
  </si>
  <si>
    <t>Citrix-CPTool-Cameo-Git-iDEX-KeePass-VsCode-Odis-Python-Canape 20-Canoe 17-Canalyze-Wireshark</t>
  </si>
  <si>
    <t>SR3464921</t>
  </si>
  <si>
    <t>3305 – RABINO Simone – cdc 240 User Interface, Infotainment and Connected Car – IG/EE-2  - Empl. Numb. 99305</t>
  </si>
  <si>
    <t>ITDGTOL00076343</t>
  </si>
  <si>
    <t>Homemaranha343</t>
  </si>
  <si>
    <t>SR3464939</t>
  </si>
  <si>
    <t>3306 – RIZZA Giovanni – cdc 663 Reception &amp; Security – IG/SD – Empl. Numb. 99306</t>
  </si>
  <si>
    <t>ITDGTOL00076344</t>
  </si>
  <si>
    <t>Homemaranha344</t>
  </si>
  <si>
    <t>SR3470049</t>
  </si>
  <si>
    <t>3304 – CAVALLO Matteo (rinomina) – cdc 276 Exteriors Numerical Simulations – IG/ER-N – Empl. Numb. 99304</t>
  </si>
  <si>
    <t>ITDGTOL00076782</t>
  </si>
  <si>
    <t>Chefe782</t>
  </si>
  <si>
    <t>Connect-Animator-Ansa-Loco-Kisters</t>
  </si>
  <si>
    <t>SR3451309</t>
  </si>
  <si>
    <t>Paciolla, Pierluca (IDD/ER-3) - Reinstallazione</t>
  </si>
  <si>
    <t>Zbook Z15 - 32 GB ITA</t>
  </si>
  <si>
    <t>SR3471589</t>
  </si>
  <si>
    <t>Ena, Mauro (IG/P-63)</t>
  </si>
  <si>
    <t>X13 Yoga G4 I5</t>
  </si>
  <si>
    <t>ITDGTOL00076369</t>
  </si>
  <si>
    <t>SR3472867</t>
  </si>
  <si>
    <t>Bogliano, Fabio (IG/Q-1) - ITDGTOL00065783</t>
  </si>
  <si>
    <t>ITDGTOL00076352</t>
  </si>
  <si>
    <t>Malvado352</t>
  </si>
  <si>
    <t>5/11 h 08:30</t>
  </si>
  <si>
    <t>checkIT²(sia AUDI che VW)-Idex-Easy4Q-AudiWorkbench-System42-ODIS-Jt2go-R430-VtFunktionsmatrix-NovoViewer-Pc da inserire in G-IDG-SCSM-C-IDG-ALL-SEC-ConnectionManager perché usa il VAS</t>
  </si>
  <si>
    <t>SR3470055</t>
  </si>
  <si>
    <t>Orsogna, Pasqualino (IG/ER-S) - ITDGTOL00070978 - ha rotto il monitor del laptop - 340 313 7536</t>
  </si>
  <si>
    <t>ITDGTOL00076783</t>
  </si>
  <si>
    <t>Chefe783</t>
  </si>
  <si>
    <t>04/11 h 14:30</t>
  </si>
  <si>
    <t>Icem-Catia</t>
  </si>
  <si>
    <t>SR3470073</t>
  </si>
  <si>
    <t>Chidichimo, Massimiliano (IG/EG-C) - ITDGTOL00068808</t>
  </si>
  <si>
    <t>ITDGTOL00076786</t>
  </si>
  <si>
    <t>Chefe786</t>
  </si>
  <si>
    <t>5/11 h 09:00</t>
  </si>
  <si>
    <t>SR3472798</t>
  </si>
  <si>
    <t>3310 – PALMERI Adele – cdc 277 Interiors Functional Development – IG/EI-1 – Empl. Numb. 99310</t>
  </si>
  <si>
    <t>SR3470061</t>
  </si>
  <si>
    <t>3309 – FERRARI Ester – cdc 252 Concept Development – IG/EG-C – Empl. Numb. 99309</t>
  </si>
  <si>
    <t>ITDGTOL00076784</t>
  </si>
  <si>
    <t>Chefe784</t>
  </si>
  <si>
    <t>SR3458855</t>
  </si>
  <si>
    <t>Altieri, Yari (IG/EI) - ITDGTOL00068401</t>
  </si>
  <si>
    <t>ITDGTOL00076336</t>
  </si>
  <si>
    <t>Saudade336</t>
  </si>
  <si>
    <t>6 nov - 08:30</t>
  </si>
  <si>
    <t>SR3464915</t>
  </si>
  <si>
    <t>Peyron, Emanuele (IG/SH-1) - ITDGTOL00070613</t>
  </si>
  <si>
    <t>ITDGTOL00076342</t>
  </si>
  <si>
    <t>Homemaranha342</t>
  </si>
  <si>
    <t>06/11 h 13:30</t>
  </si>
  <si>
    <t>Acrobat Writer, Autocad, MUD</t>
  </si>
  <si>
    <t>SR3470079</t>
  </si>
  <si>
    <t>Bosco, Franco (IG/ER-7) - ITDGTOL00069753</t>
  </si>
  <si>
    <t>ITDGTOL00076787</t>
  </si>
  <si>
    <t>Chefe787</t>
  </si>
  <si>
    <t>Catia-Avon-Sysem42-CapitalHarness</t>
  </si>
  <si>
    <t>SR3470085</t>
  </si>
  <si>
    <t>Carena, Sergio (IG/ER-S) - ITDGTOL00070482</t>
  </si>
  <si>
    <t>ITDGTOL00076788</t>
  </si>
  <si>
    <t>Chefe788</t>
  </si>
  <si>
    <t>07/11 h 09:00</t>
  </si>
  <si>
    <t>Adobe Illustrator 2021-Autodesk VRED (2023.4, 2024.2, 2025.2)-Unity/Unity HUB-Unreal</t>
  </si>
  <si>
    <t>SR3470105</t>
  </si>
  <si>
    <t>Franco, Alessandro (IG/P-10) - ITDGTOL00070991 - Display rotto</t>
  </si>
  <si>
    <t>ITDGTOL00076791</t>
  </si>
  <si>
    <t>Chefe791</t>
  </si>
  <si>
    <t>Catia - Connect - Audi Work - ThinkCell</t>
  </si>
  <si>
    <t>SR3472804</t>
  </si>
  <si>
    <t>Mosca, Lucia (IG/EE-4)</t>
  </si>
  <si>
    <t>CanoE 16 -Vtest Studio 4-idex/odis</t>
  </si>
  <si>
    <t>SR3472816</t>
  </si>
  <si>
    <t>SR3470117</t>
  </si>
  <si>
    <t>Cavaglia, Fabio (IG/ER-N) - ITDGTOL00068218 - Tastiera rotta</t>
  </si>
  <si>
    <t>ITDGTOL00076792</t>
  </si>
  <si>
    <t>Chefe792</t>
  </si>
  <si>
    <t>07/11 h 08:30</t>
  </si>
  <si>
    <t>SR3481369</t>
  </si>
  <si>
    <t>3307 – PANARIELLO Dario – cdc 260 EE-new branch – IG/EE-2 – Empl. Numb. 99307 - NAPOLI</t>
  </si>
  <si>
    <t>Per i nuovi assunti "NewBranch" provenienti da Napoli, l'onboarding ed il rilascio del client avviene direttamente su via Nizza</t>
  </si>
  <si>
    <t>SR3481378</t>
  </si>
  <si>
    <t xml:space="preserve">   3308 – CATALDO Cristian – cdc 260 EE-new branch – IG/EE-2 – Empl. Numb. 99308 - NAPOLI</t>
  </si>
  <si>
    <t>SR3470099</t>
  </si>
  <si>
    <t>Burelli, Roberto (IG/EL-1) - ITDGTOL00065760</t>
  </si>
  <si>
    <t>ITDGTOL00076790</t>
  </si>
  <si>
    <t>Chefe790</t>
  </si>
  <si>
    <t>08/11 h 08:30</t>
  </si>
  <si>
    <t>Acrobat Standard - Catia</t>
  </si>
  <si>
    <t>SR3471568</t>
  </si>
  <si>
    <t>Taverna, Rosa Alba (IG/F-1) - ITDGTOL00068416</t>
  </si>
  <si>
    <t>ITDGTOL00076350</t>
  </si>
  <si>
    <t>Chefe350</t>
  </si>
  <si>
    <t>11/11 - 14:30</t>
  </si>
  <si>
    <t>Filezilla</t>
  </si>
  <si>
    <t>SR3471534</t>
  </si>
  <si>
    <t>Vitello, Roberto (IG/EG) - ITDGTOL00068400</t>
  </si>
  <si>
    <t>ITDGTOL00076348</t>
  </si>
  <si>
    <t>Chefe348</t>
  </si>
  <si>
    <t>11/11 h 10:30</t>
  </si>
  <si>
    <t>VDS Easy-AudiWorkBench</t>
  </si>
  <si>
    <t>SR3464945</t>
  </si>
  <si>
    <t>Przybyla, Justyna (IG/F-1) - ITDGTOL00065798</t>
  </si>
  <si>
    <t>ITDGTOL00076345</t>
  </si>
  <si>
    <t>Homemaranha345</t>
  </si>
  <si>
    <t>12/11 h 08:30</t>
  </si>
  <si>
    <t>Dike Go Sign</t>
  </si>
  <si>
    <t>SR3446758</t>
  </si>
  <si>
    <t>Bianciotto, Katia (IG/S-2) - ITDGTOL00070441</t>
  </si>
  <si>
    <t>ITDGTOL00076332</t>
  </si>
  <si>
    <t>Rimini332</t>
  </si>
  <si>
    <t>SR3471394</t>
  </si>
  <si>
    <t>Diano, Esmeralda (IG/ER-S) - ITDGTOL00068253</t>
  </si>
  <si>
    <t>ITDGTOL00076793</t>
  </si>
  <si>
    <t>Chefe793</t>
  </si>
  <si>
    <t>12/11n h 09:00</t>
  </si>
  <si>
    <t>VRed2024.1-Connect-Photoshop</t>
  </si>
  <si>
    <t>SR3471562</t>
  </si>
  <si>
    <t>Agnello, Salvatore (IG/EG-5) - ITDGTOL00068414</t>
  </si>
  <si>
    <t>ITDGTOL00076349</t>
  </si>
  <si>
    <t>Chefe349</t>
  </si>
  <si>
    <t>13/11 h 08:30</t>
  </si>
  <si>
    <t>SR3471426</t>
  </si>
  <si>
    <t>Mazzone, Antonio (IG/ER-S) - ITDGTOL00069738</t>
  </si>
  <si>
    <t>ITDGTOL00076794</t>
  </si>
  <si>
    <t>Chefe794</t>
  </si>
  <si>
    <t>13/11 h 09:00</t>
  </si>
  <si>
    <t>software Icem surf, Catia V5, Vred ,Connect(attualmente in uso). Da installare driver per utilizzo VR per Icemsurf</t>
  </si>
  <si>
    <t>SR3472873</t>
  </si>
  <si>
    <t>Amato, Raffaele (IG/EI-32) - ITDGTOL00069305 - Problema batteria/ tastiera</t>
  </si>
  <si>
    <t>ITDGTOL00076353</t>
  </si>
  <si>
    <t>Malvado353</t>
  </si>
  <si>
    <t>13/11 - 14:00</t>
  </si>
  <si>
    <t>SR3472885</t>
  </si>
  <si>
    <t>Sala, Claudio (IG/EE-4) - ITDGTOL00070483 - Non si accende</t>
  </si>
  <si>
    <t>ITDGTOL00076355</t>
  </si>
  <si>
    <t>Malvado355</t>
  </si>
  <si>
    <t>Canoe 16 - Visio</t>
  </si>
  <si>
    <t>SR3484058</t>
  </si>
  <si>
    <t>NI</t>
  </si>
  <si>
    <t>PXIe-1088</t>
  </si>
  <si>
    <t>ITDGTOC00070012</t>
  </si>
  <si>
    <t>National70012</t>
  </si>
  <si>
    <t>SR3471519</t>
  </si>
  <si>
    <t>Rabbone, Gisella (IG/F-1) - ITDGTOL00068371</t>
  </si>
  <si>
    <t>ITDGTOL00076346</t>
  </si>
  <si>
    <t>Chefe346</t>
  </si>
  <si>
    <t>14/11 - 09:00</t>
  </si>
  <si>
    <t>SR3483283</t>
  </si>
  <si>
    <t>Rota, Alessandro (IG/D-3)) - ITDGTOL00071765</t>
  </si>
  <si>
    <t>ITDGTOL00076001</t>
  </si>
  <si>
    <t>Vaidarcerto001</t>
  </si>
  <si>
    <t>14-11 - 10:00</t>
  </si>
  <si>
    <t>Photoshop 2024 - Illustrator - Premiere - After Effect - Alias 2024 - Vred Pro 2024 - Blender 4.2.3 LTS - Keyshot 2023.3 - Unreal Engine 5.4 - Wacom</t>
  </si>
  <si>
    <t>SR3472849</t>
  </si>
  <si>
    <t>Cirulli, Pasquale (IG/EG-7) - ITDGTOL00068936</t>
  </si>
  <si>
    <t>ITDGTOL00076801</t>
  </si>
  <si>
    <t>Malvado801</t>
  </si>
  <si>
    <t>Connect - Catia - Citrix</t>
  </si>
  <si>
    <t>SR3472879</t>
  </si>
  <si>
    <t>De Pasquale, Bruno (IG/P-S1) - ITDGTOL00060243</t>
  </si>
  <si>
    <t>ITDGTOL00076354</t>
  </si>
  <si>
    <t>Malvado354</t>
  </si>
  <si>
    <t>14/11 - 14:00</t>
  </si>
  <si>
    <t>Kister - DYMO Label v.8- - Kprod Agent</t>
  </si>
  <si>
    <t>SR3483277</t>
  </si>
  <si>
    <t>Dario, Lauriola (IG/D-2) - ITDGTOL00071351</t>
  </si>
  <si>
    <t>ITDGTOL00076002</t>
  </si>
  <si>
    <t>Vaidarcerto002</t>
  </si>
  <si>
    <t>14-11 - 14:00</t>
  </si>
  <si>
    <t>Photoshop, Alias, Blender,  VRed, software Wacom</t>
  </si>
  <si>
    <t>SR3470123</t>
  </si>
  <si>
    <t>Alfinito, Dario (IG/EL-2) - ITDGTOL00069184 - Problema batteria - SPEDIRE NICHELINO E CONCORADE LA SOSTITUZIONE</t>
  </si>
  <si>
    <t xml:space="preserve">CATIA V5 – CONNECT – KVS </t>
  </si>
  <si>
    <t>SR3464909</t>
  </si>
  <si>
    <t>3311 – MILONE Jacopo – cdc 240 User Interface, Infotainment and Connected Car – IG/EE-2 – Empl. Numb. 99311</t>
  </si>
  <si>
    <t>ITDGTOL00076341</t>
  </si>
  <si>
    <t>Homemaranha341</t>
  </si>
  <si>
    <t>SR3485810</t>
  </si>
  <si>
    <t>Cafaro, Giuseppe (IG/D-62) - ITDGTOL00069298</t>
  </si>
  <si>
    <t>Surface - 3DS Max - Maya - Vred Pro - CFD - CFD Viewer - ICEM - Photoshop - Premiere</t>
  </si>
  <si>
    <t>SR3489042</t>
  </si>
  <si>
    <t>Fasciola, Elena (IG/B-2) - ITDGTOL00069634</t>
  </si>
  <si>
    <t>ITDGTOL00076356</t>
  </si>
  <si>
    <t>Invencivel356</t>
  </si>
  <si>
    <t>19/11/2024 - 11:00</t>
  </si>
  <si>
    <t>SR3483074</t>
  </si>
  <si>
    <t>Z8 Fury G5 Workstation</t>
  </si>
  <si>
    <t>ITDGTOC00076072</t>
  </si>
  <si>
    <t>Força072</t>
  </si>
  <si>
    <t>Lucid Shape di Synopsis (2022.03, CAA R32) - Autodesk Vred - Keyshot -Catia V5 -Connect - Photoshop</t>
  </si>
  <si>
    <t>SR3471525</t>
  </si>
  <si>
    <t>Converso, Davide (IG/ER-2E) - ITDGTOL00068398</t>
  </si>
  <si>
    <t>ITDGTOL00076347</t>
  </si>
  <si>
    <t>Chefe347</t>
  </si>
  <si>
    <t>21/11/24 - 09:00</t>
  </si>
  <si>
    <t>SR3489090</t>
  </si>
  <si>
    <t>Zanella, Diego (IG/EE-4) - ITDGTOL00070673</t>
  </si>
  <si>
    <t>ITDGTOL00076805</t>
  </si>
  <si>
    <t>Invencivel805</t>
  </si>
  <si>
    <t>22/11/24 - 09:30</t>
  </si>
  <si>
    <t>Inventor 2024-Microsoft Office-CANoe16 (SP4)-ZG View-Microsoft Visio</t>
  </si>
  <si>
    <t>SR3472855</t>
  </si>
  <si>
    <t>Odisio, Emanuele (IG/EG-7) - ITDGTOL00068805</t>
  </si>
  <si>
    <t>ITDGTOL00076802</t>
  </si>
  <si>
    <t>Malvado802</t>
  </si>
  <si>
    <t>Catia-Connect-Kisters-JT2GO-3dEXP-FastDMU-MediaEncoder</t>
  </si>
  <si>
    <t>SR3489078</t>
  </si>
  <si>
    <t>Cappello, Antonia (IG/ER-7) - ITDGTOL00069823 - Non serve la docking</t>
  </si>
  <si>
    <t>ITDGTOL00076803</t>
  </si>
  <si>
    <t>Invencivel803</t>
  </si>
  <si>
    <t>21/11/24 - 14:00</t>
  </si>
  <si>
    <t>Catia - Connect - Avon - Capital Harness</t>
  </si>
  <si>
    <t>SR3493244</t>
  </si>
  <si>
    <t>3314 – CERVELLIN Martina (rinomina) – cdc 6660 Controlling – IG/F-12 – Empl. Numb. 99314</t>
  </si>
  <si>
    <t>ITDGTOL00076361</t>
  </si>
  <si>
    <t>Tigre361</t>
  </si>
  <si>
    <t>Power BI aggiornamento di 11 64bit</t>
  </si>
  <si>
    <t>SR3493250</t>
  </si>
  <si>
    <t>3320 – D’AMBROSIO Giovanni (rinomina) – cdc 278 Vehicle Functional Development – IG/EG-Q – Empl. Numb. 99320</t>
  </si>
  <si>
    <t>ITDGTOL00076362</t>
  </si>
  <si>
    <t>Tigre362</t>
  </si>
  <si>
    <t>SR3493256</t>
  </si>
  <si>
    <t>3315 – MESSINA Marika (rinomina) – cdc 240 User Interface, Infotainment and Connected Car – IG/EE-2  - Empl. Numb. 99315</t>
  </si>
  <si>
    <t>ITDGTOL00076363</t>
  </si>
  <si>
    <t>Tigre363</t>
  </si>
  <si>
    <t>EPM-CPTOOL-WINSCP-NOTEPAD++ (Non sono riuscito venerdì, ci penso io in via Nizza)</t>
  </si>
  <si>
    <t>SR3493262</t>
  </si>
  <si>
    <t>3319 – VIGNINI Pietro – cdc 240 User Interface, Infotainment and Connected Car – IG/EE-2  - Empl. Numb. 99319</t>
  </si>
  <si>
    <t>ITDGTOL00076364</t>
  </si>
  <si>
    <t>Tigre364</t>
  </si>
  <si>
    <t>SR3493268</t>
  </si>
  <si>
    <t>3321 – NOBILE Claudia (rinomina) – cdc 240 User Interface, Infotainment and Connected Car – IG/EE-2  - Empl. Numb. 99321</t>
  </si>
  <si>
    <t>ITDGTOL00076365</t>
  </si>
  <si>
    <t>Tigre365</t>
  </si>
  <si>
    <t>SR3489096</t>
  </si>
  <si>
    <t>3317 – PEROGLIO Elisa (rinomina) – cdc 276 Exteriors Numerical Simulations – IG/ER-N – Empl. Numb. 99317</t>
  </si>
  <si>
    <t>ITDGTOL00076806</t>
  </si>
  <si>
    <t>Invencivel806</t>
  </si>
  <si>
    <t>Animator - Ansa - Connect - Loco - Kisters - Turbovnc</t>
  </si>
  <si>
    <t>SR3493208</t>
  </si>
  <si>
    <t>3318 – ACTIS GROSSO Moreno – cdc 276 Exteriors Numerical Simulations – IG/ER-N – Empl. Numb. 99318</t>
  </si>
  <si>
    <t>ITDGTOL00076807</t>
  </si>
  <si>
    <t>Tigre807</t>
  </si>
  <si>
    <t>SR3493214</t>
  </si>
  <si>
    <t>3313 – ACQUARONE Matteo – cdc 286 Electric &amp; Electronics – IG/EE-7 – Empl. Numb. 99313</t>
  </si>
  <si>
    <t>ITDGTOL00076808</t>
  </si>
  <si>
    <t>Tigre808</t>
  </si>
  <si>
    <t>CANape (versioni 13, 19 e 21)-CANoe (versioni 10 e 11)-Idex-Diagra-MATLab (versione 2023b)</t>
  </si>
  <si>
    <t>SR3493220</t>
  </si>
  <si>
    <t>3316 – PADUANO Antonio (rinomina da stage) – cdc 278 Vehicle Functional Development – IG/EG-5 – Empl. Numb. 99316 - ITDGTOL00070761</t>
  </si>
  <si>
    <t>ITDGTOL00076809</t>
  </si>
  <si>
    <t>Tigre809</t>
  </si>
  <si>
    <t>SR3413544</t>
  </si>
  <si>
    <t>3322 – MAIO Cesare – cdc 627 ICT &amp; Process Digitalization – IG/S-3 – Empl. Numb. 99322</t>
  </si>
  <si>
    <t>HP EliteBook</t>
  </si>
  <si>
    <t>SR3489066</t>
  </si>
  <si>
    <t>Antonioli, Andrea (IG/EG-I) - ITDGTOL00071233 - Rottura display - 3403268280</t>
  </si>
  <si>
    <t>ITDGTOL00076358</t>
  </si>
  <si>
    <t>Invencivel358</t>
  </si>
  <si>
    <t>29 nov h 17</t>
  </si>
  <si>
    <t>Idex - Canoe 10, 15-Audi Workbench-CPTool-Diagra-System42 - Aggiornamento Vector License</t>
  </si>
  <si>
    <t>SR3472861</t>
  </si>
  <si>
    <t>Martina, Daria Maria (IG/GT-P) - ITDGTOL00069843 - Pc lento</t>
  </si>
  <si>
    <t>ITDGTOL00076351</t>
  </si>
  <si>
    <t>Malvado351</t>
  </si>
  <si>
    <t>3 Dic h 08:30</t>
  </si>
  <si>
    <t>Kisters - ThinkCell</t>
  </si>
  <si>
    <t>SR3499351</t>
  </si>
  <si>
    <t>WORKSTATION ASUS (Sala, Claudio)</t>
  </si>
  <si>
    <t>ASUS</t>
  </si>
  <si>
    <t>----</t>
  </si>
  <si>
    <t>SR3489072</t>
  </si>
  <si>
    <t>Pesando, Matteo (IG/ER-3) - ITDGTOL00069608</t>
  </si>
  <si>
    <t>ITDGTOL00076359</t>
  </si>
  <si>
    <t>Invencivel359</t>
  </si>
  <si>
    <t>4 Dic h 08:30</t>
  </si>
  <si>
    <t>Connect-MatLab-PAK5,11-AudiWorkbench-Kisters-Citrix</t>
  </si>
  <si>
    <t>SR3472825</t>
  </si>
  <si>
    <t>Femia, Carmelo Claudio (IG/EE-4)</t>
  </si>
  <si>
    <t>Beyond Trust, Visual Studio Code</t>
  </si>
  <si>
    <t>SR3491165</t>
  </si>
  <si>
    <t>SR3491171</t>
  </si>
  <si>
    <t>SR3495051</t>
  </si>
  <si>
    <t>Bianco, Paolo (IG/EE-2)</t>
  </si>
  <si>
    <t>Engage Flex Mini</t>
  </si>
  <si>
    <t>ITDGTOC00076693</t>
  </si>
  <si>
    <t>Troc76693!</t>
  </si>
  <si>
    <t>EPM-IDEX-CPTOOL-NOTEPAD++-WINSCP-VWSTARTER</t>
  </si>
  <si>
    <t>SR3494638</t>
  </si>
  <si>
    <t>ITDGTOC00076694</t>
  </si>
  <si>
    <t>Troc76694!</t>
  </si>
  <si>
    <t>SR3495054</t>
  </si>
  <si>
    <t>ITDGTOC00076695</t>
  </si>
  <si>
    <t>Troc76695!</t>
  </si>
  <si>
    <t>SR3495057</t>
  </si>
  <si>
    <t>ITDGTOC00076696</t>
  </si>
  <si>
    <t>Troc76696!</t>
  </si>
  <si>
    <t>SR3495060</t>
  </si>
  <si>
    <t>ITDGTOC00076697</t>
  </si>
  <si>
    <t>Troc76697!</t>
  </si>
  <si>
    <t>SR3495063</t>
  </si>
  <si>
    <t>ITDGTOC00076698</t>
  </si>
  <si>
    <t>Troc76698!</t>
  </si>
  <si>
    <t>SR3495066</t>
  </si>
  <si>
    <t>ITDGTOC00076699</t>
  </si>
  <si>
    <t>Troc76699!</t>
  </si>
  <si>
    <t>SR3495069</t>
  </si>
  <si>
    <t>ITDGTOC00076700</t>
  </si>
  <si>
    <t>Troc76700!</t>
  </si>
  <si>
    <t>SR3495096</t>
  </si>
  <si>
    <t>ITDGTOC00076701</t>
  </si>
  <si>
    <t>Troc76701!</t>
  </si>
  <si>
    <t>SR3494318</t>
  </si>
  <si>
    <t>ITDGTOC00076702</t>
  </si>
  <si>
    <t>Troc76702!</t>
  </si>
  <si>
    <t>SR3493238</t>
  </si>
  <si>
    <t>Bravin, Luca (IG/B-2) - ITDGTOL00070486 - Problema porta USB</t>
  </si>
  <si>
    <t>ITDGTOL00076360</t>
  </si>
  <si>
    <t>Tigre360</t>
  </si>
  <si>
    <t>5 Dic h 08:30</t>
  </si>
  <si>
    <t>Kisters-ThikCell</t>
  </si>
  <si>
    <t>SR3501274</t>
  </si>
  <si>
    <t>Gullone, Domenico (IG/P-S) - ITDGTOL00070450</t>
  </si>
  <si>
    <t>ITDGTOL00076368</t>
  </si>
  <si>
    <t>Clebinho368</t>
  </si>
  <si>
    <t>SR3472831</t>
  </si>
  <si>
    <t>Sorrentino, Francesco (IG/EG-Q) - ITDGTOL00068802 - Problema batteria</t>
  </si>
  <si>
    <t>ITDGTOL00076798</t>
  </si>
  <si>
    <t>Malvado798</t>
  </si>
  <si>
    <t>5/12 h 13:30</t>
  </si>
  <si>
    <t>Idex-CpTool-vSignalyzer-MDMdala-Diagra-AudiWorkbench</t>
  </si>
  <si>
    <t>SR3499695</t>
  </si>
  <si>
    <t>Bichiou, Salim (IDD/EG-I)  -  SPEDIRE IDD GAIMERSHEIM (rif. Anders Matthias)</t>
  </si>
  <si>
    <t>ITDGTOL00076366</t>
  </si>
  <si>
    <t>Clebinho366</t>
  </si>
  <si>
    <t>SR3470093</t>
  </si>
  <si>
    <t>Taddeo, Angelo (IG/EG-C) - ITDGTOL00065767</t>
  </si>
  <si>
    <t>ITDGTOL00076789</t>
  </si>
  <si>
    <t>Chefe789</t>
  </si>
  <si>
    <t>11/12 h 10:30</t>
  </si>
  <si>
    <t>SR3502947</t>
  </si>
  <si>
    <t>3323 – SPEDICATO Antonio – cdc 674 Facilities &amp; Maintenance – IG/SH-2 – Empl. Numb. 99323</t>
  </si>
  <si>
    <t>ITDGTOL00076843</t>
  </si>
  <si>
    <t>Massaranduba843</t>
  </si>
  <si>
    <t>SR3503645</t>
  </si>
  <si>
    <t xml:space="preserve">3324 - GUENTHNER Michael - cdc 239 Architecture &amp; Integration - IG/EG-I - Empl. Numb. 99324 </t>
  </si>
  <si>
    <t>SR3472843</t>
  </si>
  <si>
    <t>Gosmar, Davide Maria (IG/EG-7) - ITDGTOL00068246</t>
  </si>
  <si>
    <t>ITDGTOL00076800</t>
  </si>
  <si>
    <t>Malvado800</t>
  </si>
  <si>
    <t>13/12 h 08:30</t>
  </si>
  <si>
    <t>Catia-Connect-Kisters-MediaCoder</t>
  </si>
  <si>
    <t>SR3471511</t>
  </si>
  <si>
    <t>3326 – CINA’ Stefano – cdc 279 Vehicle Safety Development – IG/ER-4 – Empl. Numb. 99326 </t>
  </si>
  <si>
    <t>ITDGTOL00076797</t>
  </si>
  <si>
    <t>Chefe797</t>
  </si>
  <si>
    <t>Catia-Connect-Animator-Hypermesh-Generator</t>
  </si>
  <si>
    <t>SR3499733</t>
  </si>
  <si>
    <t>3325 – VILLO’ Alberto (rinomina) – cdc 217 Aerodynamics, Air conditioning &amp; Thermal Management – IG/ER-3 – Empl. Numb. 99325 </t>
  </si>
  <si>
    <t>ITDGTOL00076815</t>
  </si>
  <si>
    <t>Clebinho815</t>
  </si>
  <si>
    <t>Catia-Connect-Kisters-MSCAdams-ThinkCell</t>
  </si>
  <si>
    <t>SR3507251</t>
  </si>
  <si>
    <t>HP Z8 Fury G5 Workstation Desktop PC</t>
  </si>
  <si>
    <t>ITDGTOC00076073</t>
  </si>
  <si>
    <t>Servidor76073</t>
  </si>
  <si>
    <t>SR3503657</t>
  </si>
  <si>
    <t>3327 – SCHIOPPO Lucio – cdc 260 EE-new branch – IG/EE-1 – Empl. Numb. 99327</t>
  </si>
  <si>
    <t>Giò - Nizza</t>
  </si>
  <si>
    <t>EPM-WinSCP-Idex-CpTool</t>
  </si>
  <si>
    <t>SR3472837</t>
  </si>
  <si>
    <t>Obradovic, Jovan (IG/EI-1) - ITDGTOL00065753</t>
  </si>
  <si>
    <t>ITDGTOL00076799</t>
  </si>
  <si>
    <t>Malvado799</t>
  </si>
  <si>
    <t>Catia - Connect - Avon - Zoom - ThinkCell</t>
  </si>
  <si>
    <t>SR3503097</t>
  </si>
  <si>
    <t>Ferraris, Rachele (IG/D-3) - ITDGTOL00071379</t>
  </si>
  <si>
    <t>ITDGTOL00076819</t>
  </si>
  <si>
    <t>Massaranduba819</t>
  </si>
  <si>
    <t>Photoshop, Illustrator, After Effects, XD, Blender</t>
  </si>
  <si>
    <t>SR3499701</t>
  </si>
  <si>
    <t>Ribet, Fabrizio (IG/EG-C) - ITDGTOL00070619 Mettilo in lista per la sostituzione, è un responsabile.</t>
  </si>
  <si>
    <t>ITDGTOL00076367</t>
  </si>
  <si>
    <t>Clebinho367</t>
  </si>
  <si>
    <t>17/12 - 14:45</t>
  </si>
  <si>
    <t>SR3503299</t>
  </si>
  <si>
    <t>Succo, Sara (IG/F-12) - ITDGTOL00076179</t>
  </si>
  <si>
    <t>ITDGTOL00076849</t>
  </si>
  <si>
    <t>Lenovo849</t>
  </si>
  <si>
    <t>SR3502953</t>
  </si>
  <si>
    <t>Floro, Paolo (IG/B-2) - ITDGTOL00070624 - Problema Batteria</t>
  </si>
  <si>
    <t>ITDGTOL00076844</t>
  </si>
  <si>
    <t>Massaranduba844</t>
  </si>
  <si>
    <t>18/12/24 - 14:00</t>
  </si>
  <si>
    <t>CONNECT</t>
  </si>
  <si>
    <t>SR3503287</t>
  </si>
  <si>
    <t>Mazzucca, Matteo (IG/B-2) - ITDGTOL00070618 - schermo rotto</t>
  </si>
  <si>
    <t>ITDGTOL00076847</t>
  </si>
  <si>
    <t>Lenovo847</t>
  </si>
  <si>
    <t>18/12 - 08:30</t>
  </si>
  <si>
    <t>Kisters, Think Cell</t>
  </si>
  <si>
    <t>SR3503293</t>
  </si>
  <si>
    <t>Bollo, Simonetta (IG/P-S1) - ITDGTOL00069161</t>
  </si>
  <si>
    <t>Antonella</t>
  </si>
  <si>
    <t>ITDGTOL00076848</t>
  </si>
  <si>
    <t>Lenovo848</t>
  </si>
  <si>
    <t>SR3502938</t>
  </si>
  <si>
    <t>Carretta, Gabriele (IG/P-72) - ITDGTOL00059100 - Contattare Marco Del Rosso</t>
  </si>
  <si>
    <t>ITDGTOL00076842</t>
  </si>
  <si>
    <t>Massaranduba842</t>
  </si>
  <si>
    <t>SR3512054</t>
  </si>
  <si>
    <t>Schuermann, Lorenzo (IG/G) - ITDGTOL00073122 - Display rotto</t>
  </si>
  <si>
    <t>ITDGTOL00076850</t>
  </si>
  <si>
    <t>Montanha850</t>
  </si>
  <si>
    <t>SR3512102</t>
  </si>
  <si>
    <t>Latu, Patrice (IG/F-12) - 69360</t>
  </si>
  <si>
    <t>ITDGTOC00076607</t>
  </si>
  <si>
    <t>Avo607</t>
  </si>
  <si>
    <t>Anaconda</t>
  </si>
  <si>
    <t>SR3502959</t>
  </si>
  <si>
    <t>D Esposito, Barbara (IG/SH-2) - ITDGTOL00070568</t>
  </si>
  <si>
    <t>ITDGTOL00076845</t>
  </si>
  <si>
    <t>Massaranduba845</t>
  </si>
  <si>
    <t>08/01 h 08:30</t>
  </si>
  <si>
    <t>Autocad-Photoshop-ThinkCell-AcrobatProDC (magari il pro non serve)</t>
  </si>
  <si>
    <t>SR3503281</t>
  </si>
  <si>
    <t>Baffo, Alessandra (IG/SH-2) - ITDGTOL00073637</t>
  </si>
  <si>
    <t>ITDGTOL00076846</t>
  </si>
  <si>
    <t>Lenovo846</t>
  </si>
  <si>
    <t>08/01 h 13:30</t>
  </si>
  <si>
    <t>Autocad-Photoshop-ThinkCell-Sketchup</t>
  </si>
  <si>
    <t>SR3512084</t>
  </si>
  <si>
    <t>Melissano, Giuseppe (IG/ES) - ITDGTOL00069810 - UTENTE RIMANDA A GENNAIO 2025</t>
  </si>
  <si>
    <t>ITDGTOL00076824</t>
  </si>
  <si>
    <t>Montanha824</t>
  </si>
  <si>
    <t>08/01 h 09:00</t>
  </si>
  <si>
    <t>Catia-Connect-JT2GO-Kisters-NovoViewer-Filmora14-Webex-Avon-VmwareHorizonClient-AcrobatDC-3DConnection</t>
  </si>
  <si>
    <t>SR3471480</t>
  </si>
  <si>
    <t>Gerbino, Daniele (IG/EG-C) - ITDGTOL00070964 - Display rotto</t>
  </si>
  <si>
    <t>ITDGTOL00076795</t>
  </si>
  <si>
    <t>Chefe795</t>
  </si>
  <si>
    <t>09/01/2025 h 08:30</t>
  </si>
  <si>
    <t>Catia V5, Photoshop, Connect, Think-Cell di PPT, KeePass</t>
  </si>
  <si>
    <t>SR3512060</t>
  </si>
  <si>
    <t>3328 – KRUEGER Mirko Simon (FSE da Audi) – cdc 278 Vehicle Functional Development – IG/EG-Q – Empl. Numb. 99328</t>
  </si>
  <si>
    <t>ITDGTOL00076851</t>
  </si>
  <si>
    <t>Montanha851</t>
  </si>
  <si>
    <t>SR3516332</t>
  </si>
  <si>
    <t>3330 – GATTI Letizia – cdc 660 Finance – IG/F-1 – Empl. Numb. 99330</t>
  </si>
  <si>
    <t>HP EliteBook 840 G8</t>
  </si>
  <si>
    <t>SR3503651</t>
  </si>
  <si>
    <t>3331 – FRANCESCON Tommaso – cdc 670 general Direction – IG/G – Empl. Numb. 99331</t>
  </si>
  <si>
    <t>SR3503263</t>
  </si>
  <si>
    <t>Schioppo, Lucio (IG/EE-1) - ITDGTOL00073671 (Cambio autorizzato da Saracco - Spedire sede Napoli)</t>
  </si>
  <si>
    <t>ITDGTOL00076821</t>
  </si>
  <si>
    <t>Lenovo821</t>
  </si>
  <si>
    <t>14/01/2024 - 14:00</t>
  </si>
  <si>
    <t>Photoshop, Unity, suite Jetbrains e Android Studio</t>
  </si>
  <si>
    <t>SR3517473</t>
  </si>
  <si>
    <t>Milani, Federico (IG/D-2) - ITDGTOL00073351</t>
  </si>
  <si>
    <t xml:space="preserve">Photoshop, Premiere, XD, Figma. AUTODESK ALIAS AUTOSTUDIO 2021 UPDATE 3--ALIAS SURFACE 2023--ADOBE PHOTOSHOP 2023--ADOBE ILLUSTRATOR 2023--VRED DESIGN 2023.3--KEYSHOT 2023--BLENDER </t>
  </si>
  <si>
    <t>SR3512090</t>
  </si>
  <si>
    <t>Martini, Paolo (IG/D-61) - ITDGTOL00069314 - UTENTE RIMANDA A GENNAIO 2025 - 333 3365331</t>
  </si>
  <si>
    <t>ITDGTOL00076825</t>
  </si>
  <si>
    <t>Montanha825</t>
  </si>
  <si>
    <t>16/01/2025 - 08:30</t>
  </si>
  <si>
    <t>Catia-Connect-AliasSpeedform2019-Surface2025-Vred-IcemSurf-WacomDriver-Photoshop</t>
  </si>
  <si>
    <t>SR3502965</t>
  </si>
  <si>
    <t>Gaido, Fabio (IG/ER-2D) - ITDGTOL00070562</t>
  </si>
  <si>
    <t>ITDGTOL00076816</t>
  </si>
  <si>
    <t>Massaranduba816</t>
  </si>
  <si>
    <t>17/01/2025 - 10:00</t>
  </si>
  <si>
    <t>SR3518201</t>
  </si>
  <si>
    <t>Grieco, Luca (IG/EE-4) - ITDGTOL00072274 - Problema Tastiera</t>
  </si>
  <si>
    <t>ITDGTOL00076828</t>
  </si>
  <si>
    <t>Procon828</t>
  </si>
  <si>
    <t>20/01/25 - 11:30</t>
  </si>
  <si>
    <t>CP-Tool - EXAM 5.3 - Git - Idex - InteelliJ IDEA - Python - MATLAP R2021a - Visio - Notepad++ - Odis 18 - SourceTree - Steex 3.1 - System42 - Tera Term - ThinkCell - TortoiseGit - TortoiseSVN - Canalyzer 15 - Canoe 14 - WinMerge - WinSCP</t>
  </si>
  <si>
    <t>SR3512072</t>
  </si>
  <si>
    <t>Strejtschek, Katharina Maria Sophia (IG/S) - ITDGTOL00070709 - Richiesto da Denis</t>
  </si>
  <si>
    <t>ITDGTOL00076852</t>
  </si>
  <si>
    <t>Montanha852</t>
  </si>
  <si>
    <t>20/01 h 10:30</t>
  </si>
  <si>
    <t>SR3525491</t>
  </si>
  <si>
    <t>Casu, Antonio (IG/G) - Pecchioli, Elena (IG/G)</t>
  </si>
  <si>
    <t>ITDGTOL00076370</t>
  </si>
  <si>
    <t>Desespero370</t>
  </si>
  <si>
    <t>Acrobat Writer - Zoom - GoSign Desktop</t>
  </si>
  <si>
    <t>SR3527663</t>
  </si>
  <si>
    <t>3332 – BLANKENHEIM Kim Valerie – cdc 276 Exteriors Numerical Simulations – IG/ER-N – Empl. Numb. 99332</t>
  </si>
  <si>
    <t>Ansa-Loco-Animator-Kisters-Connect-Catia-TurboVNC-Putty</t>
  </si>
  <si>
    <t>SR3503118</t>
  </si>
  <si>
    <t>Griva Zabert, Mattia (IG/GT-E) - ITDGTOL00069457 - Problema tastiera</t>
  </si>
  <si>
    <t>ITDGTOL00076820</t>
  </si>
  <si>
    <t>Lenovo820</t>
  </si>
  <si>
    <t>SR3512096</t>
  </si>
  <si>
    <t xml:space="preserve"> Sanino, Marco (IG/ER-3) - ITDGTOL00069186</t>
  </si>
  <si>
    <t>ITDGTOL00076826</t>
  </si>
  <si>
    <t>Montanha826</t>
  </si>
  <si>
    <t>21/01 h 09:00</t>
  </si>
  <si>
    <t>Catia-Connect-Photoshop-Avon-Tevon-TrexFIA-Vera-cPlace</t>
  </si>
  <si>
    <t>SR3523700</t>
  </si>
  <si>
    <t>Cian, Umberto (IG/EE-1, extern)</t>
  </si>
  <si>
    <t>Geekom</t>
  </si>
  <si>
    <t>Mini IT8 GM08i5T</t>
  </si>
  <si>
    <t>ITDGTOC00098501</t>
  </si>
  <si>
    <t>Geek98501!</t>
  </si>
  <si>
    <t>Canoe-VectorVAGSecurityAddOnInstaller_3.2.13.0-EPM-Idex-EsoTrace-FoxTerm-TeaTerm</t>
  </si>
  <si>
    <t>SR3502977</t>
  </si>
  <si>
    <t>Falchi, Giuseppe (IG/EL-2) - ITDGTOL00069755 - Lettore PKI rotto</t>
  </si>
  <si>
    <t>ITDGTOL00076818</t>
  </si>
  <si>
    <t>Massaranduba818</t>
  </si>
  <si>
    <t>22/01 - 14:30</t>
  </si>
  <si>
    <t>SR3524742</t>
  </si>
  <si>
    <t>Malinverno, Marco (IG/EE-3) - ITDGTOL00070694 - Problema Batteria</t>
  </si>
  <si>
    <t>ITDGTOL00076856</t>
  </si>
  <si>
    <t>Frio856</t>
  </si>
  <si>
    <t>23/01 - 11:00 - NIZZA</t>
  </si>
  <si>
    <t>System42, AVON, TEVON, Ti-Rex, Enterprise Architect, Audi Workbench, Cp-tool, IDEX, ODIS, beyond trust, Slack, WinSCP, Putty, CANoE e tutti i sw Vector, Wireshark, Python</t>
  </si>
  <si>
    <t>SR3531379</t>
  </si>
  <si>
    <t>Suleri, Hilary (IG/EE-1) - ITDGTOL00070987 - Autorizzato dal responsabile</t>
  </si>
  <si>
    <t>29/01 - Via Nizza</t>
  </si>
  <si>
    <t>SR3537079</t>
  </si>
  <si>
    <t>Anselmo, Nicolas Federico (IG/EE-5)</t>
  </si>
  <si>
    <t>SR3539375</t>
  </si>
  <si>
    <t>Costarella, Daniele (IG/EE-2)</t>
  </si>
  <si>
    <t>VirtualBox-WinSCP-VSCode-Notepad++-Putty-Phyton-ThinkCell-KiCAD-Kisters</t>
  </si>
  <si>
    <t>SR3537901</t>
  </si>
  <si>
    <t>Burzio, Giorgia (IG/S-1) - ITDGTOL00069430</t>
  </si>
  <si>
    <t>IGITMONCL076857</t>
  </si>
  <si>
    <t>Primeironovoad857</t>
  </si>
  <si>
    <t>SR3516322</t>
  </si>
  <si>
    <t>Scalise, Antonello (IG/P-S) - ITDGTOL00069153</t>
  </si>
  <si>
    <t>IGITMONCL076179</t>
  </si>
  <si>
    <t>SR3489060</t>
  </si>
  <si>
    <t>Giolitti, Marco (IDD/EE-5) - ITDGTOL00076115</t>
  </si>
  <si>
    <t>ITDGTOL00076853</t>
  </si>
  <si>
    <t>Avo853</t>
  </si>
  <si>
    <t>06/02 - 08:30</t>
  </si>
  <si>
    <t>ODIS - Cameo - Canoe (piu recente) + Vector Hardware Configuration - Wireshark - PyCharm - AxF Viewer</t>
  </si>
  <si>
    <t>SR3524736</t>
  </si>
  <si>
    <t>Scoponi, Federica Maria (IG/EE-3) - ITDGTOL00069620 - Problema Batteria</t>
  </si>
  <si>
    <t>ITDGTOL00076855</t>
  </si>
  <si>
    <t>Frio855</t>
  </si>
  <si>
    <t>10/02 - 11:30</t>
  </si>
  <si>
    <t>Doors, System 42, Think-cell, Idex, Odis</t>
  </si>
  <si>
    <t>SR3541923</t>
  </si>
  <si>
    <t>Femia, Carmelo Claudio (IG/EE-4) - ITDGTOL00069399</t>
  </si>
  <si>
    <t>IGITMONCL076859</t>
  </si>
  <si>
    <t>Pandeiro859</t>
  </si>
  <si>
    <t>SR3541929</t>
  </si>
  <si>
    <t>HP Z2 Mini G9</t>
  </si>
  <si>
    <t>IGITMONCD098502</t>
  </si>
  <si>
    <t>Cruzeiro502</t>
  </si>
  <si>
    <t>Canoe 16</t>
  </si>
  <si>
    <t>SR3541935</t>
  </si>
  <si>
    <t>IGITMONCD098503</t>
  </si>
  <si>
    <t>Cruzeiro503</t>
  </si>
  <si>
    <t>SR3524728</t>
  </si>
  <si>
    <t>Combina, Gabriele (IG/S-32) - ITDGTOL00069277</t>
  </si>
  <si>
    <t>ITDGTOL00076854</t>
  </si>
  <si>
    <t>Frio854</t>
  </si>
  <si>
    <t>10/02/2025 - 15:30:00</t>
  </si>
  <si>
    <t>Toad, FileZilla</t>
  </si>
  <si>
    <t>SR3539281</t>
  </si>
  <si>
    <t>ITDGTOC00071650</t>
  </si>
  <si>
    <t>Mini71650!</t>
  </si>
  <si>
    <t>LanguagePackENG-RemoteDekstop IG/EE-2 All-Canoe18-DriverFTDI-EPM</t>
  </si>
  <si>
    <t>SR3539659</t>
  </si>
  <si>
    <t>ITDGTOL00071649</t>
  </si>
  <si>
    <t>Mini71649!</t>
  </si>
  <si>
    <t>SR3544026</t>
  </si>
  <si>
    <t>IGITMONCD098504</t>
  </si>
  <si>
    <t>Cruzeiro504</t>
  </si>
  <si>
    <t>Vector VtestStudio8 - Vector CANoe 16 SP7 - VNC (per usarlo da remoto) - FoxTerm - ODIS - ADB - Python 3.11</t>
  </si>
  <si>
    <t>SR3544032</t>
  </si>
  <si>
    <t>IGITMONCD098505</t>
  </si>
  <si>
    <t>Cruzeiro505</t>
  </si>
  <si>
    <t>SR3544038</t>
  </si>
  <si>
    <t>IGITMONCD098506</t>
  </si>
  <si>
    <t>Cruzeiro506</t>
  </si>
  <si>
    <t>SR3544044</t>
  </si>
  <si>
    <t>IGITMONCD098507</t>
  </si>
  <si>
    <t>Cruzeiro507</t>
  </si>
  <si>
    <t>SR3544050</t>
  </si>
  <si>
    <t>IGITMONCD098508</t>
  </si>
  <si>
    <t>Cruzeiro508</t>
  </si>
  <si>
    <t>SR3544056</t>
  </si>
  <si>
    <t>IGITMONCD098509</t>
  </si>
  <si>
    <t>Cruzeiro509</t>
  </si>
  <si>
    <t>SR3545168</t>
  </si>
  <si>
    <t>Costa, Tommaso Junior (IG/EE-4)</t>
  </si>
  <si>
    <t>IGITMONCD098510</t>
  </si>
  <si>
    <t>Goias510</t>
  </si>
  <si>
    <t>tortoiseGIt, beyondtrust</t>
  </si>
  <si>
    <t>SR3545174</t>
  </si>
  <si>
    <t>IGITMONCD098511</t>
  </si>
  <si>
    <t>Goias511</t>
  </si>
  <si>
    <t>Teststand 2023 - labview - Canoe 17 SP15 - Driver Vector - Idex e Cptool</t>
  </si>
  <si>
    <t>SR3499713</t>
  </si>
  <si>
    <t>Sede di Moncalieri - Musco, Nunzio (IG/P-72) - PC Taglio WorckNC - rif Saracco - Puro, Marco (IG/P-71) - ITDGTOL00065943</t>
  </si>
  <si>
    <t>ITDGTOL00076812</t>
  </si>
  <si>
    <t>Clebinho812</t>
  </si>
  <si>
    <t>WorkNC - TNCremo30</t>
  </si>
  <si>
    <t>SR3499719</t>
  </si>
  <si>
    <t>Sede di Moncalieri - Musco, Nunzio (IG/P-72) - PC Taglio WorckNC - rif Saracco - Puro, Marco (IG/P-71) - ITDGTOL00059809</t>
  </si>
  <si>
    <t>ITDGTOL00076813</t>
  </si>
  <si>
    <t>Clebinho813</t>
  </si>
  <si>
    <t>SR3499725</t>
  </si>
  <si>
    <t>Sede di Moncalieri - Musco, Nunzio (IG/P-72) - PC Taglio WorckNC - rif Saracco - Puro, Marco (IG/P-71) - ITDGTOL00070762</t>
  </si>
  <si>
    <t>ITDGTOL00076814</t>
  </si>
  <si>
    <t>Clebinho814</t>
  </si>
  <si>
    <t>SR3503269</t>
  </si>
  <si>
    <t>Di Maio, Tommaso (IG/EE-1) - ITDGTOL00073672 (Cambio autorizzato da Saracco - Spedire sede Napoli)</t>
  </si>
  <si>
    <t>ITDGTOL00076822</t>
  </si>
  <si>
    <t>Lenovo822</t>
  </si>
  <si>
    <t>Photoshop - Unity - Jetbrains - Android Studio</t>
  </si>
  <si>
    <t>SR3544354</t>
  </si>
  <si>
    <t>HP Mini</t>
  </si>
  <si>
    <t>ITDGTOC00071646</t>
  </si>
  <si>
    <t>Mini71646!</t>
  </si>
  <si>
    <t>SR3544357</t>
  </si>
  <si>
    <t>ITDGTOC00071648</t>
  </si>
  <si>
    <t>Mini71648!</t>
  </si>
  <si>
    <t>SR3544902</t>
  </si>
  <si>
    <t xml:space="preserve">Raballo, Andrea (IG/S-31) - ITDGTOL00073666 </t>
  </si>
  <si>
    <t>IGITMONCL076865</t>
  </si>
  <si>
    <t>Atletico865</t>
  </si>
  <si>
    <t>Indifferente - solo consegna</t>
  </si>
  <si>
    <t>SR3539922</t>
  </si>
  <si>
    <t>Pizzi, Giovanni (IG/D-3) - ITDGTOL00070757</t>
  </si>
  <si>
    <t>IGITMONCL076831</t>
  </si>
  <si>
    <t>Cruzeiro831</t>
  </si>
  <si>
    <t>18/02 h 08:30</t>
  </si>
  <si>
    <t>Alias-Photoshop-Blender</t>
  </si>
  <si>
    <t>SR3544878</t>
  </si>
  <si>
    <t>Ciocca, Stefano (IG/EG-Q) - ITDGTOL00065749 - approvazione di Saracco</t>
  </si>
  <si>
    <t>IGITMONCL076861</t>
  </si>
  <si>
    <t>Atletico861</t>
  </si>
  <si>
    <t>18/02 h 12:00</t>
  </si>
  <si>
    <t>ShareFile, AVx/EVx, MDM Dala, AVON</t>
  </si>
  <si>
    <t>SR3544896</t>
  </si>
  <si>
    <t>Capitanio, Monica Pia (IG/D-S) - ITDGTOL00070631</t>
  </si>
  <si>
    <t>IGITMONCL076864</t>
  </si>
  <si>
    <t>Atletico864</t>
  </si>
  <si>
    <t>18/02 h 14:30</t>
  </si>
  <si>
    <t>SR3544884</t>
  </si>
  <si>
    <t>Racioppo, Rosanna (IG/F) - ITDGTOL00069865</t>
  </si>
  <si>
    <t>IGITMONCL076862</t>
  </si>
  <si>
    <t>Atletico862</t>
  </si>
  <si>
    <t>20/02 h 08:30</t>
  </si>
  <si>
    <t>GoSign (Serve per Infocert e file p7m ) -Thunderbird (per backup PEC che esegue Vigna, è importante sia trasferito cosi com’è in quanto ci sono le vecchie pec importanti) -Acrobat Writer</t>
  </si>
  <si>
    <t>SR3539916</t>
  </si>
  <si>
    <t>Azzolina, Paolo (IG/EL-2) - ITDGTOL00069216 - Problema Webcan</t>
  </si>
  <si>
    <t>IGITMONCL076830</t>
  </si>
  <si>
    <t>Cruzeiro830</t>
  </si>
  <si>
    <t>Catia-Connect-Pointfix</t>
  </si>
  <si>
    <t>SR3551443</t>
  </si>
  <si>
    <t>Balbi, Giovanni (IG/S-31, extern) - IGITMONCL071759</t>
  </si>
  <si>
    <t>Fedor870</t>
  </si>
  <si>
    <t>SR3550300</t>
  </si>
  <si>
    <t>Farina, Omar (IG/S-31, extern) - ITDGTOL00070717</t>
  </si>
  <si>
    <t>IGITMONCL076869</t>
  </si>
  <si>
    <t>Fedor869</t>
  </si>
  <si>
    <t>SR3551449</t>
  </si>
  <si>
    <t>Linhares Cruz, Jackson (IG/S-31, extern) - ITDGTOL00072940</t>
  </si>
  <si>
    <t>IGITMONCL076871</t>
  </si>
  <si>
    <t>Fedor871</t>
  </si>
  <si>
    <t>SR3518209</t>
  </si>
  <si>
    <t>Stornanti, Vincenzo Graziano (IG/EE-1) - ITDGTOL00070538</t>
  </si>
  <si>
    <t>ITDGTOL00076829</t>
  </si>
  <si>
    <t>Procon829</t>
  </si>
  <si>
    <t>21/02 h 08:30</t>
  </si>
  <si>
    <t>HAXM-AndroidStudio-FTDI Driver-PeakCAN driver</t>
  </si>
  <si>
    <t>SR3544866</t>
  </si>
  <si>
    <t>Saltarelli, Andrea (IG/EE-5) - ITDGTOL00072269 - approvazione di Saracco</t>
  </si>
  <si>
    <t>IGITMONCL076860</t>
  </si>
  <si>
    <t>Atletico860</t>
  </si>
  <si>
    <t>24/02 h 10:30</t>
  </si>
  <si>
    <t>DriverVector-Canalyzer15-Canape16-Canoe16-Cameo-Odis-Idex-TicketWizard-Notepad++-WireShark-EPM-ThinkCell</t>
  </si>
  <si>
    <t>SR3544890</t>
  </si>
  <si>
    <t>Mari, Gianluca (IG/EE-5) - ITDGTOL00070520 - Approvazione di Saracco</t>
  </si>
  <si>
    <t>IGITMONCL076863</t>
  </si>
  <si>
    <t>Atletico863</t>
  </si>
  <si>
    <t>25/02 h 08:30</t>
  </si>
  <si>
    <t>Canape16/19-Canalyzer15-VectorDriver-VXconfig4,7-Idex-CpTool-Avon-HEADmonitor-Odis-AudiWorkbench-Cluu-Kisters-EPM-ThinkCell</t>
  </si>
  <si>
    <t>SR3503275</t>
  </si>
  <si>
    <t>Ciriolo, Federico (IG/EE-4) - ITDGTOL00076117 (chiedere Saracco, schermo guasto a causa di oggetto chiuso nel notebook)</t>
  </si>
  <si>
    <t>ITDGTOL00076823</t>
  </si>
  <si>
    <t>Lenovo823</t>
  </si>
  <si>
    <t>25/02 h 09:00</t>
  </si>
  <si>
    <t>Autodesk Inventor 2025 - Autodesk Autocad Electrical - Visio - Idex - Odis - CpTool - Pycharm - Python</t>
  </si>
  <si>
    <t>SR3541917</t>
  </si>
  <si>
    <t>Costarella, Daniele (IG/EE-2) - ITDGTOL00072250 (Office win11 con 32Gb ram) - approvazione di Saracco</t>
  </si>
  <si>
    <t>IGITMONCL076858</t>
  </si>
  <si>
    <t>Pandeiro858</t>
  </si>
  <si>
    <t>25/02 h 08:30 - NIZZA</t>
  </si>
  <si>
    <t>VirtualBox-WinSCP-VSCode-Notepad++-Putty-Phyton-ThinkCell-KiCAD</t>
  </si>
  <si>
    <t>SR3553076</t>
  </si>
  <si>
    <t>Aldo, Vito (IG/S-31)</t>
  </si>
  <si>
    <t>ZBook 15 G3</t>
  </si>
  <si>
    <t>Italdesign2025!</t>
  </si>
  <si>
    <t>Intall Linux</t>
  </si>
  <si>
    <t>SR3554562</t>
  </si>
  <si>
    <t>Fischetti, Eugenio (IG/ER-S) - ITDGTOL00069304 - tasti non funzionanti</t>
  </si>
  <si>
    <t>IGITMONCL073351</t>
  </si>
  <si>
    <t>26/02 h 14:00</t>
  </si>
  <si>
    <t>Catia-Connect-IcemSurf-Surface2025</t>
  </si>
  <si>
    <t>SR3549576</t>
  </si>
  <si>
    <t>Paolo Bianco IG/EE-2</t>
  </si>
  <si>
    <t>FlexRay</t>
  </si>
  <si>
    <t>IGITMONCD071642</t>
  </si>
  <si>
    <t>Monc71642!</t>
  </si>
  <si>
    <t>All EE sw + EPM</t>
  </si>
  <si>
    <t>SR3549682</t>
  </si>
  <si>
    <t>IGITMONCD071644</t>
  </si>
  <si>
    <t>Monc71644!</t>
  </si>
  <si>
    <t>SR3544908</t>
  </si>
  <si>
    <t>Rapelli, Gianluca (IG/ER-N) - ITDGTOL00069418</t>
  </si>
  <si>
    <t>IGITMONCL076866</t>
  </si>
  <si>
    <t>Atletico866</t>
  </si>
  <si>
    <t>28/02 h 08:30</t>
  </si>
  <si>
    <t>SR3548681</t>
  </si>
  <si>
    <t>Gonella, Lorenzo (IG/EG-I) - ITDGTOL00071544</t>
  </si>
  <si>
    <t>IGITMONCL076364</t>
  </si>
  <si>
    <t>03/03/2025  Ore 10</t>
  </si>
  <si>
    <t>Idex - CP-Tool - Citrix - Canoe</t>
  </si>
  <si>
    <t>SR3471498</t>
  </si>
  <si>
    <t>Giorgi, Luca (IG/EE-1) - ITDGTOL00069191</t>
  </si>
  <si>
    <t>IGITMONCL076796</t>
  </si>
  <si>
    <t>Chefe796</t>
  </si>
  <si>
    <t>Catia V5, Connect, Avon, Tevon, 3D_Evolution 4.2 SP0 188.1</t>
  </si>
  <si>
    <t>SR3550271</t>
  </si>
  <si>
    <t>Della Beffa, Francesco (IG/EI-1) - ITDGTOL00069628</t>
  </si>
  <si>
    <t>IGITMONCL076867</t>
  </si>
  <si>
    <t>Fedor867</t>
  </si>
  <si>
    <t>05/03 h 08:30</t>
  </si>
  <si>
    <t>Connect , PFV4 (Phototron Fastcam Viewer 4), Avon, Citrix, VViewer, Kisters, Visverdi e ho un Account Aston Martin con Horizon che vorrei non perdere</t>
  </si>
  <si>
    <t>SR3555965</t>
  </si>
  <si>
    <t>Campagnola, Mattia (IG/EE-3)</t>
  </si>
  <si>
    <t>IGITMONCL072274</t>
  </si>
  <si>
    <t>Visual studio code, Visual studio 2022, Intellij IDEA ultimate con JDK 17, docker desktop, nodejs, EPM</t>
  </si>
  <si>
    <t>SR3502971</t>
  </si>
  <si>
    <t>Marino, Giovanni (IG/ER-S) - ITDGTOL00069749</t>
  </si>
  <si>
    <t>IGITMONCL076817</t>
  </si>
  <si>
    <t>Massaranduba817</t>
  </si>
  <si>
    <t>05/03/25 ore 13:45</t>
  </si>
  <si>
    <t>IcemSurf - Alias - Catia - Point to fix - Mirror OP, Rhino 7 (Grasshoper) - Vred - Connect</t>
  </si>
  <si>
    <t>SR3552808</t>
  </si>
  <si>
    <t xml:space="preserve">Savoca, Adriano (IG/S-3) </t>
  </si>
  <si>
    <t>IGITMONCL077540</t>
  </si>
  <si>
    <t>Tio540</t>
  </si>
  <si>
    <t>SR3552775</t>
  </si>
  <si>
    <t>Tarricone, Tommaso (IG/SH) - ITDGTOL00070440 - Richiesto da Tony</t>
  </si>
  <si>
    <t>IGITMONCL077537</t>
  </si>
  <si>
    <t>Tio537</t>
  </si>
  <si>
    <t>07/03 - Ore 08:30</t>
  </si>
  <si>
    <t>SR3554882</t>
  </si>
  <si>
    <t>Di Tullo, Cinzia (IG/B-1) - ITDGTOL00069172</t>
  </si>
  <si>
    <t>IGITMONCL077545</t>
  </si>
  <si>
    <t>Acucena545</t>
  </si>
  <si>
    <t>11/03/2025 Ore 09:00</t>
  </si>
  <si>
    <t>SR3561763</t>
  </si>
  <si>
    <t>Caivano, Anna (IG/ES) - ITDGTOL00069165</t>
  </si>
  <si>
    <t>IGITMONCL077547</t>
  </si>
  <si>
    <t>Bugre547</t>
  </si>
  <si>
    <t>11/03 h 09:30</t>
  </si>
  <si>
    <t>SR3555968</t>
  </si>
  <si>
    <t>IGITMONCL071759</t>
  </si>
  <si>
    <t>SR3552795</t>
  </si>
  <si>
    <t>Scardaci, Andrea Cosimo (IDD/EE-2) - ITDGTOL00069281 - Problema batteria</t>
  </si>
  <si>
    <t>Tio539</t>
  </si>
  <si>
    <t>12/03/25 Ore 08:30</t>
  </si>
  <si>
    <t>SR3561774</t>
  </si>
  <si>
    <t>Alberti, Massimo (IG/F-1) - ITDGTOL00068919</t>
  </si>
  <si>
    <t>IGITMONCL077548</t>
  </si>
  <si>
    <t>Bugre548</t>
  </si>
  <si>
    <t>12/03 h 09:00</t>
  </si>
  <si>
    <t>SR3561873</t>
  </si>
  <si>
    <t>Gamba, Riccardo (IG/B-2) - ITDGTOL00071212 pc non si accende</t>
  </si>
  <si>
    <t>IGITMONCL077557</t>
  </si>
  <si>
    <t>Bugre557</t>
  </si>
  <si>
    <t>SR3564766</t>
  </si>
  <si>
    <t>Reinstallazione Cananzi</t>
  </si>
  <si>
    <t>Buonpomeriggio2020</t>
  </si>
  <si>
    <t>SR3561791</t>
  </si>
  <si>
    <t>Dominietto, Sara (IG/G) - ITDGTOL00069175</t>
  </si>
  <si>
    <t>IGITMONCL077550</t>
  </si>
  <si>
    <t>Bugre550</t>
  </si>
  <si>
    <t>13/03 h 08:30</t>
  </si>
  <si>
    <t>Adobe Writer - NO DOCKING</t>
  </si>
  <si>
    <t>SR3561861</t>
  </si>
  <si>
    <t>Panacciulli, MARCO (IG/B, extern) - ITDGTOL00069151</t>
  </si>
  <si>
    <t>IGITMONCL077556</t>
  </si>
  <si>
    <t>Bugre556</t>
  </si>
  <si>
    <t>13/03 h 09:00</t>
  </si>
  <si>
    <t>SR3561815</t>
  </si>
  <si>
    <t>Lunetti, Maria Elisa (IG/S) - ITDGTOL00069170</t>
  </si>
  <si>
    <t>IGITMONCL077552</t>
  </si>
  <si>
    <t>Bugre552</t>
  </si>
  <si>
    <t>13/03 h 14:00</t>
  </si>
  <si>
    <t>Adobe Writer</t>
  </si>
  <si>
    <t>SR3561839</t>
  </si>
  <si>
    <t>Porta, Andrea Francesco (IG/V) - ITDGTOL00069140</t>
  </si>
  <si>
    <t>IGITMONCL077554</t>
  </si>
  <si>
    <t>Bugre554</t>
  </si>
  <si>
    <t>14/03 h 09:00</t>
  </si>
  <si>
    <t>NO DOCKING</t>
  </si>
  <si>
    <t>SR3552814</t>
  </si>
  <si>
    <t>Ferrara, Michele (IG/EE-4) - ITDGTOL00071524 - Cornice rotta</t>
  </si>
  <si>
    <t>IGITMONCL077541</t>
  </si>
  <si>
    <t>Tio541</t>
  </si>
  <si>
    <t>14/03/25 Ore 09:00</t>
  </si>
  <si>
    <t>Odis - idex - Python - Canoe - Beyond Trust</t>
  </si>
  <si>
    <t>SR3561850</t>
  </si>
  <si>
    <t>Modica, Marina (IG/B) - ITDGTOL00069176</t>
  </si>
  <si>
    <t>IGITMONCL077555</t>
  </si>
  <si>
    <t>Bugre555</t>
  </si>
  <si>
    <t>14/03 h 14:30</t>
  </si>
  <si>
    <t>ThiknCell</t>
  </si>
  <si>
    <t>SR3552820</t>
  </si>
  <si>
    <t>Donetti, Dino (IG/ER-3, extern) - ITDGTOL00060173</t>
  </si>
  <si>
    <t>IGITMONCL077542</t>
  </si>
  <si>
    <t>Tio542</t>
  </si>
  <si>
    <t>17/03 h 10:45</t>
  </si>
  <si>
    <t>lavoro su un progetto ASTON MARTIN, quindi ho bisogno della connessione VDI con il Cliente (VMware Horizon Client?)-Kisters</t>
  </si>
  <si>
    <t>SR3554873</t>
  </si>
  <si>
    <t>Bay, Franco (IG/V-P) - ITDGTOL00069083</t>
  </si>
  <si>
    <t>IGITMONCL077544</t>
  </si>
  <si>
    <t>Acucena544</t>
  </si>
  <si>
    <t>SR3554888</t>
  </si>
  <si>
    <t>Andruetto, Fausto (IG/EG-8) - ITDGTOL00068431</t>
  </si>
  <si>
    <t>IGITMONCL077546</t>
  </si>
  <si>
    <t>Acucena546</t>
  </si>
  <si>
    <t>17/03 h 10:30</t>
  </si>
  <si>
    <t>TiSyncro e JT2Go</t>
  </si>
  <si>
    <t>SR3563980</t>
  </si>
  <si>
    <t>Bianco Paolo IG/EE-2</t>
  </si>
  <si>
    <t>IGITMONCD071643</t>
  </si>
  <si>
    <t>Tarek71643!</t>
  </si>
  <si>
    <t>SR3561785</t>
  </si>
  <si>
    <t>Beltramo, Federica (IG/G) - ITDGTOL00069163</t>
  </si>
  <si>
    <t>Bugre549</t>
  </si>
  <si>
    <t>19/03 h 08:30</t>
  </si>
  <si>
    <t>SR3563034</t>
  </si>
  <si>
    <t>Ceaglio, Marco (IG/GT-E) - ITDGTOL00070528</t>
  </si>
  <si>
    <t>IGITMONCL077558</t>
  </si>
  <si>
    <t>Ipabinha558</t>
  </si>
  <si>
    <t>19/03/25 - ore 09:00</t>
  </si>
  <si>
    <t>SR3565212</t>
  </si>
  <si>
    <t>Pugliese, Pierluigi (IG/EE-4) - ITDGTOL00073455 - AUTORIZZATO DA SARACCO</t>
  </si>
  <si>
    <t>IGITMONCL072922</t>
  </si>
  <si>
    <t>19/03 h 09:00</t>
  </si>
  <si>
    <t>Idex, ODIS, CP Tool, Kicad, Autodesk Inventor, System42, LabView, testStand, Canoe 18</t>
  </si>
  <si>
    <t>SR3512165</t>
  </si>
  <si>
    <t>Longo, Giorgio (IDD/EE-6) - ITDGTOL00069737 - SPEDIRE GAIMERSHEIM</t>
  </si>
  <si>
    <t>Matthias</t>
  </si>
  <si>
    <t>ITDGTOL00076357</t>
  </si>
  <si>
    <t>Invencivel357</t>
  </si>
  <si>
    <t>SR3563046</t>
  </si>
  <si>
    <t>Carminati, Luca (IG/Q-1) - ITDGTOL00070626</t>
  </si>
  <si>
    <t>IGITMONCL077560</t>
  </si>
  <si>
    <t>Ipabinha560</t>
  </si>
  <si>
    <t>20/03/2025 h 08:30</t>
  </si>
  <si>
    <t>SR3561803</t>
  </si>
  <si>
    <t>Casetta, Alberto (IG/Q-2) - ITDGTOL00069286</t>
  </si>
  <si>
    <t>IGITMONCL077551</t>
  </si>
  <si>
    <t>Bugre551</t>
  </si>
  <si>
    <t>21/03/2025 h 09:30</t>
  </si>
  <si>
    <t>KISTERS, CISCO WEBEX MEETING, MIRROR OP</t>
  </si>
  <si>
    <t>SR3569262</t>
  </si>
  <si>
    <t>Policaro, Domenico (IG/P-10) - ITDGTOL00069210 - Problema Batteria</t>
  </si>
  <si>
    <t>HP Z16 G9</t>
  </si>
  <si>
    <t>IGITMONCL073340</t>
  </si>
  <si>
    <t>26/03/25 Ore 09:00</t>
  </si>
  <si>
    <t>CATIA - Novo Viewer - JT2Go - Kister - Avx - Connect - CheckIT - Power Bi - Think-cell</t>
  </si>
  <si>
    <t>SR3563073</t>
  </si>
  <si>
    <t>Scardaci, Andrea Cosimo (IDD/EE-2) - IGITMONCL077539</t>
  </si>
  <si>
    <t>IGITMONCL077564</t>
  </si>
  <si>
    <t>Ipabinha564</t>
  </si>
  <si>
    <t>SR3518193</t>
  </si>
  <si>
    <t>Trovato, Sebastiano (IG/ER-2E) - ITDGTOL00068810</t>
  </si>
  <si>
    <t>IGITMONCL076827</t>
  </si>
  <si>
    <t>Procon827</t>
  </si>
  <si>
    <t>27/03 h 13:30</t>
  </si>
  <si>
    <t>Catia V5, Connect, Visual m, jt2go, avon, tevon, vmp</t>
  </si>
  <si>
    <t>SR3550281</t>
  </si>
  <si>
    <t>Oberti, Simone (IG/ER-4) - ITDGTOL00070774</t>
  </si>
  <si>
    <t>IGITMONCL076868</t>
  </si>
  <si>
    <t>Fedor868</t>
  </si>
  <si>
    <t>28/03/25 - 09:00</t>
  </si>
  <si>
    <t>Avon - Kisters-SAP_PT3-AVVX</t>
  </si>
  <si>
    <t>SR3552789</t>
  </si>
  <si>
    <t>Toesca Di Castellazzo, Giulio (IG/Q-2) - ITDGTOL00069836</t>
  </si>
  <si>
    <t>IGITMONCL077538</t>
  </si>
  <si>
    <t>Tio538</t>
  </si>
  <si>
    <t>28/03/ - 13:45</t>
  </si>
  <si>
    <t>Kisters - Think Cell</t>
  </si>
  <si>
    <t>SR3563067</t>
  </si>
  <si>
    <t>Ghio, Gian Nico (IG/ER-7) - ITDGTOL00069841</t>
  </si>
  <si>
    <t>IGITMONCL077563</t>
  </si>
  <si>
    <t>Ipabinha563</t>
  </si>
  <si>
    <t>31/03/25 - 11:30</t>
  </si>
  <si>
    <t>SR3563082</t>
  </si>
  <si>
    <t>3345 – DUCATTO Sara – cdc 661 Human resources – IG/S-1 – Empl. Numb. 99345</t>
  </si>
  <si>
    <t>IGITMONCL077565</t>
  </si>
  <si>
    <t>Ipabinha565</t>
  </si>
  <si>
    <t>SR3565222</t>
  </si>
  <si>
    <t>Romano, Carmelo (IG/EE-1) - ITDGTOL00070948</t>
  </si>
  <si>
    <t>HP Zbook 17.3 G8</t>
  </si>
  <si>
    <t>IGITMONCL072940</t>
  </si>
  <si>
    <t>Italdesign72940@!</t>
  </si>
  <si>
    <t>31/03/25 Ore 15:00</t>
  </si>
  <si>
    <t>JetBrain Toolbox - PyCharm - Android Studio - Postman - WinMerge - mRemoteNG - Notepad++ - Git bash - TeamWire - Intel Haxm plugin (da Android Studio) - OBS Studio - Python - GitSCM - GIMP - DRAW.IO - Driver GPU NVIDIA CUDA (TUTTI) (se la scheda è NVIDIA)</t>
  </si>
  <si>
    <t>SR3550492</t>
  </si>
  <si>
    <t>Polimeni, Francesco (IG/ER-4) - ITDGTOL00069739</t>
  </si>
  <si>
    <t>IGITMONCL073343</t>
  </si>
  <si>
    <t>03/04/2025 h 08:30</t>
  </si>
  <si>
    <t>Catia V5, Connect, VViewer, KINOVEA, Kisters 3DViewStation</t>
  </si>
  <si>
    <t>SR3580028</t>
  </si>
  <si>
    <t>Casetta, Alberto (IG/Q-2) - Muletto per corso</t>
  </si>
  <si>
    <t>HP Z15 G8</t>
  </si>
  <si>
    <t>IGITMONCL072473</t>
  </si>
  <si>
    <t>SR3571488</t>
  </si>
  <si>
    <t>Marenghi, Denis (IG/P-83) - ITDGTOL00069471</t>
  </si>
  <si>
    <t>IGITMONCL071372</t>
  </si>
  <si>
    <t>Catia - Connect - Autoforming con un nuovo modulo per HotForming</t>
  </si>
  <si>
    <t>SR3563736</t>
  </si>
  <si>
    <t>Paone, Francesca (IDD/G) - ITDGTOL00072460 - SPEDIRE Ingolstad</t>
  </si>
  <si>
    <t>IGITMONCL077567</t>
  </si>
  <si>
    <t>Valadares567</t>
  </si>
  <si>
    <t>SR3563058</t>
  </si>
  <si>
    <t>Bettini, Clotilde (IG/F) - ITDGTOL00069830</t>
  </si>
  <si>
    <t>IGITMONCL077562</t>
  </si>
  <si>
    <t>Ipabinha562</t>
  </si>
  <si>
    <t>04/04/25 ore 13:45</t>
  </si>
  <si>
    <t>SR3580261</t>
  </si>
  <si>
    <t>Ejibenam, Chukwuebuka Patrick (IG/EE-1) - Reisntallazione</t>
  </si>
  <si>
    <t>IGITMONCL073342</t>
  </si>
  <si>
    <t>Catia-Connect-Canoe-EPM-ThinkCell-Idex-Notepad++</t>
  </si>
  <si>
    <t>SR3580300</t>
  </si>
  <si>
    <t>IGITMONCD098512</t>
  </si>
  <si>
    <t>Tosse512</t>
  </si>
  <si>
    <t>Vector vTeststudio 8 - CANoe 17 SP5 + Add-on VAG Tool and BAP Support - Beyond Trust</t>
  </si>
  <si>
    <t>SR3582315</t>
  </si>
  <si>
    <t>Beltramo, Federica (IG/G) - Reinstallazione</t>
  </si>
  <si>
    <t>SR3563742</t>
  </si>
  <si>
    <t>Procopio, Alberto (IG/F-1) - ITDGTOL00071213</t>
  </si>
  <si>
    <t>IGITMONCL077568</t>
  </si>
  <si>
    <t>Valadares568</t>
  </si>
  <si>
    <t>Adobe Writer - Go Sign</t>
  </si>
  <si>
    <t>SR3554867</t>
  </si>
  <si>
    <t>Lepori, Eleonora (IG/S-2, extern) - ITDGTOL00068445</t>
  </si>
  <si>
    <t>Acucena543</t>
  </si>
  <si>
    <t>07/04/25 ore 10:30</t>
  </si>
  <si>
    <t>Ok**</t>
  </si>
  <si>
    <t>SR3579303</t>
  </si>
  <si>
    <t>EngageFlex Mini</t>
  </si>
  <si>
    <t>IGITMONCD071647</t>
  </si>
  <si>
    <t>Astrid71647!</t>
  </si>
  <si>
    <t>All IG/EE-2</t>
  </si>
  <si>
    <t>SR3489084</t>
  </si>
  <si>
    <t>Sede di Nichelino --&gt; Referente: Cantaro, Oscar (IG/P-82) - PC Taglio WorckNC - rif Saracco</t>
  </si>
  <si>
    <t>ITDGTOL00076804</t>
  </si>
  <si>
    <t>Invencivel804</t>
  </si>
  <si>
    <t>SR3493226</t>
  </si>
  <si>
    <t>ITDGTOL00076810</t>
  </si>
  <si>
    <t>Tigre810</t>
  </si>
  <si>
    <t>SR3493232</t>
  </si>
  <si>
    <t>ITDGTOL00076811</t>
  </si>
  <si>
    <t>Tigre811</t>
  </si>
  <si>
    <t>SR3561827</t>
  </si>
  <si>
    <t>Heinrichs, Arne (IG/F) - ITDGTOL00071015</t>
  </si>
  <si>
    <t>Bugre553</t>
  </si>
  <si>
    <t>09/04/25 ore 09:00</t>
  </si>
  <si>
    <t>SR3563727</t>
  </si>
  <si>
    <t>Valsania, Marco (IG/GT-E) - ITDGTOL00071361</t>
  </si>
  <si>
    <t>IGITMONCL077566</t>
  </si>
  <si>
    <t>Valadares566</t>
  </si>
  <si>
    <t>09/04/25 ore 14:30</t>
  </si>
  <si>
    <t>Photoshop, Acrobat DC (non solo reader), Jabra direct, Kisters, Zoom</t>
  </si>
  <si>
    <t>SR3550498</t>
  </si>
  <si>
    <t>De Bortoli, Oscar (IG/EI-1) - ITDGTOL00069740</t>
  </si>
  <si>
    <t>IGITMONCL076115</t>
  </si>
  <si>
    <t>10/04 h 08:30</t>
  </si>
  <si>
    <t>SR3563754</t>
  </si>
  <si>
    <t>Ciocca, Stefano (IG/EG-Q) - IGITMONCL076861</t>
  </si>
  <si>
    <t>IGITMONCL077570</t>
  </si>
  <si>
    <t>Valadares570</t>
  </si>
  <si>
    <t>ShareFile, AVx/EVx, MDM Dala, AVON - Vsignalyzer22</t>
  </si>
  <si>
    <t>SR3563760</t>
  </si>
  <si>
    <t>Ferrero, Monica (IG/GT-D) - ITDGTOL00073347</t>
  </si>
  <si>
    <t>IGITMONCL077571</t>
  </si>
  <si>
    <t>Valadares571</t>
  </si>
  <si>
    <t>Acrobate Writer (non solo Reader), think-cell, Kisters 3D Viewer, Connect</t>
  </si>
  <si>
    <t>SR3563748</t>
  </si>
  <si>
    <t>3347 – BREVEGLIERI Francesco (rinomina) – cdc 242 ADAS Development – IG/EE-5 – Empl. Numb. 99347</t>
  </si>
  <si>
    <t>IGITMONCL077569</t>
  </si>
  <si>
    <t>Valadares569</t>
  </si>
  <si>
    <t>Canape 16-19-Canalyzer 16 sp6- Canoe11-Canoe15 sp4-VXconfig4,7-idex-cptool-citrixworkspace-odis.audiworkbench4.0-kisters-epm-thinkcell</t>
  </si>
  <si>
    <t>SR3588611</t>
  </si>
  <si>
    <t>Raballo, Andrea (IG/S-31) - IGITMONCL076865</t>
  </si>
  <si>
    <t>Disco574</t>
  </si>
  <si>
    <t>SR3585506</t>
  </si>
  <si>
    <t>Casetta, Alberto (IG/Q-2) (Richiesto da Saracco)</t>
  </si>
  <si>
    <t>ROG NUC</t>
  </si>
  <si>
    <t>SR3585512</t>
  </si>
  <si>
    <t>Abate, Valentina (IG/B-2) (Richiesto da Saracco)</t>
  </si>
  <si>
    <t>SR3586553</t>
  </si>
  <si>
    <t>IGITMONCD098513</t>
  </si>
  <si>
    <t>Canoe 16 SP4 - Idex - Beyond Trust  (Acceso remoto da Diego Zanella e Giuseppe de Crescenzo) - AXIGDYD - WX8DVZM</t>
  </si>
  <si>
    <t>SR3586577</t>
  </si>
  <si>
    <t>IGITMONCD098514</t>
  </si>
  <si>
    <t>SR3586595</t>
  </si>
  <si>
    <t>IGITMONCD098515</t>
  </si>
  <si>
    <t>SR3586613</t>
  </si>
  <si>
    <t>IGITMONCD098516</t>
  </si>
  <si>
    <t>SR3591034</t>
  </si>
  <si>
    <t>Pizzutto, Gualtiero (IG/GT-D) - FUORI DOMINIO</t>
  </si>
  <si>
    <t>Jack/Balbi</t>
  </si>
  <si>
    <t>IGITMONCL076838</t>
  </si>
  <si>
    <t>Doideira838</t>
  </si>
  <si>
    <t>Alias Surface - Photoshop</t>
  </si>
  <si>
    <t>SR3550504</t>
  </si>
  <si>
    <t>1. JAKAB Norbert – cdc 242, ADAS Development – IDD/EE-5 employee number 99354</t>
  </si>
  <si>
    <t>IGITMONCL076832</t>
  </si>
  <si>
    <t>Amigo832</t>
  </si>
  <si>
    <t>ADTF 2.14.2 + toolbox -ADTF 3-Canaluzer 16-CpTool-Idex-CitrixWorkspace-Odis-VectorDriver-Notepad++-EPM-ThinkCell-Matlab R2023b (vedi mail per i tool)-Canoe17-Canape21-Python3.10-VisualStudioCode-ArduinoIDE</t>
  </si>
  <si>
    <t>SR3593299</t>
  </si>
  <si>
    <t>Heinrichs, Arne (IG/F) - IGITMONCL077553</t>
  </si>
  <si>
    <t>IGITMONCL077393</t>
  </si>
  <si>
    <t>Poderoso393</t>
  </si>
  <si>
    <t>SR3595063</t>
  </si>
  <si>
    <t>Beltramo, Federica (IG/G) - IGITMONCL077549</t>
  </si>
  <si>
    <t>Procedimento546</t>
  </si>
  <si>
    <t>SR3595051</t>
  </si>
  <si>
    <t>Di Tullo, Cinzia (IG/B-1) - IGITMONCL077545</t>
  </si>
  <si>
    <t>Procedimento545</t>
  </si>
  <si>
    <t>05/05/25 - 14:30</t>
  </si>
  <si>
    <t>SR3596892</t>
  </si>
  <si>
    <t>Monni, Roberto (IDD/G) - ITDGTOL00071219</t>
  </si>
  <si>
    <t>IGITMONCL077398</t>
  </si>
  <si>
    <t>Ventilador398</t>
  </si>
  <si>
    <t>SR3550540</t>
  </si>
  <si>
    <t>Pace, Marco (IG/ER-2D) - ITDGTOL00069814</t>
  </si>
  <si>
    <t>IGITMONCL076836</t>
  </si>
  <si>
    <t>Amigo836</t>
  </si>
  <si>
    <t>Catia - Connect - NX - Icem - Kister - Wondershare - Gimp - JT2GO - Vmware HORIZON</t>
  </si>
  <si>
    <t>SR3593236</t>
  </si>
  <si>
    <t>Moretti, Luca (IG/ER-N) - ITDGTOL00065941</t>
  </si>
  <si>
    <t>IGITMONCL077324</t>
  </si>
  <si>
    <t>Deus324</t>
  </si>
  <si>
    <t>6 maggio h 08:30</t>
  </si>
  <si>
    <t>Catia 5, Connect, RG Lin Advanced (Citrix Workspace)</t>
  </si>
  <si>
    <t>SR3550534</t>
  </si>
  <si>
    <t>Mariotto, Ernesto (IG/EG-7)</t>
  </si>
  <si>
    <t>IGITMONCL076835</t>
  </si>
  <si>
    <t>Amigo835</t>
  </si>
  <si>
    <t>SR3593198</t>
  </si>
  <si>
    <t>BENETOLLO, LEOPOLDO (IG/EI-34) - ITDGTOL00069742 (problemi con lettore pki)</t>
  </si>
  <si>
    <t>Zbook Z16 ITA 34GB</t>
  </si>
  <si>
    <t>IGITMONCL077318</t>
  </si>
  <si>
    <t>Deus318</t>
  </si>
  <si>
    <t>07 mag h 08:30</t>
  </si>
  <si>
    <t>Catia-Connect-AudiWorkBench-Kisters-Jt2GO</t>
  </si>
  <si>
    <t>SR3593283</t>
  </si>
  <si>
    <t>Salvi, Alessandro (IG/EG-C) - ITDGTOL00069456</t>
  </si>
  <si>
    <t>IGITMONCL077326</t>
  </si>
  <si>
    <t>Deus326</t>
  </si>
  <si>
    <t>7 mag h 09:00</t>
  </si>
  <si>
    <t>Catia-Photoshop</t>
  </si>
  <si>
    <t>SR3593268</t>
  </si>
  <si>
    <t>Di Frenza, Luigi (IG/Q-1) - ITDGTOL00065945</t>
  </si>
  <si>
    <t>IGITMONCL077325</t>
  </si>
  <si>
    <t>Deus325</t>
  </si>
  <si>
    <t>7 maggio h 14:00</t>
  </si>
  <si>
    <t>Photoshop - Connect</t>
  </si>
  <si>
    <t>SR3594113</t>
  </si>
  <si>
    <t>Belletti, Andrea (IG/EG-C) - ITDGTOL00069313 - problemi di spazio disco</t>
  </si>
  <si>
    <t>IGITMONCL077328</t>
  </si>
  <si>
    <t>Deus328</t>
  </si>
  <si>
    <t>8 maggio h 08:30</t>
  </si>
  <si>
    <t>Connect e Catia V5</t>
  </si>
  <si>
    <t>SR3596868</t>
  </si>
  <si>
    <t>3355 – CICCO Emanuele – cdc 101 Design Research – IG/D-1 – Empl. Numb. 99355</t>
  </si>
  <si>
    <t>Rhino-Blender-Keyshot2023-Photoshop-Illustrator-Vred-Fusion360</t>
  </si>
  <si>
    <t>SR3593216</t>
  </si>
  <si>
    <t>Mazzone, Giovanni (IG/ER-7) - ITDGTOL00070984</t>
  </si>
  <si>
    <t>IGITMONCL077321</t>
  </si>
  <si>
    <t>Deus321</t>
  </si>
  <si>
    <t>8 maggio h 14:00</t>
  </si>
  <si>
    <t>Catia, Connect, JT2Go, AVON, Citrix Workspace, LDorado Design Viewer 1.7</t>
  </si>
  <si>
    <t>SR3593292</t>
  </si>
  <si>
    <t>Piccioni Simone IG/ER-3 ITDGTOL00068795</t>
  </si>
  <si>
    <t>IGITMONCL077327</t>
  </si>
  <si>
    <t>Deus327</t>
  </si>
  <si>
    <t>CAD e Connect/Team center e VDI cliente</t>
  </si>
  <si>
    <t>SR3599245</t>
  </si>
  <si>
    <t>Negro, Elena (IG/E) - ITDGTOL00072251 (richiesto da Denis)</t>
  </si>
  <si>
    <t>IGITMONCL077399</t>
  </si>
  <si>
    <t>Gripe399</t>
  </si>
  <si>
    <t>09/05/25 - 08:30</t>
  </si>
  <si>
    <t>OBS Studio - Adobe WR</t>
  </si>
  <si>
    <t>SR3593192</t>
  </si>
  <si>
    <t>Favole, Riccardo (IG/EI-1) - ITDGTOL00069472 - Connessioni lato dx non funzionanti</t>
  </si>
  <si>
    <t>IGITMONCL077317</t>
  </si>
  <si>
    <t>Deus317</t>
  </si>
  <si>
    <t>12 maggio h 10:30</t>
  </si>
  <si>
    <t xml:space="preserve">Catia 5 e Connect, Cavit e Falcon </t>
  </si>
  <si>
    <t>SR3600369</t>
  </si>
  <si>
    <t>Trombin, Alessandro (IG/D-3) - ITDGTOL00070979</t>
  </si>
  <si>
    <t>IGITMONCL077331</t>
  </si>
  <si>
    <t>Gripe331</t>
  </si>
  <si>
    <t>12/05/25 - 14:45</t>
  </si>
  <si>
    <t>Blender 4.2 - Alias - Photoshop - Keyshot</t>
  </si>
  <si>
    <t>SR3601973</t>
  </si>
  <si>
    <t>Gasparoni, Leandro (IG/SD)</t>
  </si>
  <si>
    <t>---</t>
  </si>
  <si>
    <t>SR3599233</t>
  </si>
  <si>
    <t>Luera, Marco (IG/ER-N) - ITDGTOL00068223</t>
  </si>
  <si>
    <t>IGITMONCL077329</t>
  </si>
  <si>
    <t>Gripe329</t>
  </si>
  <si>
    <t>14/5/25 - 10:00</t>
  </si>
  <si>
    <t>Connect - Kisters - Animator 4 2.6.2 - Turbo VNC - WinSCP - Altair Hyper Works 2021, 2023</t>
  </si>
  <si>
    <t>SR3599257</t>
  </si>
  <si>
    <t>Portelli, Riccardo (IG/D-61) - ITDGTOL00069747</t>
  </si>
  <si>
    <t>ZBook Fury 17.3 inch G8</t>
  </si>
  <si>
    <t>IGITMONCL072938</t>
  </si>
  <si>
    <t>Italdesign72938@!</t>
  </si>
  <si>
    <t>08/04/2025 h 10:30</t>
  </si>
  <si>
    <t>Alias Surface, Autodesk Vred, Adobe Illustrator, Adobe Photoshop, Adobe Substance, Adobe Firefly (contattare Antonio Saracco per capire lo status dell’utilizzo di questo software), Logitech Options , Wacom Driver, Blender, Keyshot, Premiere</t>
  </si>
  <si>
    <t>SR3601955</t>
  </si>
  <si>
    <t>Muriella, Christian (IG/EG-Q) - ITDGTOL00073654</t>
  </si>
  <si>
    <t>IGITMONCL077401</t>
  </si>
  <si>
    <t>Sangueolhos401</t>
  </si>
  <si>
    <t>14/05/25 - 14:00</t>
  </si>
  <si>
    <t>Alpos - Elsa - KVS - VDS - AVX</t>
  </si>
  <si>
    <t>SR3601961</t>
  </si>
  <si>
    <t>Panacciulli, MARCO (IG/B, extern) - IGITMONCL077556</t>
  </si>
  <si>
    <t>IGITMONCL077402</t>
  </si>
  <si>
    <t>Sangueolhos402</t>
  </si>
  <si>
    <t>SR3599239</t>
  </si>
  <si>
    <t>Cicuttin, Massimiliano (IG/EG-Q) - ITDGTOL00068247</t>
  </si>
  <si>
    <t>IGITMONCL077330</t>
  </si>
  <si>
    <t>Gripe330</t>
  </si>
  <si>
    <t>15/05/25 - 11:30</t>
  </si>
  <si>
    <t xml:space="preserve">Audi workbench - PDF24 - </t>
  </si>
  <si>
    <t>SR3606154</t>
  </si>
  <si>
    <t>Galliano, Silvio (IG/ER-2D) - ITDGTOL00068806</t>
  </si>
  <si>
    <t>IGITMONCL077333</t>
  </si>
  <si>
    <t>Alex333</t>
  </si>
  <si>
    <t>19 mag - 14:45</t>
  </si>
  <si>
    <t>SR3600378</t>
  </si>
  <si>
    <t>Ghione, Cesare (IG/D-62) - ITDGTOL00068356</t>
  </si>
  <si>
    <t>IGITMONCL077332</t>
  </si>
  <si>
    <t>Gripe332</t>
  </si>
  <si>
    <t>20 mag - 09:00</t>
  </si>
  <si>
    <t>Alias Surface, Keyshot e Photoshop</t>
  </si>
  <si>
    <t>SR3601367</t>
  </si>
  <si>
    <t>Graglia, Cesare (IG/Q-1) - IGITMONCL070765</t>
  </si>
  <si>
    <t>IGITMONCL077334</t>
  </si>
  <si>
    <t>Gripe334</t>
  </si>
  <si>
    <t>20 mag - 08:30</t>
  </si>
  <si>
    <t>Acrobat writer, Desktop tools (softwere misura ad ultrasuoni, per info se necessario contattare Ellena/Cassieri), Kisters, Catia</t>
  </si>
  <si>
    <t>SR3606773</t>
  </si>
  <si>
    <t>Trovato, Sebastiano (IG/ER-2E)</t>
  </si>
  <si>
    <t>Catia V5, Connect, Visual m, jt2go, avon, tevon, vmp - Lightroom</t>
  </si>
  <si>
    <t>SR3607497</t>
  </si>
  <si>
    <t>Crivello, Barbara (IG/Q) - ITDGTOL00069414</t>
  </si>
  <si>
    <t>IGITMONCL077404</t>
  </si>
  <si>
    <t>Sccm404</t>
  </si>
  <si>
    <t>ARXivar Next Help - File Open - Acrobat Pro - Visio</t>
  </si>
  <si>
    <t>SR3599251</t>
  </si>
  <si>
    <t>Racioppo, Rosanna (IG/F) - IGITMONCL076862</t>
  </si>
  <si>
    <t>IGITMONCL077400</t>
  </si>
  <si>
    <t>Gripe400</t>
  </si>
  <si>
    <t>SR3593204</t>
  </si>
  <si>
    <t>Bonello, Simonetta (IG/ER-7) - ITDGTOL00069746 (problemi con lettore pki)</t>
  </si>
  <si>
    <t>IGITMONCL077319</t>
  </si>
  <si>
    <t>Deus319</t>
  </si>
  <si>
    <t>27/05 h 08:30</t>
  </si>
  <si>
    <t>Uso costantemente Citrix e Visio che pur essendo dedicati per un programma su PC virtuale in VW comunque chiede la licenza autoctona, JT2GO</t>
  </si>
  <si>
    <t>SR3607491</t>
  </si>
  <si>
    <t>Franco, Emanuela (IG/F) - ITDGTOL00070456 - contattare Racioppo, Rosanna</t>
  </si>
  <si>
    <t>IGITMONCL077403</t>
  </si>
  <si>
    <t>Sccm403</t>
  </si>
  <si>
    <t>Adobe Pro, Go-Sign, Zoom, Skype, Cisco, Google Meet - Photoshop</t>
  </si>
  <si>
    <t>SR3608188</t>
  </si>
  <si>
    <t>Napoli - Costarella Daniele</t>
  </si>
  <si>
    <t>IGITMONCL077406</t>
  </si>
  <si>
    <t>IDGNapoli406</t>
  </si>
  <si>
    <t>SR3608210</t>
  </si>
  <si>
    <t>IGITMONCL077407</t>
  </si>
  <si>
    <t>IDGNapoli407</t>
  </si>
  <si>
    <t>SR3608234</t>
  </si>
  <si>
    <t>IGITMONCL077408</t>
  </si>
  <si>
    <t>IDGNapoli408</t>
  </si>
  <si>
    <t>SR3608240</t>
  </si>
  <si>
    <t>IGITMONCL077409</t>
  </si>
  <si>
    <t>IDGNapoli409</t>
  </si>
  <si>
    <t>SR3608248</t>
  </si>
  <si>
    <t>IGITMONCL077410</t>
  </si>
  <si>
    <t>IDGNapoli410</t>
  </si>
  <si>
    <t>SR3608254</t>
  </si>
  <si>
    <t>IGITMONCL077411</t>
  </si>
  <si>
    <t>IDGNapoli411</t>
  </si>
  <si>
    <t>SR3607503</t>
  </si>
  <si>
    <t xml:space="preserve">   Dalmasso, Maria Teresa (IG/EE-6) - ITDGTOL00068239</t>
  </si>
  <si>
    <t>IGITMONCL077336</t>
  </si>
  <si>
    <t>Sccm336</t>
  </si>
  <si>
    <t>29/05/25 - 09:00</t>
  </si>
  <si>
    <t>Ok *</t>
  </si>
  <si>
    <t>CATIA, CONNECT</t>
  </si>
  <si>
    <t>SR3563052</t>
  </si>
  <si>
    <t>Franco, Emanuela (IG/F) - IGITMONCL077403</t>
  </si>
  <si>
    <t>Ipabinha561</t>
  </si>
  <si>
    <t xml:space="preserve"> Adobe Pro, Go-Sign, Zoom, Skype, Cisco, Google Meet - Photoshop</t>
  </si>
  <si>
    <t>SR3611261</t>
  </si>
  <si>
    <t>Pizzutto, Gualtiero (IG/GT-D)</t>
  </si>
  <si>
    <t>IGITMONCL077338</t>
  </si>
  <si>
    <t>Sccm338</t>
  </si>
  <si>
    <t>Alias Surface</t>
  </si>
  <si>
    <t>SR3611273</t>
  </si>
  <si>
    <t>IGITMONCL077339</t>
  </si>
  <si>
    <t>Sccm339</t>
  </si>
  <si>
    <t>SR3607509</t>
  </si>
  <si>
    <t>Castracane, Vincenzo (IG/ER-2B) - ITDGTOL00069766 - PKI non funzionante</t>
  </si>
  <si>
    <t>IGITMONCL077337</t>
  </si>
  <si>
    <t>Sccm337</t>
  </si>
  <si>
    <t>KVS, Catia V5, Connect, Avon e i vari pacchetti Audi</t>
  </si>
  <si>
    <t>SR3563772</t>
  </si>
  <si>
    <t>3358 – ITALIANO Azzurra – cdc 659 Quality Assurance – IG/Q – Empl. Numb. 99358</t>
  </si>
  <si>
    <t>Valadares573</t>
  </si>
  <si>
    <t>ARXivar Next Helpr - File Open - Acrobat Pro - Visio</t>
  </si>
  <si>
    <t>SR3550510</t>
  </si>
  <si>
    <t>3356 – MUSTO Giovanni (rinomina) – cdc 239 EE Architecture &amp; Integration – IG/EG-I – Empl. Numb. 99356</t>
  </si>
  <si>
    <t>IGITMONCL076833</t>
  </si>
  <si>
    <t>Amigo833</t>
  </si>
  <si>
    <t>SR3601967</t>
  </si>
  <si>
    <t>3357 – ARTUFFO Riccardo (rinomina) – cdc 359 Product Quality – IG/Q-1 – Empl. Numb. 99357</t>
  </si>
  <si>
    <t>IGITMONCL077367</t>
  </si>
  <si>
    <t>Sangueolhos367</t>
  </si>
  <si>
    <t>CATIA V5 , Adobe writer , kister visualizzatore 3D</t>
  </si>
  <si>
    <t>SR3606160</t>
  </si>
  <si>
    <t>Degaetano, Luca (IG/EG-C)</t>
  </si>
  <si>
    <t>Zbook Z16 G10</t>
  </si>
  <si>
    <t>IGITMONCL076121</t>
  </si>
  <si>
    <t>Catia-Connect-Citrix</t>
  </si>
  <si>
    <t>SR3614783</t>
  </si>
  <si>
    <t>Buttignoni, Enrico (IG/P-63) - ITDGTOL00063886</t>
  </si>
  <si>
    <t>IGITMONCL077342</t>
  </si>
  <si>
    <t>Monitor342</t>
  </si>
  <si>
    <t>05/06/25 - 09:00</t>
  </si>
  <si>
    <t>CATIA V5 - CONNECT</t>
  </si>
  <si>
    <t>SR3614071</t>
  </si>
  <si>
    <t>3359 – ANDREETTO Adele – cdc 290 Engineering Project Management – IG/GT-E – Empl. Numb. 99359</t>
  </si>
  <si>
    <t>IGITMONCL076188</t>
  </si>
  <si>
    <t>Phyton</t>
  </si>
  <si>
    <t xml:space="preserve"> SR3614065</t>
  </si>
  <si>
    <t>3360 – SURESH Akash – cdc 101 Design Research – IG/D-3 – Empl. Numb. 99360</t>
  </si>
  <si>
    <t>IGITMONCL072277</t>
  </si>
  <si>
    <t>Surface-Blender-Photoshop</t>
  </si>
  <si>
    <t>SR3617489</t>
  </si>
  <si>
    <t>Cona, Giovanni (IG/P-71) - ITDGTOL00065087 - ITDGTOL00069218</t>
  </si>
  <si>
    <t>IGITMONCL077345</t>
  </si>
  <si>
    <t>Fone345</t>
  </si>
  <si>
    <t>09 giugno h 10:30</t>
  </si>
  <si>
    <t>SR3617513</t>
  </si>
  <si>
    <t>Fuso, Marco (IG/EG-8) - ITDGTOL00065131</t>
  </si>
  <si>
    <t>Fone581</t>
  </si>
  <si>
    <t>09/06 - 15:00</t>
  </si>
  <si>
    <t>SAP - JT2GO</t>
  </si>
  <si>
    <t>SR3608277</t>
  </si>
  <si>
    <t>Pandolfi, Romualdo (IG/EG-I) - ITDGTOL00070685</t>
  </si>
  <si>
    <t>IDGNapoli412</t>
  </si>
  <si>
    <t>11/06 - 08:30</t>
  </si>
  <si>
    <t>CP-Tool - Idex - Te.VBV - PowerBi - Think Cell</t>
  </si>
  <si>
    <t>SR3614857</t>
  </si>
  <si>
    <t>Attisani, Alfredo (IG/P-62) - ITDGTOL00068443</t>
  </si>
  <si>
    <t>Monitor578</t>
  </si>
  <si>
    <t>11/06/2025 - 09:00</t>
  </si>
  <si>
    <t>Idex, NOVOViewer, Kisters, JT2Go, EPM</t>
  </si>
  <si>
    <t>SR3621355</t>
  </si>
  <si>
    <t>Raballo, Andrea (IG/S-31) - IGITMONCL077574</t>
  </si>
  <si>
    <t>LENOVO</t>
  </si>
  <si>
    <t>SR3614835</t>
  </si>
  <si>
    <t xml:space="preserve"> Vitolo, Carmine (IG/EE-4) - ITDGTOL00069644</t>
  </si>
  <si>
    <t>Monitor577</t>
  </si>
  <si>
    <t>13/06/2025 h 08:30</t>
  </si>
  <si>
    <t>Adobe Acrobat Pro,ODIS, Canoe, System42, driver convertitore seriale/usb, driver ADB,iDEX, CP-Tool, WinSCP, python,-	Inserire percorso C:\ADB nelle variabili d’ambiente di sistema, installare beyond trust per poter cambiare l’IP statico del pc</t>
  </si>
  <si>
    <t>SR3617507</t>
  </si>
  <si>
    <t>Lucato, Silvio (IG/P-62) - ITDGTOL00064528</t>
  </si>
  <si>
    <t>Fone580</t>
  </si>
  <si>
    <t>13/06/25 - 09:30</t>
  </si>
  <si>
    <t>SR3621278</t>
  </si>
  <si>
    <t>PECORARO Giuseppe – cdc 242, ADAS Development – IDD/EE-5 employee number 99365 SPEDITO</t>
  </si>
  <si>
    <t>Zoropa583</t>
  </si>
  <si>
    <t>Odis - Canoe - Vector Hardware Configuration - CANalyzer - Wireshark - PyCharm - Putty - EPM</t>
  </si>
  <si>
    <t>SR3617519</t>
  </si>
  <si>
    <t>3361 – FEIZABADI FARAHANI Fereshteh – cdc 627 ICT &amp; Process Digitalization – IG/S-32 – Empl. Numb. 99361</t>
  </si>
  <si>
    <t>Fone582</t>
  </si>
  <si>
    <t>SR3617495</t>
  </si>
  <si>
    <t>Cona, Francesco (IG/P-71) - ITDGTOL00065737</t>
  </si>
  <si>
    <t>IGITMONCL077346</t>
  </si>
  <si>
    <t>Fone346</t>
  </si>
  <si>
    <t>16/06 - 14:30</t>
  </si>
  <si>
    <t>SR3622572</t>
  </si>
  <si>
    <t>Antonini, Alessia (IG/EG-5)</t>
  </si>
  <si>
    <t xml:space="preserve"> EliteBook 840 G7</t>
  </si>
  <si>
    <t>IGITMONCL070716</t>
  </si>
  <si>
    <t>PC FUORI DOMINIO</t>
  </si>
  <si>
    <t>SR3614053</t>
  </si>
  <si>
    <t>Schiaffini, Giorgio (IG/EI-1) - ITDGTOL00068794</t>
  </si>
  <si>
    <t>IGITMONCL077341</t>
  </si>
  <si>
    <t>Ipatinga08524679**$$</t>
  </si>
  <si>
    <t>17/06/25 - 09:30</t>
  </si>
  <si>
    <t>Ansa 24.1 - Animator 4_v2.71 - Connect - Catia - KeePass - Kisters - Notepad++ - Zoom</t>
  </si>
  <si>
    <t>SR3614809</t>
  </si>
  <si>
    <t>Musso, Barbara (IG/V) - ITDGTOL00070451 - Problema PKI</t>
  </si>
  <si>
    <t>Monitor575</t>
  </si>
  <si>
    <t>18/06/25 - 09:00</t>
  </si>
  <si>
    <t>SR3621286</t>
  </si>
  <si>
    <t>Vacchetta, Selena (IG/F-1) - IGITMONCL070620 - Display rotto - Spedire Vadò SPEDITO</t>
  </si>
  <si>
    <t>Teresa</t>
  </si>
  <si>
    <t>Zoropa584</t>
  </si>
  <si>
    <t>SR3614047</t>
  </si>
  <si>
    <t>Bratti, Giuseppe (IG/ER-N) - ITDGTOL00070951 - Non si accende</t>
  </si>
  <si>
    <t>IGITMONCL077340</t>
  </si>
  <si>
    <t>Ipatinga340*!</t>
  </si>
  <si>
    <t>SR3596874</t>
  </si>
  <si>
    <t>Bertolino, Luca (IG/EG-6) - ITDGTOL00069639</t>
  </si>
  <si>
    <t>IGITMONCL077396</t>
  </si>
  <si>
    <t>Ventilador396</t>
  </si>
  <si>
    <t>18/06/25 - 13:30</t>
  </si>
  <si>
    <t>Kisters, Tevon, AVON e Think Cell, VMWare Horizon</t>
  </si>
  <si>
    <t>SR3596886</t>
  </si>
  <si>
    <t>Restaino, Cinzia (IG/GT) - ITDGTOL00070431</t>
  </si>
  <si>
    <t>Ventilador397</t>
  </si>
  <si>
    <t>SR3606163</t>
  </si>
  <si>
    <t>3363 – DE PASQUALI Domenico – cdc 240 User Interface, Infotainment and Connected Cars – IG/EE-1 – Empl. Numb. 99363</t>
  </si>
  <si>
    <t>Zbook Z16 G9</t>
  </si>
  <si>
    <t>IGITMONCL073347</t>
  </si>
  <si>
    <t>Illustrator - Photoshop - AfterEffect - Premiere - Figma</t>
  </si>
  <si>
    <t>SR3608182</t>
  </si>
  <si>
    <t>Mandice, Simone (IG/SH-2) - ITDGTOL00070678 - Microfono non funziona</t>
  </si>
  <si>
    <t>Giovani</t>
  </si>
  <si>
    <t>Sccm405</t>
  </si>
  <si>
    <t>27/06/25 - 09:00</t>
  </si>
  <si>
    <t>SR3621361</t>
  </si>
  <si>
    <t>Borrelli, Massimo (IG/P-62) - IGITMONCL070607 - SPEDIRE VADO</t>
  </si>
  <si>
    <t>30/06/2025 - 09:00</t>
  </si>
  <si>
    <t>Idex, ODIS, DiagRA, CpTool, Capitan Harness, Canoe 15, Power BI, Project</t>
  </si>
  <si>
    <t>SR3626300</t>
  </si>
  <si>
    <t>Maffia, Corrado (IG/P-82) - ITDGTOL00064683 - PC esploso</t>
  </si>
  <si>
    <t>Software589</t>
  </si>
  <si>
    <t>SR3580330</t>
  </si>
  <si>
    <t>Faiella, Davide (IG/EE-2) - IGITMONCL070707 (Tasto "E" rotto) - SPEDIRE NIZZA - SPEDITO</t>
  </si>
  <si>
    <t>08/07 h 08:30 Via Nizza</t>
  </si>
  <si>
    <t>Canoe 15, iDEX, CP Tool, ODIS, Wireshark</t>
  </si>
  <si>
    <t>SR3621367</t>
  </si>
  <si>
    <t>Schiavo, Francesca (IG/GT-D) - ITDGTOL00069404 - Tastiera Rotta</t>
  </si>
  <si>
    <t>02/07/25 - 12:00</t>
  </si>
  <si>
    <t>SR3627586</t>
  </si>
  <si>
    <t>Casini Sara S-31 UXH7DB6</t>
  </si>
  <si>
    <t>Elitebook 840 G8</t>
  </si>
  <si>
    <t>IGITMONCL072779</t>
  </si>
  <si>
    <t>SR3626294</t>
  </si>
  <si>
    <t>Latini, Stefano (IG/EG-6) - ITDGTOL00069605</t>
  </si>
  <si>
    <t>Software588</t>
  </si>
  <si>
    <t>04/07/25 - 09:00</t>
  </si>
  <si>
    <t>SR3626334</t>
  </si>
  <si>
    <t>3366 – BISSI Mattia – cdc 240 User Interface, Infotainment and Connected Car – IG/EE-1 – Empl. Numb. 99366</t>
  </si>
  <si>
    <t>Giovanni</t>
  </si>
  <si>
    <t>IGITMONCL072269</t>
  </si>
  <si>
    <t>Illustrator, Photoshop, After Effects, Figma</t>
  </si>
  <si>
    <t>SR3626340</t>
  </si>
  <si>
    <t>3367 – CASSINELLI Silvia – cdc 240 User Interface, Infotainment and Connected Car – IG/EE-1 – Empl. Numb. 99367</t>
  </si>
  <si>
    <t>IGITMONCL070953</t>
  </si>
  <si>
    <t>SR3626346</t>
  </si>
  <si>
    <t>3368 – SALA Giulia – cdc 240 User Interface, Infotainment and Connected Car – IG/EE-1 – Empl. Numb. 99368</t>
  </si>
  <si>
    <t>Giovanin</t>
  </si>
  <si>
    <t>SR3621301</t>
  </si>
  <si>
    <t>Roncatti, Andrea (IG/S-3, extern) - ITDGTOL00065109</t>
  </si>
  <si>
    <t>Zoropa586</t>
  </si>
  <si>
    <t>7 Luglio (vedi mail)</t>
  </si>
  <si>
    <t>SR3593228</t>
  </si>
  <si>
    <t>Frazzetto, Gian Vito (IG/ER-2E) - IGITMONCL071346 - Non funziona scheda video</t>
  </si>
  <si>
    <t>IGITMONCL077323</t>
  </si>
  <si>
    <t>Deus323</t>
  </si>
  <si>
    <t>CATIA CONNECT Avon, Tevon, Trex</t>
  </si>
  <si>
    <t>SR3626312</t>
  </si>
  <si>
    <t>Serra, Ernesto (IG/P-7) - ITDGTOL00063910 * CONTROLLARE SE SERVE UN CAD</t>
  </si>
  <si>
    <t>IGITMONCL077351</t>
  </si>
  <si>
    <t>Software351</t>
  </si>
  <si>
    <t>07/07/25 - 10:00</t>
  </si>
  <si>
    <t>SR3631798</t>
  </si>
  <si>
    <t>3369 – MORALES MENDOZA Sabrina – cdc 101 Design Research – IG/D-3 – Empl. Numb. 99369</t>
  </si>
  <si>
    <t>IGITMONCL071376</t>
  </si>
  <si>
    <t>PhotoShop-Illustrator-Premiere-Surface-Blender-Keyshot-Vred</t>
  </si>
  <si>
    <t>SR3631828</t>
  </si>
  <si>
    <t>Nadalutti, Rinaldo (IG/P-82) - ITDGTOL00069783 - SPEDIRE NICHELINO</t>
  </si>
  <si>
    <t>??</t>
  </si>
  <si>
    <t>IGITMONCL076834</t>
  </si>
  <si>
    <t>Amigo834</t>
  </si>
  <si>
    <t>SR3626318</t>
  </si>
  <si>
    <t>Cauteruccio, Gianfranco (IG/ER-2D) - ITDGTOL00069207</t>
  </si>
  <si>
    <t>IGITMONCL077352</t>
  </si>
  <si>
    <t>Software352</t>
  </si>
  <si>
    <t>08/07 - 08:30</t>
  </si>
  <si>
    <t>CATIA-CONNECT-VISMOCKUP-ZMB-AVON-TEVON-STATUSe-NOLIS-NVS</t>
  </si>
  <si>
    <t>SR3631837</t>
  </si>
  <si>
    <t>Gasparoni, Leandro (IG/SD) - REINSTALLAZIONE</t>
  </si>
  <si>
    <t>SR3626306</t>
  </si>
  <si>
    <t>Montanari, Andrea (IG/ER-3) - IGITMONCL071715 - Il pc ha preso acqua durante trasferta di lavoro. Vedi mail.</t>
  </si>
  <si>
    <t>Dany</t>
  </si>
  <si>
    <t>Software590</t>
  </si>
  <si>
    <t>SR3634343</t>
  </si>
  <si>
    <t>Cannizzo, Marco Maria (IG/P-S1) - ITDGTOL00068418 - Non compatibile Win11</t>
  </si>
  <si>
    <t>Script591</t>
  </si>
  <si>
    <t>SR3621340</t>
  </si>
  <si>
    <t>Gavioli, Mario (IG/P-7) - ITDGTOL00065763 (ricontattare dal 30/05 in poi)</t>
  </si>
  <si>
    <t>IGITMONCL077350</t>
  </si>
  <si>
    <t>Zoropa350</t>
  </si>
  <si>
    <t>08/07 h 09:00</t>
  </si>
  <si>
    <r>
      <rPr>
        <sz val="11"/>
        <color rgb="FF00B050"/>
        <rFont val="Prompt Light"/>
      </rPr>
      <t>AcrobatWriter</t>
    </r>
    <r>
      <rPr>
        <sz val="11"/>
        <color theme="1"/>
        <rFont val="Prompt Light"/>
      </rPr>
      <t xml:space="preserve"> - Magic 24 e Magic 28 (rif Boaglio) - </t>
    </r>
    <r>
      <rPr>
        <sz val="11"/>
        <color rgb="FF00B050"/>
        <rFont val="Prompt Light"/>
      </rPr>
      <t>Insight</t>
    </r>
    <r>
      <rPr>
        <sz val="11"/>
        <color theme="1"/>
        <rFont val="Prompt Light"/>
      </rPr>
      <t xml:space="preserve"> (Installer copiato in "\\idgdsl\dsl\KillDisk\Balbi\SW_Share_Folder-ADM") + sost tastiera/mouse</t>
    </r>
  </si>
  <si>
    <t>SR3626286</t>
  </si>
  <si>
    <t>Narcisi, Gianluca (IG/P-63) - ITDGTOL00059789 - Non compatibile con W11</t>
  </si>
  <si>
    <t>Software587</t>
  </si>
  <si>
    <t>SR3635886</t>
  </si>
  <si>
    <t>ZAMZAM Alkomait – cdc 260, EE New Branch – IDD/G – number 99371</t>
  </si>
  <si>
    <t xml:space="preserve">HP </t>
  </si>
  <si>
    <t>IGITMONCL073126</t>
  </si>
  <si>
    <t>21/07/2025 - WOLFSBURG</t>
  </si>
  <si>
    <t>SR3635781</t>
  </si>
  <si>
    <t>Ribet, Giorgio (IG/P-83) - IGITMONCL069828</t>
  </si>
  <si>
    <t>IGITMONCL077355</t>
  </si>
  <si>
    <t>CleverNet77355</t>
  </si>
  <si>
    <t>23/07 h 09:00</t>
  </si>
  <si>
    <r>
      <t>ThinkCell-</t>
    </r>
    <r>
      <rPr>
        <sz val="11"/>
        <color rgb="FF00B050"/>
        <rFont val="Prompt Light"/>
      </rPr>
      <t>Kisters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Catia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Connect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Autoform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AutodeskInventor</t>
    </r>
    <r>
      <rPr>
        <sz val="11"/>
        <color theme="1"/>
        <rFont val="Prompt Light"/>
      </rPr>
      <t>-AcrobatX</t>
    </r>
  </si>
  <si>
    <t>SR3635786</t>
  </si>
  <si>
    <t>Boarolo, Antonio (IG/EG-C) - ITDGTOL00068354 (Non compatibile Win11)</t>
  </si>
  <si>
    <t>IGITMONCL077356</t>
  </si>
  <si>
    <t>Soufeliz356</t>
  </si>
  <si>
    <t>23/07 h 08:30</t>
  </si>
  <si>
    <t>Catia V5 + Connect</t>
  </si>
  <si>
    <t>SR3638661</t>
  </si>
  <si>
    <t>Marini, Davide (IG/EI-32) - ITDGTOL00070533 - Tastiera rotta</t>
  </si>
  <si>
    <t>ZBook Fury Z16 G9</t>
  </si>
  <si>
    <t>IGITMONCL073331</t>
  </si>
  <si>
    <t>23/07 h 13:30</t>
  </si>
  <si>
    <r>
      <rPr>
        <i/>
        <sz val="11"/>
        <color rgb="FF00B050"/>
        <rFont val="Prompt Light"/>
      </rPr>
      <t>Catia - Connect - Adobe Writer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SAP</t>
    </r>
  </si>
  <si>
    <t>SR3640346</t>
  </si>
  <si>
    <t>Panacciulli, MARCO (IG/B, extern)</t>
  </si>
  <si>
    <t>SR3635791</t>
  </si>
  <si>
    <t>Gardino, Stefano (IG/ER-N) - ITDGTOL00068227 (Non compatibile Win11)</t>
  </si>
  <si>
    <t>IGITMONCL077358</t>
  </si>
  <si>
    <t>Soufeliz358</t>
  </si>
  <si>
    <t>24/07 h 09:00</t>
  </si>
  <si>
    <r>
      <t xml:space="preserve">HYPERWORKS 2021 e </t>
    </r>
    <r>
      <rPr>
        <sz val="11"/>
        <color rgb="FF00B050"/>
        <rFont val="Prompt Light"/>
      </rPr>
      <t>HYPERWORKS 2022.3</t>
    </r>
  </si>
  <si>
    <t>SR3635954</t>
  </si>
  <si>
    <t>Marchisio, Monica (IG/ES) - ITDGTOL00069877 - Non compatibile Win11</t>
  </si>
  <si>
    <t>Soufeliz594</t>
  </si>
  <si>
    <t xml:space="preserve">ERP / XATLAS </t>
  </si>
  <si>
    <t>SR3635963</t>
  </si>
  <si>
    <t>Carnazzo, Angelo (IG/EE-6) - ITDGTOL00070714</t>
  </si>
  <si>
    <t>Soufeliz597</t>
  </si>
  <si>
    <t>SR3621334</t>
  </si>
  <si>
    <t>Capra, Alessandro (IG/ER-2D) - ITDGTOL00069764 (Richiesto Denis)</t>
  </si>
  <si>
    <t>IGITMONCL077349</t>
  </si>
  <si>
    <t>Zoropa349</t>
  </si>
  <si>
    <t>24/07 h 13:30</t>
  </si>
  <si>
    <t>SR3635966</t>
  </si>
  <si>
    <t>Raballo, Alessandro (IG/EG-5) - ITDGTOL00070469 - Non si accende</t>
  </si>
  <si>
    <t>Soufeliz598</t>
  </si>
  <si>
    <t>SR3563766</t>
  </si>
  <si>
    <t>Bergero, Marco (IG/EE-1) - ITDGTOL00070433</t>
  </si>
  <si>
    <t>Valadares572</t>
  </si>
  <si>
    <t>SR3639469</t>
  </si>
  <si>
    <t>Cagno, Francesco (IG/P-82) - ITDGTOL00065950 - SPEDIRE NICHELINO</t>
  </si>
  <si>
    <t>IGITMONCL072731</t>
  </si>
  <si>
    <t>Maestro - OBS. VERIFICARE LA MAIL</t>
  </si>
  <si>
    <t>SR3639472</t>
  </si>
  <si>
    <t>Cagno, Francesco (IG/P-82) - ITDGTOL00063896 - SPEDIRE NICHELINO</t>
  </si>
  <si>
    <t>IGITMONCL072730</t>
  </si>
  <si>
    <t>SR3638655</t>
  </si>
  <si>
    <t>Pennazio, Renato (IG/P-82) - ITDGTOL00059501</t>
  </si>
  <si>
    <t>28/07 h 10:30</t>
  </si>
  <si>
    <t>Recupero dati anche dal 63573 che poi però riporta a Nichelino</t>
  </si>
  <si>
    <t>SR3614789</t>
  </si>
  <si>
    <t>Crivello, Massimo (IG/P-83) - ITDGTOL00065949 - SPEDIRE NICHELINO</t>
  </si>
  <si>
    <t>IGITMONCL077343</t>
  </si>
  <si>
    <t>Monitor343</t>
  </si>
  <si>
    <t>Catia v5 e connet</t>
  </si>
  <si>
    <t>SR3593210</t>
  </si>
  <si>
    <t>Siciliano, Luca (IG/EL-2) - ITDGTOL00070542 - Lettore PKI guasto</t>
  </si>
  <si>
    <t>IGITMONCL077320</t>
  </si>
  <si>
    <t>Deus320</t>
  </si>
  <si>
    <t>Nichelino qualsiasi mercoledì mattina</t>
  </si>
  <si>
    <r>
      <rPr>
        <sz val="11"/>
        <color rgb="FF00B050"/>
        <rFont val="Prompt Light"/>
      </rPr>
      <t>CATIA V5, CONNECT</t>
    </r>
    <r>
      <rPr>
        <sz val="11"/>
        <color theme="1"/>
        <rFont val="Prompt Light"/>
      </rPr>
      <t>, AVON, TIREX</t>
    </r>
  </si>
  <si>
    <t>SR3621307</t>
  </si>
  <si>
    <t>Sagliocco, Antonio (IG/ER-2E) - ITDGTOL00069790 (non riconosce più la batteria)</t>
  </si>
  <si>
    <t>IGITMONCL077347</t>
  </si>
  <si>
    <t>Zoropa347</t>
  </si>
  <si>
    <r>
      <rPr>
        <sz val="11"/>
        <color rgb="FF00B050"/>
        <rFont val="Prompt Light"/>
      </rPr>
      <t>Catia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Connect</t>
    </r>
  </si>
  <si>
    <t>SR3617483</t>
  </si>
  <si>
    <t>Sarcone, Alessandro (IG/P-82) - ITDGTOL00069200 - Spedire a Nichelino</t>
  </si>
  <si>
    <t>IGITMONCL077344</t>
  </si>
  <si>
    <t>Fone344</t>
  </si>
  <si>
    <r>
      <t xml:space="preserve">Autoform R12 - Daimler Nx Supplier Package NX2312 Build 24.1.1.1 - </t>
    </r>
    <r>
      <rPr>
        <sz val="11"/>
        <color rgb="FF00B050"/>
        <rFont val="Prompt Light"/>
      </rPr>
      <t>Catia</t>
    </r>
    <r>
      <rPr>
        <sz val="11"/>
        <color theme="1"/>
        <rFont val="Prompt Light"/>
      </rPr>
      <t xml:space="preserve">  </t>
    </r>
    <r>
      <rPr>
        <sz val="11"/>
        <color rgb="FF00B050"/>
        <rFont val="Prompt Light"/>
      </rPr>
      <t>V5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Kisters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Connect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Photoshop</t>
    </r>
  </si>
  <si>
    <t>SR3606157</t>
  </si>
  <si>
    <t>Benedetto, Davide (IG/ER-2D) - IGITMONCL069758</t>
  </si>
  <si>
    <t>IGITMONCL077335</t>
  </si>
  <si>
    <t>Alex335</t>
  </si>
  <si>
    <t>29/07 - 08:30</t>
  </si>
  <si>
    <r>
      <rPr>
        <sz val="11"/>
        <color rgb="FF00B050"/>
        <rFont val="Prompt Light"/>
      </rPr>
      <t>CATIA V5</t>
    </r>
    <r>
      <rPr>
        <sz val="11"/>
        <color theme="1"/>
        <rFont val="Prompt Light"/>
      </rPr>
      <t xml:space="preserve"> e </t>
    </r>
    <r>
      <rPr>
        <sz val="11"/>
        <color rgb="FF00B050"/>
        <rFont val="Prompt Light"/>
      </rPr>
      <t>WORKNC</t>
    </r>
    <r>
      <rPr>
        <sz val="11"/>
        <color theme="1"/>
        <rFont val="Prompt Light"/>
      </rPr>
      <t xml:space="preserve"> E </t>
    </r>
    <r>
      <rPr>
        <sz val="11"/>
        <color rgb="FF00B050"/>
        <rFont val="Prompt Light"/>
      </rPr>
      <t>KISTERS</t>
    </r>
  </si>
  <si>
    <t>SR3635829</t>
  </si>
  <si>
    <t>Gastaldi, Daniele (IG/EG-C) - ITDGTOL00068937 (Non compatibile Win11)</t>
  </si>
  <si>
    <t>IGITMONCL077359</t>
  </si>
  <si>
    <t>Soufeliz359</t>
  </si>
  <si>
    <t>29/07 h 14:00</t>
  </si>
  <si>
    <t>CATIA V5 e Connect</t>
  </si>
  <si>
    <t>SR3635794</t>
  </si>
  <si>
    <t>Fasolio, Federica (IG/ER-4) - ITDGTOL00068265 (incompatibilità Win11 UPG)</t>
  </si>
  <si>
    <t>IGITMONCL077353</t>
  </si>
  <si>
    <t>CleverNet77353</t>
  </si>
  <si>
    <t>30/07 h 08:30</t>
  </si>
  <si>
    <t>Matlab2023b</t>
  </si>
  <si>
    <t>SR3635772</t>
  </si>
  <si>
    <t>Demaria, Diego (IG/P-63) - ITDGTOL00068444</t>
  </si>
  <si>
    <t>Trick77592</t>
  </si>
  <si>
    <t>SR3635960</t>
  </si>
  <si>
    <t>Boccardi, Silvia (IG/EG-Q) - ITDGTOL00070706</t>
  </si>
  <si>
    <t>Soufeliz596</t>
  </si>
  <si>
    <t>31/07 h 13:30</t>
  </si>
  <si>
    <t>SR3646604</t>
  </si>
  <si>
    <t>S410G4</t>
  </si>
  <si>
    <t>IGITMONCL072954</t>
  </si>
  <si>
    <t>SR3641494</t>
  </si>
  <si>
    <t>Al Alaoui, Lala Asmaa (IG/E) - IGITMONCL071208</t>
  </si>
  <si>
    <t>Cartao600</t>
  </si>
  <si>
    <t>SR3617501</t>
  </si>
  <si>
    <t>Balzani, Salvatore (IG/SH-2) - IGITMONCL069416 - Non compatibile W11</t>
  </si>
  <si>
    <t>Fone579</t>
  </si>
  <si>
    <t>SR3635872</t>
  </si>
  <si>
    <t>Diana, Vittorio (IG/ER-3) - ITDGTOL00068353 (Non compatibile Win11)</t>
  </si>
  <si>
    <t>IGITMONCL077357</t>
  </si>
  <si>
    <t>Soufeliz357</t>
  </si>
  <si>
    <t>04/08/25 - 11:00</t>
  </si>
  <si>
    <r>
      <rPr>
        <sz val="11"/>
        <color rgb="FF00B050"/>
        <rFont val="Prompt Light"/>
      </rPr>
      <t>Catia</t>
    </r>
    <r>
      <rPr>
        <sz val="11"/>
        <color theme="1"/>
        <rFont val="Prompt Light"/>
      </rPr>
      <t xml:space="preserve">, </t>
    </r>
    <r>
      <rPr>
        <sz val="11"/>
        <color rgb="FF00B050"/>
        <rFont val="Prompt Light"/>
      </rPr>
      <t>Connect</t>
    </r>
  </si>
  <si>
    <t>SR3641476</t>
  </si>
  <si>
    <t>2772 – COTTINO Fabrizio – cdc 240 User Interface, Infotainment and Connected Car – IG/EE-2</t>
  </si>
  <si>
    <t>Cartao599</t>
  </si>
  <si>
    <t>SR3635957</t>
  </si>
  <si>
    <r>
      <t xml:space="preserve">Quilos, Michelle Elain (IG/EE-3) - IGITMONCL071785 - SPEDIRE VIA NIZZA - </t>
    </r>
    <r>
      <rPr>
        <sz val="11"/>
        <color rgb="FF00B050"/>
        <rFont val="Prompt Light"/>
      </rPr>
      <t>SPEDITO</t>
    </r>
  </si>
  <si>
    <t>Soufeliz595</t>
  </si>
  <si>
    <t>06/08+</t>
  </si>
  <si>
    <t>Idex-Postman-VisualStudioCode-Python-Notepad++-Slack-Keepass-ThinkCell-EPM-FTDI Driver</t>
  </si>
  <si>
    <t>SR3649347</t>
  </si>
  <si>
    <t>Pieretto, Fabrizio (IG/P-7) - ITDGTOL00068259 - Non campatibile W11</t>
  </si>
  <si>
    <t>IGITMONCL073130</t>
  </si>
  <si>
    <t>SR3649333</t>
  </si>
  <si>
    <t>Toesca Di Castellazzo, Giulio (IG/Q-2) - IGITMONCL077538</t>
  </si>
  <si>
    <t>Cartao601</t>
  </si>
  <si>
    <t>SR3649339</t>
  </si>
  <si>
    <t>Caci, Elena (IG/GT-E) - IGITMONCL071237 - Problema tastiera</t>
  </si>
  <si>
    <t>Cartao602</t>
  </si>
  <si>
    <t>SR3653746</t>
  </si>
  <si>
    <t>Di Tullo, Cinzia (IG/B-1) (Reinstallazione)</t>
  </si>
  <si>
    <t>21K4S26302</t>
  </si>
  <si>
    <t>SR3651775</t>
  </si>
  <si>
    <t>Olivieri, Lorenzo (IG/EG-Q) - IGITMONCL071558 - Lettore PKI non funzionante</t>
  </si>
  <si>
    <t>Feriasbrasil603</t>
  </si>
  <si>
    <t>SR3654240</t>
  </si>
  <si>
    <t>Pastore, Cristina (IG/SD, extern) - IGITMONCL070479 - Non si avvia</t>
  </si>
  <si>
    <t>SR3621328</t>
  </si>
  <si>
    <t>WISSMANN Frederic – cdc 286, Electric &amp; Electronics – IDD/EE-7 employee number 99372</t>
  </si>
  <si>
    <t>IGDEWOBCL077348</t>
  </si>
  <si>
    <t>Zoropa348</t>
  </si>
  <si>
    <r>
      <t>Canape (</t>
    </r>
    <r>
      <rPr>
        <sz val="11"/>
        <color rgb="FF00B050"/>
        <rFont val="Prompt Light"/>
      </rPr>
      <t>13</t>
    </r>
    <r>
      <rPr>
        <sz val="11"/>
        <color theme="1"/>
        <rFont val="Prompt Light"/>
      </rPr>
      <t xml:space="preserve">, </t>
    </r>
    <r>
      <rPr>
        <sz val="11"/>
        <color rgb="FF00B050"/>
        <rFont val="Prompt Light"/>
      </rPr>
      <t>19</t>
    </r>
    <r>
      <rPr>
        <sz val="11"/>
        <color theme="1"/>
        <rFont val="Prompt Light"/>
      </rPr>
      <t xml:space="preserve">, </t>
    </r>
    <r>
      <rPr>
        <sz val="11"/>
        <color rgb="FF00B050"/>
        <rFont val="Prompt Light"/>
      </rPr>
      <t>21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Canoe 10</t>
    </r>
    <r>
      <rPr>
        <sz val="11"/>
        <color theme="1"/>
        <rFont val="Prompt Light"/>
      </rPr>
      <t xml:space="preserve">, </t>
    </r>
    <r>
      <rPr>
        <sz val="11"/>
        <color rgb="FF00B050"/>
        <rFont val="Prompt Light"/>
      </rPr>
      <t>11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Idex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Diagra</t>
    </r>
    <r>
      <rPr>
        <sz val="11"/>
        <color theme="1"/>
        <rFont val="Prompt Light"/>
      </rPr>
      <t xml:space="preserve"> - Matlab (2023b)</t>
    </r>
  </si>
  <si>
    <t>SR3655269</t>
  </si>
  <si>
    <t>Tessari, Paolo Riccardo (IG/P-83) - ITDGTOL00070448 - Non va W11</t>
  </si>
  <si>
    <t>Feriasbrasil413</t>
  </si>
  <si>
    <t>SR3662111</t>
  </si>
  <si>
    <t>3376 – JURIC Dominik – cdc 282 Exteriors Development – IG/ER-2B – Empl. Numb. 99376</t>
  </si>
  <si>
    <r>
      <rPr>
        <i/>
        <sz val="11"/>
        <color rgb="FF00B050"/>
        <rFont val="Prompt Light"/>
      </rPr>
      <t>Catia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Connect</t>
    </r>
    <r>
      <rPr>
        <i/>
        <sz val="11"/>
        <color theme="1"/>
        <rFont val="Prompt Light"/>
      </rPr>
      <t xml:space="preserve"> - Avon</t>
    </r>
  </si>
  <si>
    <t>SR3655299</t>
  </si>
  <si>
    <t>Savoca, Adriano (IG/S-3) - IGITMONCL077540</t>
  </si>
  <si>
    <t>Feriasbrasil414</t>
  </si>
  <si>
    <t>xxxx - ALABD Fatma (Randstad) - IG/S-2</t>
  </si>
  <si>
    <t>3381 – EDLER Christina – cdc 246 Engineering Surfacing – IG/ER-S – Empl. Numb. 99381</t>
  </si>
  <si>
    <t>11/09/2025 h 08:30</t>
  </si>
  <si>
    <t>09/09 h 09:00</t>
  </si>
  <si>
    <t>Alpe, Joel (IG/P-63) - Kisters</t>
  </si>
  <si>
    <t>Adduci, Pierangelo (IG/ER-4) - IGITMONCL071251 - 2 tasti saltati</t>
  </si>
  <si>
    <t>11/09 h 09:00</t>
  </si>
  <si>
    <t>Acrobat Writer</t>
  </si>
  <si>
    <t>Piscitello, Antonino (IG/GT-P) - IGITMONCL069302</t>
  </si>
  <si>
    <t>SR3664876</t>
  </si>
  <si>
    <t>16-Set h 12:00</t>
  </si>
  <si>
    <t>Seren Rosso, Riccardo (IG/EI-34)  -IGITMONCL070937</t>
  </si>
  <si>
    <r>
      <rPr>
        <i/>
        <sz val="11"/>
        <color rgb="FF00B050"/>
        <rFont val="Prompt Light"/>
      </rPr>
      <t>Catia-Connect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Icem</t>
    </r>
  </si>
  <si>
    <r>
      <rPr>
        <sz val="11"/>
        <color rgb="FF00B050"/>
        <rFont val="Prompt Light"/>
      </rPr>
      <t>Catia-Connect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Kisters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Diadem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ThinkCell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Animator</t>
    </r>
  </si>
  <si>
    <r>
      <t xml:space="preserve">ChekIT2, </t>
    </r>
    <r>
      <rPr>
        <i/>
        <sz val="11"/>
        <color rgb="FF00B050"/>
        <rFont val="Prompt Light"/>
      </rPr>
      <t>Kinovea</t>
    </r>
  </si>
  <si>
    <t>11 sett h 11:00</t>
  </si>
  <si>
    <t>Crivello, Barbara (IG/Q)</t>
  </si>
  <si>
    <t>Mosti, Marco (IG/ER-3) - IGITMONCL069748</t>
  </si>
  <si>
    <t>Racioppo, Rosanna (IG/F)</t>
  </si>
  <si>
    <t>Enrico Spina</t>
  </si>
  <si>
    <t>11/09/2025 h 10:30</t>
  </si>
  <si>
    <t>SR3669717</t>
  </si>
  <si>
    <t>Trisoglio, Luca (IG/ER-2M) - IGITMONCL070526</t>
  </si>
  <si>
    <t>SR3669752</t>
  </si>
  <si>
    <t>IGDEWOBCL077418</t>
  </si>
  <si>
    <t>SR3670136</t>
  </si>
  <si>
    <t>SR3670139</t>
  </si>
  <si>
    <t>SR3670142</t>
  </si>
  <si>
    <t>SR3670145</t>
  </si>
  <si>
    <t>SR3670148</t>
  </si>
  <si>
    <t>Turof365!</t>
  </si>
  <si>
    <t>Turof366!</t>
  </si>
  <si>
    <t>Turof374!</t>
  </si>
  <si>
    <t>Turof375!</t>
  </si>
  <si>
    <t>Turof376!</t>
  </si>
  <si>
    <t>Italdesign418!</t>
  </si>
  <si>
    <t>Italdesign419!</t>
  </si>
  <si>
    <t>Italdesign420!</t>
  </si>
  <si>
    <t>Italdesign421!</t>
  </si>
  <si>
    <t>Italdesign422!</t>
  </si>
  <si>
    <t>Italdesign423!</t>
  </si>
  <si>
    <t>Paone - Vedi mail Matthias - Gaimersheim</t>
  </si>
  <si>
    <t>SR3670181</t>
  </si>
  <si>
    <t>SR3670178</t>
  </si>
  <si>
    <t>SR3670172</t>
  </si>
  <si>
    <t>SR3670175</t>
  </si>
  <si>
    <t>SR3670169</t>
  </si>
  <si>
    <t>SR3670166</t>
  </si>
  <si>
    <t>16 sett h 10:00</t>
  </si>
  <si>
    <t>IGITMONCL078176</t>
  </si>
  <si>
    <t>IGITMONCL078177</t>
  </si>
  <si>
    <t>IGITMONCL078178</t>
  </si>
  <si>
    <t>IGITMONCL078179</t>
  </si>
  <si>
    <t>IGITMONCL078180</t>
  </si>
  <si>
    <t>IGITMONCL078181</t>
  </si>
  <si>
    <t>IGITMONCL078182</t>
  </si>
  <si>
    <t>IGITMONCL078183</t>
  </si>
  <si>
    <t>IGITMONCL078184</t>
  </si>
  <si>
    <t>IGITMONCL078185</t>
  </si>
  <si>
    <t>IGITMONCL078186</t>
  </si>
  <si>
    <t>IGITMONCL078187</t>
  </si>
  <si>
    <t>IGITMONCL078188</t>
  </si>
  <si>
    <t>IGITMONCL078197</t>
  </si>
  <si>
    <t>IGITMONCL078198</t>
  </si>
  <si>
    <r>
      <rPr>
        <sz val="11"/>
        <color rgb="FF00B050"/>
        <rFont val="Prompt Light"/>
      </rPr>
      <t>Catia V5, Connect,</t>
    </r>
    <r>
      <rPr>
        <sz val="11"/>
        <color theme="1"/>
        <rFont val="Prompt Light"/>
      </rPr>
      <t xml:space="preserve"> </t>
    </r>
    <r>
      <rPr>
        <sz val="11"/>
        <color rgb="FF00B050"/>
        <rFont val="Prompt Light"/>
      </rPr>
      <t>VMware Horizon Client, GlobalProtect, Nexus Personal</t>
    </r>
  </si>
  <si>
    <t>Arena, Francesco (IG/ER-4) - IGITMONCL071533</t>
  </si>
  <si>
    <t>CONNECT, Altair Hyperworks, Kinovea, Kisters, Catia V5</t>
  </si>
  <si>
    <t>16 sett h 13:30</t>
  </si>
  <si>
    <t>IGITMONCL078199</t>
  </si>
  <si>
    <t>IGITMONCL078200</t>
  </si>
  <si>
    <t>IGITMONCL078202</t>
  </si>
  <si>
    <t>IGITMONCL078203</t>
  </si>
  <si>
    <t>IGITMONCL078204</t>
  </si>
  <si>
    <t>IGITMONCL078205</t>
  </si>
  <si>
    <t>Filpi, Federica (IG/EE-4)</t>
  </si>
  <si>
    <t>Adobe Acrobat editor, VViewer; Connect, CATIA V5</t>
  </si>
  <si>
    <t>Bona, Massimiliano (IG/ER-4) - ITDGTOL00068814</t>
  </si>
  <si>
    <t>Becchio, Corrado (IG/V) - ITDGTOL00069614</t>
  </si>
  <si>
    <t>Nulchis, Annarita (IG/V) - IGITMONCL071228</t>
  </si>
  <si>
    <t>Catia V5 e Connect</t>
  </si>
  <si>
    <t>17 sett h 09:00</t>
  </si>
  <si>
    <t>Catia-Connect-Zoom-Webex</t>
  </si>
  <si>
    <t>24 sett h 08:30</t>
  </si>
  <si>
    <t xml:space="preserve">Adobe Acrobat (no solo reader), Webex e GIMP </t>
  </si>
  <si>
    <t>23 sett h 08:30</t>
  </si>
  <si>
    <t>16 sett h 08:30</t>
  </si>
  <si>
    <t>17 sett h 08:30</t>
  </si>
  <si>
    <r>
      <t xml:space="preserve">Chrome, Zoom, Deepl, Grammarly, OkatVerify, Simplicity, </t>
    </r>
    <r>
      <rPr>
        <sz val="11"/>
        <color rgb="FF00B050"/>
        <rFont val="Prompt Light"/>
      </rPr>
      <t>Outlook PWA, Trellix Endpoint Security,</t>
    </r>
    <r>
      <rPr>
        <sz val="11"/>
        <color theme="1"/>
        <rFont val="Prompt Light"/>
      </rPr>
      <t xml:space="preserve"> </t>
    </r>
    <r>
      <rPr>
        <sz val="11"/>
        <color rgb="FF00B050"/>
        <rFont val="Prompt Light"/>
      </rPr>
      <t>Adobe Acrobat Distiller</t>
    </r>
  </si>
  <si>
    <t>LabVIEW, TestStand, ODIS, iDex, CP tool, CANoe, System42, Esotrace viewer, FoxTerm, WinSCP, BeyondTrust, VAS</t>
  </si>
  <si>
    <t>23 sett h 09:00</t>
  </si>
  <si>
    <t>De Gregorio, Simona (IG/EG-7) - ITDGTOL00068260</t>
  </si>
  <si>
    <t>IGITMONCL071390</t>
  </si>
  <si>
    <t>IGITMONCL071797</t>
  </si>
  <si>
    <t>26 sett h 13:30</t>
  </si>
  <si>
    <t>Lanzieri, Michele (IG/P-71) - ITDGTOL00063539 - (Non compatibile Win11)</t>
  </si>
  <si>
    <t>Tessari, Cristiano (IG/P-83) - ITDGTOL00065777</t>
  </si>
  <si>
    <r>
      <rPr>
        <sz val="11"/>
        <color rgb="FF00B050"/>
        <rFont val="Prompt Light"/>
      </rPr>
      <t>Idex-CpTool-Odis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Canalyzer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Canoe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Canoe10-Ctool-CDR-VectorDriver-EPM</t>
    </r>
  </si>
  <si>
    <t>Salomone, Marco (IG/EG-I) - IGITMONCL070606</t>
  </si>
  <si>
    <t>Marangon, Alessandro (IG/EE-7) - IGITMONCL073463</t>
  </si>
  <si>
    <t>SR3678765</t>
  </si>
  <si>
    <t>SR3678768</t>
  </si>
  <si>
    <t>Scalise, Antonello (IG/P-S)</t>
  </si>
  <si>
    <t>24 sett h 09:00</t>
  </si>
  <si>
    <t>Davydenko, Viktoriia (IG/D-3, extern)</t>
  </si>
  <si>
    <t>Photoshop-Illustrator-AfterEffect--Blender</t>
  </si>
  <si>
    <t>Vagnerova, Barbora (IG/D-3, extern)</t>
  </si>
  <si>
    <t>3383 – FERRARIS Luca – cdc 239 Architecture &amp; Integration – IG/EG-I – Empl. Numb. 99383</t>
  </si>
  <si>
    <t>IGITMONCD078214</t>
  </si>
  <si>
    <t>IGITMONCD078215</t>
  </si>
  <si>
    <t>SR3682253</t>
  </si>
  <si>
    <t>SR3682256</t>
  </si>
  <si>
    <t>8 TB RAID 0</t>
  </si>
  <si>
    <t>Calindri78214!</t>
  </si>
  <si>
    <t>Calindri78215!</t>
  </si>
  <si>
    <t>29/09/2025 h 08:30</t>
  </si>
  <si>
    <t>Ciocca, Stefano (IG/EG-Q) - IDG Vadò - Stazione Dauerlauf</t>
  </si>
  <si>
    <t>Bosio, Stefano (IG/EG-Q) - ITDGTOL00070543</t>
  </si>
  <si>
    <t>LilloPoi77424!</t>
  </si>
  <si>
    <t>LilloPoi77425!</t>
  </si>
  <si>
    <t>LilloPoi77426!</t>
  </si>
  <si>
    <t>LilloPoi77427!</t>
  </si>
  <si>
    <t>LilloPoi77428!</t>
  </si>
  <si>
    <t>LilloPoi77429!</t>
  </si>
  <si>
    <t>Ceaglio, Marco (IG/GT-E) - IGITMONCL077558</t>
  </si>
  <si>
    <t>Gerini, Alessandro (IG/EL) - IGITMONCL070963 - Non legge la PKI, ingresso USB rotto, schermata a volte sparisce</t>
  </si>
  <si>
    <t>Acrobat Standard</t>
  </si>
  <si>
    <t>SR3688033</t>
  </si>
  <si>
    <t>SR3688018</t>
  </si>
  <si>
    <t>SR3688024</t>
  </si>
  <si>
    <t>SR3688027</t>
  </si>
  <si>
    <t>SR3688030</t>
  </si>
  <si>
    <t>IGITMONCL071544</t>
  </si>
  <si>
    <t>IGITMONCL072422</t>
  </si>
  <si>
    <t>IGITMONCL070924</t>
  </si>
  <si>
    <t>IGITMONCL072910</t>
  </si>
  <si>
    <t>SR3688378</t>
  </si>
  <si>
    <t>SR3688384</t>
  </si>
  <si>
    <t>SR3688387</t>
  </si>
  <si>
    <t>ESEGUIRE KILLDISK PRIMA DI CONSEGNARE - TROVARE ANCHE LUCCHETTO</t>
  </si>
  <si>
    <t>Nole, Alessandro (IG/EI-34) (Da mandare in IVECO previo KillDisk)</t>
  </si>
  <si>
    <t>IGDEWOBCL077430</t>
  </si>
  <si>
    <t>IGDEWOBCL077431</t>
  </si>
  <si>
    <t>Feriasbrasil430</t>
  </si>
  <si>
    <t>Feriasbrasil431</t>
  </si>
  <si>
    <t>SR3691829</t>
  </si>
  <si>
    <t>SR3691841</t>
  </si>
  <si>
    <t>3392 – GIULIANO Elisa – cdc 240 User Interface, Infotainment and Connected Car – IG/EE-1 – Empl. Numb. 99392</t>
  </si>
  <si>
    <t>3393 – VASII Alexandra – cdc 240 User Interface, Infotainment and Connected Car – IG/EE-1 – Empl. Numb. 99393</t>
  </si>
  <si>
    <t>Sarti, Stefano (IG/EG-Q) - ITDGTOL00068251</t>
  </si>
  <si>
    <t>THINK CELL - CONNECT</t>
  </si>
  <si>
    <t>22/10/2025 h 09:00</t>
  </si>
  <si>
    <t>10/10/2025  h 13:30</t>
  </si>
  <si>
    <t>SPEDIRE IDD</t>
  </si>
  <si>
    <t>10/10/2025 h 14:00</t>
  </si>
  <si>
    <t>Berrino, Roberta (IG/ER-N) - IGITMONCL072258 - Tastiera rotta</t>
  </si>
  <si>
    <t>SR3692755</t>
  </si>
  <si>
    <t>SR3692761</t>
  </si>
  <si>
    <t>SR3692767</t>
  </si>
  <si>
    <t>SR3692773</t>
  </si>
  <si>
    <t>SR3692779</t>
  </si>
  <si>
    <t>SR3692785</t>
  </si>
  <si>
    <t>SR3692863</t>
  </si>
  <si>
    <t>SR3692876</t>
  </si>
  <si>
    <t>SR3692882</t>
  </si>
  <si>
    <t>SR3692888</t>
  </si>
  <si>
    <t>SR3692894</t>
  </si>
  <si>
    <t>Radio369</t>
  </si>
  <si>
    <t>Radio370</t>
  </si>
  <si>
    <t>Radio371</t>
  </si>
  <si>
    <t>Radio373</t>
  </si>
  <si>
    <t>Radio372</t>
  </si>
  <si>
    <t>Radio432</t>
  </si>
  <si>
    <t>Radio433</t>
  </si>
  <si>
    <t>Radio434</t>
  </si>
  <si>
    <t>Radio435</t>
  </si>
  <si>
    <t>Radio436</t>
  </si>
  <si>
    <t>Radio437</t>
  </si>
  <si>
    <t>Photoshop-Illustrator-Premier</t>
  </si>
  <si>
    <t>SR3692988</t>
  </si>
  <si>
    <t>SR3693019</t>
  </si>
  <si>
    <t>Reinstallazione Surface Book</t>
  </si>
  <si>
    <t>Surface Book 2</t>
  </si>
  <si>
    <t>IGITMONCL068271</t>
  </si>
  <si>
    <t>IGITMONCL068384</t>
  </si>
  <si>
    <t>14/10/2025 - 09:00</t>
  </si>
  <si>
    <t>Pellegrino, Antonio (IG/P-62) - ITDGTOL00070667</t>
  </si>
  <si>
    <t>Catia - Connect - Kisters</t>
  </si>
  <si>
    <t>Burelli, Cristian (IG/P-10) - IGITMONCL072244 - Autorizzato da Jozzo</t>
  </si>
  <si>
    <t>15/10/2025 h 14:30</t>
  </si>
  <si>
    <t>Zbook G9</t>
  </si>
  <si>
    <t>IGITMONCL073455</t>
  </si>
  <si>
    <r>
      <rPr>
        <sz val="11"/>
        <color rgb="FF00B050"/>
        <rFont val="Prompt Light"/>
      </rPr>
      <t>Kister</t>
    </r>
    <r>
      <rPr>
        <sz val="11"/>
        <color theme="1"/>
        <rFont val="Prompt Light"/>
      </rPr>
      <t xml:space="preserve">, licenza ThinkCell </t>
    </r>
  </si>
  <si>
    <t>Menegollo, Roberto (IG/P-62) - ITDGTOL00068442 - SPEDIRE VADO'</t>
  </si>
  <si>
    <r>
      <rPr>
        <sz val="11"/>
        <color rgb="FF00B050"/>
        <rFont val="Prompt Light"/>
      </rPr>
      <t>Catia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Connect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Kisters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AUDI WORKB</t>
    </r>
  </si>
  <si>
    <t>SPEDITO A NICHELINO IN DATA 10 OTT</t>
  </si>
  <si>
    <r>
      <rPr>
        <sz val="11"/>
        <color rgb="FF00B050"/>
        <rFont val="Prompt Light"/>
      </rPr>
      <t>Catia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Kisters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JT2GO</t>
    </r>
    <r>
      <rPr>
        <sz val="11"/>
        <color theme="1"/>
        <rFont val="Prompt Light"/>
      </rPr>
      <t xml:space="preserve"> - Marking Systems (app per utilizzo stampante Phoenix) - Niimbot (app per utilizzo stampante etichette, che non funziona più perché necessito di diritti di amministratore per l’utilizzo) - </t>
    </r>
    <r>
      <rPr>
        <sz val="11"/>
        <color rgb="FF00B050"/>
        <rFont val="Prompt Light"/>
      </rPr>
      <t>Citrix</t>
    </r>
  </si>
  <si>
    <t>Folli, Nicole (IG/B-1) - IGITMONCL070437 - Problema Tastiera</t>
  </si>
  <si>
    <t>Villata, Maria Luisa (IG/EI-33) - ITDGTOL00070739</t>
  </si>
  <si>
    <t>Z8 Z4</t>
  </si>
  <si>
    <t>16/10/2025 h 08:30</t>
  </si>
  <si>
    <t>16/10/2025 h 14:00</t>
  </si>
  <si>
    <t>22/10/2025 h 09:30</t>
  </si>
  <si>
    <t>5/23/2018</t>
  </si>
  <si>
    <t>IGITMONCD068202</t>
  </si>
  <si>
    <r>
      <rPr>
        <sz val="11"/>
        <color rgb="FF00B050"/>
        <rFont val="Prompt Light"/>
      </rPr>
      <t>Connect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Audi Work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CPTool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Kisters</t>
    </r>
    <r>
      <rPr>
        <sz val="11"/>
        <color theme="1"/>
        <rFont val="Prompt Light"/>
      </rPr>
      <t xml:space="preserve"> - System42</t>
    </r>
  </si>
  <si>
    <t>SR3696605</t>
  </si>
  <si>
    <t>SR3696722</t>
  </si>
  <si>
    <t>Improviso599</t>
  </si>
  <si>
    <t>Pomponio, Pierpaolo (IG/ER-2B) - IGITMONCL076122</t>
  </si>
  <si>
    <t>Caricasole, Alex (IG/EG-I)</t>
  </si>
  <si>
    <t>SR3698937</t>
  </si>
  <si>
    <r>
      <rPr>
        <sz val="11"/>
        <color rgb="FF00B050"/>
        <rFont val="Prompt Light"/>
      </rPr>
      <t xml:space="preserve">Catia V5 e Connect </t>
    </r>
    <r>
      <rPr>
        <sz val="11"/>
        <color theme="1"/>
        <rFont val="Prompt Light"/>
      </rPr>
      <t xml:space="preserve">(think cell per Office) </t>
    </r>
  </si>
  <si>
    <t>Italdesign2025!*</t>
  </si>
  <si>
    <t>Qualizza, Valentina (IG/EE-1) - ITDGTOC00068202 - rif Abbamonte</t>
  </si>
  <si>
    <r>
      <rPr>
        <i/>
        <sz val="11"/>
        <color rgb="FF00B050"/>
        <rFont val="Prompt Light"/>
      </rPr>
      <t>WORKNC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KISTERS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TNCREMO</t>
    </r>
    <r>
      <rPr>
        <i/>
        <sz val="11"/>
        <color theme="1"/>
        <rFont val="Prompt Light"/>
      </rPr>
      <t xml:space="preserve"> </t>
    </r>
  </si>
  <si>
    <t>SR3699505</t>
  </si>
  <si>
    <t>SR3699572</t>
  </si>
  <si>
    <t>Truco177</t>
  </si>
  <si>
    <t>Truco178</t>
  </si>
  <si>
    <t>Truco179</t>
  </si>
  <si>
    <t>Truco180</t>
  </si>
  <si>
    <t>Richiesto da Saracco - Ubuntu 24</t>
  </si>
  <si>
    <t>IGITMONCL071713</t>
  </si>
  <si>
    <t>IGITMONCL073478</t>
  </si>
  <si>
    <t>IGITMONCL073463</t>
  </si>
  <si>
    <t>Morabito, Antonio (IG/ER-2E) - IGITMONCL069301</t>
  </si>
  <si>
    <t>IGDEWOBCL077438</t>
  </si>
  <si>
    <t>IGDEWOBCL077439</t>
  </si>
  <si>
    <t>IGDEWOBCL077440</t>
  </si>
  <si>
    <t>Chuva438</t>
  </si>
  <si>
    <t>Chuva439</t>
  </si>
  <si>
    <t>Chuva440</t>
  </si>
  <si>
    <t>SR3703048</t>
  </si>
  <si>
    <t>SR3703054</t>
  </si>
  <si>
    <t>SR3703068</t>
  </si>
  <si>
    <t>SR3703700</t>
  </si>
  <si>
    <t>Gordinho441</t>
  </si>
  <si>
    <t>Gordinho442</t>
  </si>
  <si>
    <t>Chieppa, Giorgio (IG/Q-1) - IGITMONCL069308</t>
  </si>
  <si>
    <t xml:space="preserve">Adobe Pro-Idex-ThinkCell-CpTool-Diagra-utilizzo VAS e Lite XS </t>
  </si>
  <si>
    <r>
      <rPr>
        <sz val="11"/>
        <color rgb="FF00B050"/>
        <rFont val="Prompt Light"/>
      </rPr>
      <t>Catia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Connect</t>
    </r>
    <r>
      <rPr>
        <sz val="11"/>
        <color theme="1"/>
        <rFont val="Prompt Light"/>
      </rPr>
      <t xml:space="preserve"> - Avon - Nolis - </t>
    </r>
    <r>
      <rPr>
        <sz val="11"/>
        <color rgb="FF00B050"/>
        <rFont val="Prompt Light"/>
      </rPr>
      <t>Mona app</t>
    </r>
    <r>
      <rPr>
        <sz val="11"/>
        <color theme="1"/>
        <rFont val="Prompt Light"/>
      </rPr>
      <t xml:space="preserve"> - Kisters - VT2GO</t>
    </r>
  </si>
  <si>
    <t>Repetto, Valerio (IG/EG-7) - IGITMONCL071380</t>
  </si>
  <si>
    <t>Fiorio, Laura (IG/V) - IGITMONCL070722</t>
  </si>
  <si>
    <t>30/10/25 - 09:00</t>
  </si>
  <si>
    <t>04/11/25 - 09:00</t>
  </si>
  <si>
    <r>
      <rPr>
        <sz val="11"/>
        <color rgb="FF00B050"/>
        <rFont val="Prompt Light"/>
      </rPr>
      <t>Catia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Connect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Isodraw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Illustrator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Photoshop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Acrobat</t>
    </r>
    <r>
      <rPr>
        <sz val="11"/>
        <color theme="1"/>
        <rFont val="Prompt Light"/>
      </rPr>
      <t xml:space="preserve"> </t>
    </r>
    <r>
      <rPr>
        <sz val="11"/>
        <color rgb="FF00B050"/>
        <rFont val="Prompt Light"/>
      </rPr>
      <t>Pro</t>
    </r>
  </si>
  <si>
    <r>
      <rPr>
        <sz val="11"/>
        <color rgb="FF00B050"/>
        <rFont val="Prompt Light"/>
      </rPr>
      <t>Connect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Animator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Kisters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WinSCP</t>
    </r>
  </si>
  <si>
    <t>29/10/25 - 09:00</t>
  </si>
  <si>
    <r>
      <rPr>
        <sz val="11"/>
        <color rgb="FF00B050"/>
        <rFont val="Prompt Light"/>
      </rPr>
      <t>Adobe Writer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Gimp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Kisters</t>
    </r>
  </si>
  <si>
    <t>IGITMONCL076122</t>
  </si>
  <si>
    <t>SR3709972</t>
  </si>
  <si>
    <t>SR3710538</t>
  </si>
  <si>
    <t>Paiolo, Daniele (IG/S-32) - IGITMONCL077559</t>
  </si>
  <si>
    <t>SR3710987</t>
  </si>
  <si>
    <t>Prota, Ciro (IG/Q-1) - ITDGTOL00068358</t>
  </si>
  <si>
    <t>Xu, Yucheng (IG/GT-D) - IGITMONCL071564</t>
  </si>
  <si>
    <t>SR3712346</t>
  </si>
  <si>
    <t>Lettry, Sonia (IG/EL-1) - IGITMONCL071799</t>
  </si>
  <si>
    <r>
      <rPr>
        <sz val="11"/>
        <color rgb="FF00B050"/>
        <rFont val="Prompt Light"/>
      </rPr>
      <t>Catia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Connect</t>
    </r>
    <r>
      <rPr>
        <sz val="11"/>
        <color theme="1"/>
        <rFont val="Prompt Light"/>
      </rPr>
      <t xml:space="preserve"> - Kisters - </t>
    </r>
    <r>
      <rPr>
        <sz val="11"/>
        <color rgb="FF00B050"/>
        <rFont val="Prompt Light"/>
      </rPr>
      <t>Think</t>
    </r>
    <r>
      <rPr>
        <sz val="11"/>
        <color theme="1"/>
        <rFont val="Prompt Light"/>
      </rPr>
      <t xml:space="preserve"> Cell - </t>
    </r>
    <r>
      <rPr>
        <sz val="11"/>
        <color rgb="FF00B050"/>
        <rFont val="Prompt Light"/>
      </rPr>
      <t>Horizon</t>
    </r>
  </si>
  <si>
    <t>SR3713254</t>
  </si>
  <si>
    <t>SR3713260</t>
  </si>
  <si>
    <t>SR3713266</t>
  </si>
  <si>
    <t>Lagrotteria, Giovanni (IG/Q-1) - ITDGTOL00069182 - SPEDITO NICHELINO</t>
  </si>
  <si>
    <t>Prostamo, Antonio (IG/Q-1) - ITDGTOL00069183 - SPEDITO NICHELINO</t>
  </si>
  <si>
    <t>Prota, Ciro (IG/Q-1) - ITDGTOL00070453 - SPEDITO NICHELINO</t>
  </si>
  <si>
    <t>De Martini, Laura (IG/EE-3) - IGITMONCL070670 - SPEDITO IN VIA NIZZA</t>
  </si>
  <si>
    <t>03/01/2025 - 11:00</t>
  </si>
  <si>
    <t>Elitebook 640 G9</t>
  </si>
  <si>
    <t>Antenozio, Andrea (IG/EE-5) - IGITMONCL069428 (durata batteria molto bassa)</t>
  </si>
  <si>
    <t>SR3718788</t>
  </si>
  <si>
    <t>SR3719015</t>
  </si>
  <si>
    <t>Risco181</t>
  </si>
  <si>
    <t>Risco182</t>
  </si>
  <si>
    <t>Risco183</t>
  </si>
  <si>
    <t>Zbook G8</t>
  </si>
  <si>
    <t>IGITMONCL072758</t>
  </si>
  <si>
    <t>WinMerge, Putty, iDEX, Notepad++, AVON -ThinkCell-Kisters</t>
  </si>
  <si>
    <t>05/11/2025 h 11</t>
  </si>
  <si>
    <t>10/11/2025 h 15:00</t>
  </si>
  <si>
    <t>06/11/2025 h 09:00</t>
  </si>
  <si>
    <t>L'utente richiede un mouse nuovo ed un paio di cuffie</t>
  </si>
  <si>
    <t>Risco443</t>
  </si>
  <si>
    <t>Paiolo, Daniele (IG/S-32) - IGITMONCL077442</t>
  </si>
  <si>
    <t>SR3719785</t>
  </si>
  <si>
    <t>Alaimo, Marco (IG/S-3) - IGITMONCL069612</t>
  </si>
  <si>
    <t>SR3720093</t>
  </si>
  <si>
    <t>05/11/2025 - 15:00</t>
  </si>
  <si>
    <t>SR3720684</t>
  </si>
  <si>
    <t>SR3720690</t>
  </si>
  <si>
    <t>SR3720696</t>
  </si>
  <si>
    <t>Altozano Olivares, Jose Luis (IDD/EE-2)</t>
  </si>
  <si>
    <t>IGDEWOBCL077444</t>
  </si>
  <si>
    <t>Surface Go</t>
  </si>
  <si>
    <t>Gabbio, Serena (IG/EE-1)</t>
  </si>
  <si>
    <t>SR3721378</t>
  </si>
  <si>
    <t>IGITMONCT073808</t>
  </si>
  <si>
    <t>Audi Workbench and the VAS Tester HW</t>
  </si>
  <si>
    <t>Surface Pro</t>
  </si>
  <si>
    <t>IGITMONCT073659</t>
  </si>
  <si>
    <t>SR3721429</t>
  </si>
  <si>
    <t>SurfacePro659@!</t>
  </si>
  <si>
    <t>SurfaceGo808@!</t>
  </si>
  <si>
    <t>Pressao744</t>
  </si>
  <si>
    <t>Lettry, Sonia (IG/EL-1) - IGITMONCL077369</t>
  </si>
  <si>
    <t>Dalmasso, Maria Teresa (IG/EE-6) - IGITMONCL077336</t>
  </si>
  <si>
    <t>Folga184</t>
  </si>
  <si>
    <t>Folga185</t>
  </si>
  <si>
    <t>Folga186</t>
  </si>
  <si>
    <t>Folga187</t>
  </si>
  <si>
    <t>IGITMONCL073761</t>
  </si>
  <si>
    <t>IGITMONCL073489</t>
  </si>
  <si>
    <t>IGITMONCL073119</t>
  </si>
  <si>
    <t>IGITMONCL073454</t>
  </si>
  <si>
    <t>SR3722341</t>
  </si>
  <si>
    <t>SR3722347</t>
  </si>
  <si>
    <t>SR3722353</t>
  </si>
  <si>
    <t>SR3722359</t>
  </si>
  <si>
    <t>SR3722365</t>
  </si>
  <si>
    <t>Curatola, Alessandro (IG/EG-Q) - IGITMONCL069625</t>
  </si>
  <si>
    <t>SR3722871</t>
  </si>
  <si>
    <r>
      <rPr>
        <i/>
        <sz val="11"/>
        <color rgb="FF00B050"/>
        <rFont val="Prompt Light"/>
      </rPr>
      <t>Catia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Connect</t>
    </r>
  </si>
  <si>
    <t>IGITMONCL076355</t>
  </si>
  <si>
    <t>SR3722970</t>
  </si>
  <si>
    <t>Ianni Palarchio, Piero (IG/GT-P) - IGITMONCL069405</t>
  </si>
  <si>
    <r>
      <rPr>
        <i/>
        <sz val="11"/>
        <color rgb="FF00B050"/>
        <rFont val="Prompt Light"/>
      </rPr>
      <t>Audi Workbeanch</t>
    </r>
    <r>
      <rPr>
        <i/>
        <sz val="11"/>
        <color theme="1"/>
        <rFont val="Prompt Light"/>
      </rPr>
      <t>, Thinkcell + sostituzione mouse</t>
    </r>
  </si>
  <si>
    <t>11/11/2025 - 09:00</t>
  </si>
  <si>
    <t>Vitale, Alessio (IG/V) - IGITMONCL070701</t>
  </si>
  <si>
    <t xml:space="preserve">Jacolino, Francesco (IG/ER-2M) - IGITMONCL070635 - PC danneggiato dopo una caduta. </t>
  </si>
  <si>
    <t>SR3723095</t>
  </si>
  <si>
    <t>3394 – BLACO Davide (rinomina) – cdc 239 EE Architecture &amp; Integration – IG/EG-I – Empl. Numb. 99394</t>
  </si>
  <si>
    <t>3395 – HASANU Diana – cdc 246 Engineering Surfacing – IG/ER-S – Empl. Numb. 99395</t>
  </si>
  <si>
    <t>Prota, Ciro (IG/Q-1) - IGITMONCL070569</t>
  </si>
  <si>
    <t>Prota, Ciro (IG/Q-1) - IGITMONCL069450</t>
  </si>
  <si>
    <t>Prota, Ciro (IG/Q-1) - IGITMONCL069451</t>
  </si>
  <si>
    <t>SR3723624</t>
  </si>
  <si>
    <r>
      <rPr>
        <i/>
        <sz val="11"/>
        <color rgb="FF00B050"/>
        <rFont val="Prompt Light"/>
      </rPr>
      <t>EASy4Q</t>
    </r>
    <r>
      <rPr>
        <i/>
        <sz val="11"/>
        <color theme="1"/>
        <rFont val="Prompt Light"/>
      </rPr>
      <t xml:space="preserve"> ALPOS </t>
    </r>
    <r>
      <rPr>
        <i/>
        <sz val="11"/>
        <color rgb="FF00B050"/>
        <rFont val="Prompt Light"/>
      </rPr>
      <t>IDEX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VAS</t>
    </r>
  </si>
  <si>
    <t>Tentativa445</t>
  </si>
  <si>
    <t>Tentativa446</t>
  </si>
  <si>
    <t>SR3724296</t>
  </si>
  <si>
    <t>SR3724302</t>
  </si>
  <si>
    <t>Favaro, Giulia (IG/EG-8) - IGITMONCL070724</t>
  </si>
  <si>
    <t>ITDGTOC00078222</t>
  </si>
  <si>
    <t>ITDGTOC00078223</t>
  </si>
  <si>
    <t>Lapis222!</t>
  </si>
  <si>
    <t>Lapis223!</t>
  </si>
  <si>
    <t>SAP (TI-SINCRO)</t>
  </si>
  <si>
    <t>IDEX - CP tool - CANoe 17</t>
  </si>
  <si>
    <t>Lapis199!</t>
  </si>
  <si>
    <t>Lapis200!</t>
  </si>
  <si>
    <t>SR3726745</t>
  </si>
  <si>
    <t>13/11/2025 - 14:00</t>
  </si>
  <si>
    <r>
      <rPr>
        <i/>
        <sz val="11"/>
        <color rgb="FF00B050"/>
        <rFont val="Prompt Light"/>
      </rPr>
      <t>IDEX</t>
    </r>
    <r>
      <rPr>
        <i/>
        <sz val="11"/>
        <color rgb="FF00B050"/>
        <rFont val="Prompt Light"/>
      </rPr>
      <t xml:space="preserve"> - CP tool - CANoe 17</t>
    </r>
  </si>
  <si>
    <t>SR3726936</t>
  </si>
  <si>
    <t>SR3726942</t>
  </si>
  <si>
    <t>Spagnolo, Andrea (IG/EL-2) - IGITMONCL069878 - Problema batteria</t>
  </si>
  <si>
    <t>Porta, Andrea Francesco (IG/V) - IGITMONCL077554</t>
  </si>
  <si>
    <t>SR3727144</t>
  </si>
  <si>
    <t>SR3727408</t>
  </si>
  <si>
    <r>
      <rPr>
        <sz val="11"/>
        <color rgb="FF00B050"/>
        <rFont val="Prompt Light"/>
      </rPr>
      <t>Canoe 10 e 18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 xml:space="preserve">Driver Vector </t>
    </r>
    <r>
      <rPr>
        <sz val="11"/>
        <color theme="1"/>
        <rFont val="Prompt Light"/>
      </rPr>
      <t xml:space="preserve">- </t>
    </r>
    <r>
      <rPr>
        <sz val="11"/>
        <color rgb="FF00B050"/>
        <rFont val="Prompt Light"/>
      </rPr>
      <t>EPM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iDex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CpTool</t>
    </r>
  </si>
  <si>
    <t>Vred 2025.3</t>
  </si>
  <si>
    <t>HP Z2 Tower G9</t>
  </si>
  <si>
    <t>SR3728654</t>
  </si>
  <si>
    <t>18/11/2025 - 09:00</t>
  </si>
  <si>
    <t>SR3728660</t>
  </si>
  <si>
    <t>Devolucao368</t>
  </si>
  <si>
    <t>SR3729223</t>
  </si>
  <si>
    <t>Berrino, Roberta (IG/ER-N) - IGITMONCL077370</t>
  </si>
  <si>
    <t>25/11/2025 h 09:00</t>
  </si>
  <si>
    <t>Scognamillo, Daniele (IG/S-31, extern) - ITDGTOL00071253 - SPEDITO</t>
  </si>
  <si>
    <t>Omar</t>
  </si>
  <si>
    <t>Capitanio, Monica Pia (IG/D-S) - IGITMONCL076864</t>
  </si>
  <si>
    <t>Tio 540</t>
  </si>
  <si>
    <t>SR3730600</t>
  </si>
  <si>
    <t>SR3730603</t>
  </si>
  <si>
    <t>Ipabinha</t>
  </si>
  <si>
    <t>SR3730606</t>
  </si>
  <si>
    <t>SR3730609</t>
  </si>
  <si>
    <t>SR3730612</t>
  </si>
  <si>
    <t>SR3730686</t>
  </si>
  <si>
    <t>SR3730689</t>
  </si>
  <si>
    <t>SR3730692</t>
  </si>
  <si>
    <t>SR3730695</t>
  </si>
  <si>
    <t>SR3730698</t>
  </si>
  <si>
    <t>SR3730707</t>
  </si>
  <si>
    <t>SR3730710</t>
  </si>
  <si>
    <t>SR3730713</t>
  </si>
  <si>
    <t>Bianciotto, Katia (IG/S-2) - IGITMONCL076332</t>
  </si>
  <si>
    <r>
      <t xml:space="preserve">Think Cell - Filezilla - </t>
    </r>
    <r>
      <rPr>
        <i/>
        <sz val="11"/>
        <color rgb="FF00B050"/>
        <rFont val="Prompt Light"/>
      </rPr>
      <t>Adobe Writer</t>
    </r>
  </si>
  <si>
    <t>Snapshot downloader, Gimp</t>
  </si>
  <si>
    <t>Brutti, Fabrizio (IG/P-8) - IGITMONCL070625</t>
  </si>
  <si>
    <t>SR3733474</t>
  </si>
  <si>
    <t>SR3733480</t>
  </si>
  <si>
    <t>Pinna, Mirko (IG/P-82) - IGITMONCL069618 - SPEDITO NICHELINO 24.11.2025</t>
  </si>
  <si>
    <t>SPEDITO NICHELINO 24.11.25</t>
  </si>
  <si>
    <t>3398 – BADAMI Andrea (rinomina) – cdc 217 Aerodynamics, Air Conditioning &amp; Thermal management – IG/ER-3 – Empl. Numb. 99398</t>
  </si>
  <si>
    <t>3399 – GRAMAJO Matias (rinomina) – cdc 217 Aerodynamics, Air Conditioning &amp; Thermal management – IG/ER-3 - Empl. Numb. 99399</t>
  </si>
  <si>
    <t>3401 – SARACENO Simone (rinomina) – cdc 276 Exteriors Simulations – IG/ER-N – Empl. Numb. 99401</t>
  </si>
  <si>
    <t>3402 – TURCO Giampaolo Calogero (rinomina) – cdc 239 Architecture &amp; Integration – IG/EG-I – Empl. Numb. 99402</t>
  </si>
  <si>
    <t>3403 – GARREFFA Daniele (rinomina) – cdc 243 EE Validation &amp; Testing – IG/EE-4 – Empl. Numb. 99403</t>
  </si>
  <si>
    <t>3404 – CACCIABUE Daniele – cdc 239 Architecture &amp; Integration – IG/EG-I – Empl. Numb. 99404</t>
  </si>
  <si>
    <r>
      <rPr>
        <sz val="11"/>
        <color rgb="FF00B050"/>
        <rFont val="Prompt Light"/>
      </rPr>
      <t xml:space="preserve">THINK-CELL </t>
    </r>
    <r>
      <rPr>
        <sz val="11"/>
        <color theme="1"/>
        <rFont val="Prompt Light"/>
      </rPr>
      <t xml:space="preserve">– </t>
    </r>
    <r>
      <rPr>
        <sz val="11"/>
        <color rgb="FF00B050"/>
        <rFont val="Prompt Light"/>
      </rPr>
      <t xml:space="preserve">KISTERS 3D VIEW </t>
    </r>
    <r>
      <rPr>
        <sz val="11"/>
        <color theme="1"/>
        <rFont val="Prompt Light"/>
      </rPr>
      <t>- TASTIERA</t>
    </r>
  </si>
  <si>
    <t>SR3733803</t>
  </si>
  <si>
    <t>Bono, Barbara (IG/Q-2) - IGITMONCL071215</t>
  </si>
  <si>
    <t>innovaphone e avigilon</t>
  </si>
  <si>
    <t>Bolognesi, Roberto (IG/SD) - IGITMONCL070447 - Reception</t>
  </si>
  <si>
    <r>
      <rPr>
        <sz val="11"/>
        <color rgb="FF00B050"/>
        <rFont val="Prompt Light"/>
      </rPr>
      <t>Animator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Ansa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Connect</t>
    </r>
    <r>
      <rPr>
        <sz val="11"/>
        <color theme="1"/>
        <rFont val="Prompt Light"/>
      </rPr>
      <t>-Loco-</t>
    </r>
    <r>
      <rPr>
        <sz val="11"/>
        <color rgb="FF00B050"/>
        <rFont val="Prompt Light"/>
      </rPr>
      <t>Kisters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Putty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Citrix</t>
    </r>
    <r>
      <rPr>
        <sz val="11"/>
        <color theme="1"/>
        <rFont val="Prompt Light"/>
      </rPr>
      <t xml:space="preserve"> Gateway per la RG AUDI</t>
    </r>
  </si>
  <si>
    <t>IGITMONCL076332</t>
  </si>
  <si>
    <t>Dominietto, Sara (IG/G)</t>
  </si>
  <si>
    <r>
      <rPr>
        <sz val="11"/>
        <color rgb="FF00B050"/>
        <rFont val="Prompt Light"/>
      </rPr>
      <t>Canape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Idex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CPTool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Canoe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EPM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Citrix</t>
    </r>
  </si>
  <si>
    <t>ODIS, FeeCad, Prusa slicer, Beyond Trust, Trellix, Rufus</t>
  </si>
  <si>
    <t>Bianco, Paolo (IG/EE-2) - IGITMONCL070438 - SPEDIRE IN VIA NIZZA</t>
  </si>
  <si>
    <r>
      <rPr>
        <i/>
        <sz val="11"/>
        <color rgb="FF00B050"/>
        <rFont val="Prompt Light"/>
      </rPr>
      <t>TestStand</t>
    </r>
    <r>
      <rPr>
        <i/>
        <sz val="11"/>
        <color theme="1"/>
        <rFont val="Prompt Light"/>
      </rPr>
      <t xml:space="preserve">, </t>
    </r>
    <r>
      <rPr>
        <i/>
        <sz val="11"/>
        <color rgb="FF00B050"/>
        <rFont val="Prompt Light"/>
      </rPr>
      <t>LabView</t>
    </r>
    <r>
      <rPr>
        <i/>
        <sz val="11"/>
        <color theme="1"/>
        <rFont val="Prompt Light"/>
      </rPr>
      <t xml:space="preserve">, </t>
    </r>
    <r>
      <rPr>
        <i/>
        <sz val="11"/>
        <color rgb="FF00B050"/>
        <rFont val="Prompt Light"/>
      </rPr>
      <t>Python</t>
    </r>
    <r>
      <rPr>
        <i/>
        <sz val="11"/>
        <color theme="1"/>
        <rFont val="Prompt Light"/>
      </rPr>
      <t xml:space="preserve">, </t>
    </r>
    <r>
      <rPr>
        <i/>
        <sz val="11"/>
        <color rgb="FF00B050"/>
        <rFont val="Prompt Light"/>
      </rPr>
      <t>canoe12.0</t>
    </r>
  </si>
  <si>
    <t>Pumilia, Alessandro (IG/P-10) - IGITMONCL070704</t>
  </si>
  <si>
    <t>IGITMONCL071772</t>
  </si>
  <si>
    <r>
      <rPr>
        <sz val="11"/>
        <color rgb="FF00B050"/>
        <rFont val="Prompt Light"/>
      </rPr>
      <t>Adobe Writer</t>
    </r>
    <r>
      <rPr>
        <sz val="11"/>
        <color rgb="FF00B050"/>
        <rFont val="Prompt Light"/>
      </rPr>
      <t xml:space="preserve"> - NO DOCKING</t>
    </r>
  </si>
  <si>
    <r>
      <rPr>
        <i/>
        <sz val="11"/>
        <color rgb="FF00B050"/>
        <rFont val="Prompt Light"/>
      </rPr>
      <t>Catia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Connect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kisters</t>
    </r>
    <r>
      <rPr>
        <i/>
        <sz val="11"/>
        <color theme="1"/>
        <rFont val="Prompt Light"/>
      </rPr>
      <t xml:space="preserve"> - thinkcell</t>
    </r>
  </si>
  <si>
    <t>SR3736118</t>
  </si>
  <si>
    <t>SR3736124</t>
  </si>
  <si>
    <r>
      <t>Matlab2020b-Matlab2023b-</t>
    </r>
    <r>
      <rPr>
        <sz val="11"/>
        <color rgb="FF00B050"/>
        <rFont val="Prompt Light"/>
      </rPr>
      <t>Canape21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Canalyzer15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Canoe10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Canoe15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Canoe16</t>
    </r>
    <r>
      <rPr>
        <sz val="11"/>
        <color theme="1"/>
        <rFont val="Prompt Light"/>
      </rPr>
      <t>-vCDMStudio-</t>
    </r>
    <r>
      <rPr>
        <sz val="11"/>
        <color rgb="FF00B050"/>
        <rFont val="Prompt Light"/>
      </rPr>
      <t>ETAS MDA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VisualStudio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Git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TortoiseGIT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Idex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Odis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CPTool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ODXBrowser</t>
    </r>
    <r>
      <rPr>
        <sz val="11"/>
        <color theme="1"/>
        <rFont val="Prompt Light"/>
      </rPr>
      <t>-ThinkCell</t>
    </r>
  </si>
  <si>
    <t>3905 – ABBASI Ali – cdc 240 User Interface, Infotainment and Connected Car – IG/EE-1 – Empl. Numb. 99905</t>
  </si>
  <si>
    <t>3906 – ABDELRAHMAN Nourhan Ali Kamel (rinomina) – cdc 242 ADAS Development – IG/EE-5 – Empl. Numb. 99906</t>
  </si>
  <si>
    <r>
      <rPr>
        <i/>
        <sz val="11"/>
        <color rgb="FF00B050"/>
        <rFont val="Prompt Light"/>
      </rPr>
      <t>Canoe10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18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VectorDriver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EPM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Idex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CpTool</t>
    </r>
  </si>
  <si>
    <r>
      <rPr>
        <i/>
        <sz val="11"/>
        <color rgb="FF00B050"/>
        <rFont val="Prompt Light"/>
      </rPr>
      <t>Idex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Canoe18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VectorDriver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Wireshark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Canoe10</t>
    </r>
    <r>
      <rPr>
        <i/>
        <sz val="11"/>
        <color theme="1"/>
        <rFont val="Prompt Light"/>
      </rPr>
      <t>+eth+lin-</t>
    </r>
    <r>
      <rPr>
        <i/>
        <sz val="11"/>
        <color rgb="FF00B050"/>
        <rFont val="Prompt Light"/>
      </rPr>
      <t>CpTool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Python3.12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Pycharm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Notepad++</t>
    </r>
  </si>
  <si>
    <r>
      <rPr>
        <i/>
        <sz val="11"/>
        <color rgb="FF00B050"/>
        <rFont val="Prompt Light"/>
      </rPr>
      <t>VSCode</t>
    </r>
    <r>
      <rPr>
        <i/>
        <sz val="11"/>
        <color theme="1"/>
        <rFont val="Prompt Light"/>
      </rPr>
      <t>-Pycharm-</t>
    </r>
    <r>
      <rPr>
        <i/>
        <sz val="11"/>
        <color rgb="FF00B050"/>
        <rFont val="Prompt Light"/>
      </rPr>
      <t>Postman</t>
    </r>
    <r>
      <rPr>
        <i/>
        <sz val="11"/>
        <color theme="1"/>
        <rFont val="Prompt Light"/>
      </rPr>
      <t>-OBS</t>
    </r>
  </si>
  <si>
    <t>Di Lauro, Luigi (IG/EE-3) - IGITMONCL071541 - SPEDIRE IN VIA NIZZA</t>
  </si>
  <si>
    <t>ODIS, iDEX, CP-Tool, AVON, BeyondTrust Privilege Management, 7-zip, Notepad++, Putty, Python, PowerBI, Teraterm, FoxTerm, CANoe, System42, MobaXTerm, adb platform tools</t>
  </si>
  <si>
    <t>3407 – SCIELZO Gabriele (rinomina) – cdc 239 Architecture &amp; Integration – IG/EG-I – Empl. Numb. 99407</t>
  </si>
  <si>
    <t>SR3739505</t>
  </si>
  <si>
    <t>SR3739559</t>
  </si>
  <si>
    <t>IGITMONCL077418</t>
  </si>
  <si>
    <t>Ferrero, Monica (IG/GT-D) - IGITMONCL077571</t>
  </si>
  <si>
    <r>
      <rPr>
        <i/>
        <sz val="11"/>
        <color rgb="FF00B050"/>
        <rFont val="Prompt Light"/>
      </rPr>
      <t>Acrobate Writer</t>
    </r>
    <r>
      <rPr>
        <i/>
        <sz val="11"/>
        <color theme="1"/>
        <rFont val="Prompt Light"/>
      </rPr>
      <t xml:space="preserve"> (non solo Reader), think-cell,</t>
    </r>
    <r>
      <rPr>
        <i/>
        <sz val="11"/>
        <color rgb="FF00B050"/>
        <rFont val="Prompt Light"/>
      </rPr>
      <t xml:space="preserve"> Kisters 3D Viewer, Connect</t>
    </r>
  </si>
  <si>
    <t>Folga188</t>
  </si>
  <si>
    <r>
      <rPr>
        <sz val="11"/>
        <color rgb="FF00B050"/>
        <rFont val="Prompt Light"/>
      </rPr>
      <t>CANape 20</t>
    </r>
    <r>
      <rPr>
        <sz val="11"/>
        <color theme="1"/>
        <rFont val="Prompt Light"/>
      </rPr>
      <t xml:space="preserve">, </t>
    </r>
    <r>
      <rPr>
        <sz val="11"/>
        <color rgb="FF00B050"/>
        <rFont val="Prompt Light"/>
      </rPr>
      <t>CANoe 17</t>
    </r>
    <r>
      <rPr>
        <sz val="11"/>
        <color theme="1"/>
        <rFont val="Prompt Light"/>
      </rPr>
      <t>, Cameo Systems Modeler</t>
    </r>
  </si>
  <si>
    <t>Golpe447</t>
  </si>
  <si>
    <t>IGITMONCD098522</t>
  </si>
  <si>
    <t>IGITMONCD098523</t>
  </si>
  <si>
    <t>IGITMONCD098524</t>
  </si>
  <si>
    <t>IGITMONCD098525</t>
  </si>
  <si>
    <t>IGITMONCD098526</t>
  </si>
  <si>
    <t>Pecchioli, Elena (IG/G)</t>
  </si>
  <si>
    <t>SR3743699</t>
  </si>
  <si>
    <t>3408 – FLORIAN Muriel Valérie (rinomina) – cdc 278 Vehicle Functional Development – IG/EG-Q – Empl. Numb. 99408</t>
  </si>
  <si>
    <t>Ipatinga522</t>
  </si>
  <si>
    <t>Ipatinga523</t>
  </si>
  <si>
    <t>Ipatinga524</t>
  </si>
  <si>
    <t>Ipatinga525</t>
  </si>
  <si>
    <t>Ipatinga526</t>
  </si>
  <si>
    <r>
      <rPr>
        <i/>
        <sz val="11"/>
        <color rgb="FF00B050"/>
        <rFont val="Prompt Light"/>
      </rPr>
      <t>CANoe 16 SP7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VTestStudio 8</t>
    </r>
    <r>
      <rPr>
        <i/>
        <sz val="11"/>
        <color theme="1"/>
        <rFont val="Prompt Light"/>
      </rPr>
      <t xml:space="preserve"> - Python 3.12  - </t>
    </r>
    <r>
      <rPr>
        <i/>
        <sz val="11"/>
        <color rgb="FF00B050"/>
        <rFont val="Prompt Light"/>
      </rPr>
      <t>ADB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EPM</t>
    </r>
  </si>
  <si>
    <t>HP Z2 Mini G9 Workstation Desktop PC</t>
  </si>
  <si>
    <t>Canoe 17 - driver per levelshifter (tipo Germanears) - driver per convertitori ETH-USB - beyond trust - percorso C:\ADB nelle variabili di ambiente di sistema per tutti gli utenti</t>
  </si>
  <si>
    <r>
      <rPr>
        <i/>
        <sz val="11"/>
        <color rgb="FF00B050"/>
        <rFont val="Prompt Light"/>
      </rPr>
      <t>Canoe 17</t>
    </r>
    <r>
      <rPr>
        <i/>
        <sz val="11"/>
        <color theme="1"/>
        <rFont val="Prompt Light"/>
      </rPr>
      <t xml:space="preserve"> - driver per levelshifter (tipo Germanears) - driver per convertitori ETH-USB - beyond trust - percorso C:\ADB nelle variabili di ambiente di sistema per tutti gli utenti</t>
    </r>
  </si>
  <si>
    <t>SR3745357</t>
  </si>
  <si>
    <t>SR3745363</t>
  </si>
  <si>
    <t>SR3745369</t>
  </si>
  <si>
    <t>SR3745375</t>
  </si>
  <si>
    <t>SR3745381</t>
  </si>
  <si>
    <t>SR3745407</t>
  </si>
  <si>
    <t>Vitolo, Carmine (IG/EE-4)</t>
  </si>
  <si>
    <t>Canoe10-18-VectorDriver-EPM-Idex-Cptool</t>
  </si>
  <si>
    <t>3409 – FONTANA Andrea (rinomina) – cdc 242 ADAS Development – IG/EE-5 – Empl. Numb. 9940</t>
  </si>
  <si>
    <t>Ultimaora448</t>
  </si>
  <si>
    <t>SR3745829</t>
  </si>
  <si>
    <t>SR3745847</t>
  </si>
  <si>
    <t>SR3745884</t>
  </si>
  <si>
    <t>SR3745890</t>
  </si>
  <si>
    <t>SR3745896</t>
  </si>
  <si>
    <t>SR3745916</t>
  </si>
  <si>
    <t>Finelli, Antonella (IG/S-31, extern) - IGITMONCL070692</t>
  </si>
  <si>
    <t>IGITMONCL073766</t>
  </si>
  <si>
    <t>HP Zbook</t>
  </si>
  <si>
    <t>Italiano, Azzurra (IG/Q, extern) - IGITMONCL077573 - Display rotto</t>
  </si>
  <si>
    <t>SR3746644</t>
  </si>
  <si>
    <t>ARXivar Next Helpr</t>
  </si>
  <si>
    <t>IGITMONCL070650</t>
  </si>
  <si>
    <t>Badami, Andrea (IG/ER-3)</t>
  </si>
  <si>
    <t>Causo, Corrado (IG/EI-32) - blue screen - IGITMONCL070976</t>
  </si>
  <si>
    <t>Mantione, Elena (IG/S-1) - IGITMONCL073490 - Problema con la rete</t>
  </si>
  <si>
    <t>SR3748816</t>
  </si>
  <si>
    <r>
      <rPr>
        <sz val="11"/>
        <color rgb="FF00B050"/>
        <rFont val="Prompt Light"/>
      </rPr>
      <t>Connect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Catia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Kisters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Cptool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Idex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VisualStudioCode</t>
    </r>
    <r>
      <rPr>
        <sz val="11"/>
        <color theme="1"/>
        <rFont val="Prompt Light"/>
      </rPr>
      <t>-Odis-</t>
    </r>
    <r>
      <rPr>
        <sz val="11"/>
        <color rgb="FF00B050"/>
        <rFont val="Prompt Light"/>
      </rPr>
      <t>ODXBrowser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Python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Canoe10</t>
    </r>
    <r>
      <rPr>
        <sz val="11"/>
        <color theme="1"/>
        <rFont val="Prompt Light"/>
      </rPr>
      <t>_</t>
    </r>
    <r>
      <rPr>
        <sz val="11"/>
        <color rgb="FF00B050"/>
        <rFont val="Prompt Light"/>
      </rPr>
      <t>15_17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EPM</t>
    </r>
  </si>
  <si>
    <t>19/12/25 - 10:00</t>
  </si>
  <si>
    <t>ThinkPad T14 Gen 5</t>
  </si>
  <si>
    <t>Ubuntu fuori dominio</t>
  </si>
  <si>
    <t>SR3750510</t>
  </si>
  <si>
    <t>SR3750522</t>
  </si>
  <si>
    <t>SR3750528</t>
  </si>
  <si>
    <t>SR3750534</t>
  </si>
  <si>
    <t>SR3750540</t>
  </si>
  <si>
    <t>SR3750557</t>
  </si>
  <si>
    <t>SR3750563</t>
  </si>
  <si>
    <t>SR3750569</t>
  </si>
  <si>
    <t>SR3750575</t>
  </si>
  <si>
    <t>Tvarozek, Martin (IG/EG-Q) - IGITMONCL072459</t>
  </si>
  <si>
    <t>SR3751252</t>
  </si>
  <si>
    <t>3410 – CASELLA Michele (rinomina) – cdc 6660 Controlling – IG/F-12 – Empl. Numb. 99410</t>
  </si>
  <si>
    <t>3412 – PEJRANI Martina (stage extracurricolare) – cdc 101 Design Research – IG/D-1 – Empl. Numb. 99412</t>
  </si>
  <si>
    <t>IGITMONCL071375</t>
  </si>
  <si>
    <t>SR3751980</t>
  </si>
  <si>
    <t>Savino, Giuseppe (IG/S) - PC PERSONALE</t>
  </si>
  <si>
    <t>Zbook Z8</t>
  </si>
  <si>
    <t>Manzi, Andrea (IG/B-2) - IGITMONCL070698 - Non si accende</t>
  </si>
  <si>
    <t>Sozinho051</t>
  </si>
  <si>
    <t>Sozinho052</t>
  </si>
  <si>
    <t>Sozinho053</t>
  </si>
  <si>
    <t>Sozinho054</t>
  </si>
  <si>
    <t>Sozinho055</t>
  </si>
  <si>
    <t>Aleinikov, Artiom (IG/S-3) - IGITMONCL071526</t>
  </si>
  <si>
    <t>IGITMONCL078503</t>
  </si>
  <si>
    <t>IGITMONCL078504</t>
  </si>
  <si>
    <t>IGITMONCL078505</t>
  </si>
  <si>
    <t>IGITMONCL078506</t>
  </si>
  <si>
    <t>IGITMONCL078507</t>
  </si>
  <si>
    <t>IGITMONCL078508</t>
  </si>
  <si>
    <t>IGITMONCL078509</t>
  </si>
  <si>
    <t>IGITMONCL078510</t>
  </si>
  <si>
    <t>IGITMONCL078511</t>
  </si>
  <si>
    <t>IGITMONCL073665</t>
  </si>
  <si>
    <t>SR3752538</t>
  </si>
  <si>
    <t>Vasta, Elisa (IG/EE-4) - Reinstallazione. Blue Screen</t>
  </si>
  <si>
    <t>Postazione già con display e docking</t>
  </si>
  <si>
    <t>Language pack ENG-remote desktop per tutti gli utenti di EE-2-Canoe 18-driver FTDI-EPM-CPTool-Idex-Notepad++-WinMerge-Arduino IDE-Python-Putty-WinSCP-TeraTerm</t>
  </si>
  <si>
    <t>SR3756304</t>
  </si>
  <si>
    <t>Sozinho449</t>
  </si>
  <si>
    <t>Sozinho450</t>
  </si>
  <si>
    <t>Sozinho451</t>
  </si>
  <si>
    <t>Sozinho452</t>
  </si>
  <si>
    <t>IGITMONCD078039</t>
  </si>
  <si>
    <t>IGITMONCD078040</t>
  </si>
  <si>
    <t>IGITMONCD078041</t>
  </si>
  <si>
    <t>IGITMONCD078042</t>
  </si>
  <si>
    <t>IGITMONCD078043</t>
  </si>
  <si>
    <t>HP Engage Flex Mini G2 Retail System</t>
  </si>
  <si>
    <t>IGITMONCL076349</t>
  </si>
  <si>
    <t>Problema Webcam Lenovo</t>
  </si>
  <si>
    <t>SR3756999</t>
  </si>
  <si>
    <t>SR3757005</t>
  </si>
  <si>
    <t>SR3757052</t>
  </si>
  <si>
    <t>SR3757064</t>
  </si>
  <si>
    <t>SR3757070</t>
  </si>
  <si>
    <t>IGITMONCL078560</t>
  </si>
  <si>
    <t>IGITMONCL078557</t>
  </si>
  <si>
    <t>IGITMONCL078558</t>
  </si>
  <si>
    <t>IGITMONCL078559</t>
  </si>
  <si>
    <t>IGITMONCD098527</t>
  </si>
  <si>
    <t>IGITMONCD098528</t>
  </si>
  <si>
    <t>IGITMONCD098529</t>
  </si>
  <si>
    <t>Culicchi557</t>
  </si>
  <si>
    <t>Culicchi558</t>
  </si>
  <si>
    <t>SR3757470</t>
  </si>
  <si>
    <t>SR3757476</t>
  </si>
  <si>
    <t>SR3757479</t>
  </si>
  <si>
    <t>SR3757482</t>
  </si>
  <si>
    <t>SR3757370</t>
  </si>
  <si>
    <t>SR3757373</t>
  </si>
  <si>
    <t>ThinkStation P3 Tiny Gen 2</t>
  </si>
  <si>
    <t>Novolenovo527</t>
  </si>
  <si>
    <t>Novolenovo528</t>
  </si>
  <si>
    <t>Novolenovo529</t>
  </si>
  <si>
    <t>SR3757564</t>
  </si>
  <si>
    <t>SR3757570</t>
  </si>
  <si>
    <t>SR3757573</t>
  </si>
  <si>
    <t>HP ZBook Fury G1i 16 ITA 64GB</t>
  </si>
  <si>
    <t>SR3759467</t>
  </si>
  <si>
    <t>Cristiano, Vittorio (IG/S-31, extern)</t>
  </si>
  <si>
    <t>Culicchi78559!*</t>
  </si>
  <si>
    <t>Culicchi78560!*</t>
  </si>
  <si>
    <t xml:space="preserve">Dubian, Thomas (IDD/EE-5) - IGITMONCL070529 - SPEDIRE Gaimersheim </t>
  </si>
  <si>
    <t>Luppo, Rosamaria (IG/P-7) - IGITMONCL070627</t>
  </si>
  <si>
    <t>SR3760490</t>
  </si>
  <si>
    <t>Vontadedechorar201</t>
  </si>
  <si>
    <t>IGDEWOBCL078201</t>
  </si>
  <si>
    <r>
      <rPr>
        <i/>
        <sz val="11"/>
        <color rgb="FF00B050"/>
        <rFont val="Prompt Light"/>
      </rPr>
      <t>CPTOOL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GIT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IDEX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VSCODE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NOTEPAD++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PYTHON</t>
    </r>
    <r>
      <rPr>
        <i/>
        <sz val="11"/>
        <color theme="1"/>
        <rFont val="Prompt Light"/>
      </rPr>
      <t xml:space="preserve">- TEAMVIEWER- </t>
    </r>
    <r>
      <rPr>
        <i/>
        <sz val="11"/>
        <color rgb="FF00B050"/>
        <rFont val="Prompt Light"/>
      </rPr>
      <t>TIGHTVNC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TORTOISEGIT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CANOE 17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VTESTSTUDIO8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WINSCP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WIRESHARK</t>
    </r>
  </si>
  <si>
    <r>
      <rPr>
        <i/>
        <sz val="11"/>
        <color rgb="FF00B050"/>
        <rFont val="Prompt Light"/>
      </rPr>
      <t>CPTOOL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GIT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IDEX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VSCODE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NOTEPAD++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PYTHON</t>
    </r>
    <r>
      <rPr>
        <i/>
        <sz val="11"/>
        <color theme="1"/>
        <rFont val="Prompt Light"/>
      </rPr>
      <t xml:space="preserve">- TEAMVIEWER- </t>
    </r>
    <r>
      <rPr>
        <i/>
        <sz val="11"/>
        <color rgb="FF00B050"/>
        <rFont val="Prompt Light"/>
      </rPr>
      <t>TIGHTVNC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TORTOISEGIT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CANOE</t>
    </r>
    <r>
      <rPr>
        <i/>
        <sz val="11"/>
        <color theme="1"/>
        <rFont val="Prompt Light"/>
      </rPr>
      <t xml:space="preserve"> </t>
    </r>
    <r>
      <rPr>
        <i/>
        <sz val="11"/>
        <color rgb="FF00B050"/>
        <rFont val="Prompt Light"/>
      </rPr>
      <t>17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VTESTSTUDIO8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WINSCP</t>
    </r>
    <r>
      <rPr>
        <i/>
        <sz val="11"/>
        <color theme="1"/>
        <rFont val="Prompt Light"/>
      </rPr>
      <t xml:space="preserve">- </t>
    </r>
    <r>
      <rPr>
        <i/>
        <sz val="11"/>
        <color rgb="FF00B050"/>
        <rFont val="Prompt Light"/>
      </rPr>
      <t>WIRESHARK</t>
    </r>
  </si>
  <si>
    <r>
      <rPr>
        <i/>
        <sz val="11"/>
        <color rgb="FF00B050"/>
        <rFont val="Prompt Light"/>
      </rPr>
      <t>Rhino 3D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Blender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Keyshot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Photoshop - Illustrator - Vred</t>
    </r>
    <r>
      <rPr>
        <i/>
        <sz val="11"/>
        <color theme="1"/>
        <rFont val="Prompt Light"/>
      </rPr>
      <t xml:space="preserve"> - Fusion 360</t>
    </r>
  </si>
  <si>
    <t>Gonella, Lorenzo (IG/EG-I) - Reinstallazione</t>
  </si>
  <si>
    <t>SR3763731</t>
  </si>
  <si>
    <r>
      <rPr>
        <i/>
        <sz val="11"/>
        <color rgb="FF00B050"/>
        <rFont val="Prompt Light"/>
      </rPr>
      <t>Idex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CP-Tool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Citrix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Canoe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preevision</t>
    </r>
  </si>
  <si>
    <r>
      <rPr>
        <sz val="11"/>
        <color rgb="FF00B050"/>
        <rFont val="Prompt Light"/>
      </rPr>
      <t>Autodesk Maya</t>
    </r>
    <r>
      <rPr>
        <sz val="11"/>
        <color theme="1"/>
        <rFont val="Prompt Light"/>
      </rPr>
      <t xml:space="preserve">- </t>
    </r>
    <r>
      <rPr>
        <sz val="11"/>
        <color rgb="FF00B050"/>
        <rFont val="Prompt Light"/>
      </rPr>
      <t>VRED</t>
    </r>
    <r>
      <rPr>
        <sz val="11"/>
        <color theme="1"/>
        <rFont val="Prompt Light"/>
      </rPr>
      <t xml:space="preserve">- </t>
    </r>
    <r>
      <rPr>
        <sz val="11"/>
        <color rgb="FF00B050"/>
        <rFont val="Prompt Light"/>
      </rPr>
      <t>OBS</t>
    </r>
    <r>
      <rPr>
        <sz val="11"/>
        <color theme="1"/>
        <rFont val="Prompt Light"/>
      </rPr>
      <t xml:space="preserve">- </t>
    </r>
    <r>
      <rPr>
        <sz val="11"/>
        <color rgb="FF00B050"/>
        <rFont val="Prompt Light"/>
      </rPr>
      <t>Unreal Engine 5.7 - Unity Hub</t>
    </r>
  </si>
  <si>
    <r>
      <rPr>
        <sz val="11"/>
        <color rgb="FF00B050"/>
        <rFont val="Prompt Light"/>
      </rPr>
      <t>Photoshop</t>
    </r>
    <r>
      <rPr>
        <sz val="11"/>
        <color theme="1"/>
        <rFont val="Prompt Light"/>
      </rPr>
      <t xml:space="preserve">- </t>
    </r>
    <r>
      <rPr>
        <sz val="11"/>
        <color rgb="FF00B050"/>
        <rFont val="Prompt Light"/>
      </rPr>
      <t>Illustrator</t>
    </r>
    <r>
      <rPr>
        <sz val="11"/>
        <color theme="1"/>
        <rFont val="Prompt Light"/>
      </rPr>
      <t xml:space="preserve">- </t>
    </r>
    <r>
      <rPr>
        <sz val="11"/>
        <color rgb="FF00B050"/>
        <rFont val="Prompt Light"/>
      </rPr>
      <t>VRED 2023.4</t>
    </r>
    <r>
      <rPr>
        <sz val="11"/>
        <color theme="1"/>
        <rFont val="Prompt Light"/>
      </rPr>
      <t xml:space="preserve">- </t>
    </r>
    <r>
      <rPr>
        <sz val="11"/>
        <color rgb="FF00B050"/>
        <rFont val="Prompt Light"/>
      </rPr>
      <t>2025.3</t>
    </r>
    <r>
      <rPr>
        <sz val="11"/>
        <color theme="1"/>
        <rFont val="Prompt Light"/>
      </rPr>
      <t xml:space="preserve">- Unity Editor- </t>
    </r>
    <r>
      <rPr>
        <sz val="11"/>
        <color rgb="FF00B050"/>
        <rFont val="Prompt Light"/>
      </rPr>
      <t>Unity Hub</t>
    </r>
    <r>
      <rPr>
        <sz val="11"/>
        <color theme="1"/>
        <rFont val="Prompt Light"/>
      </rPr>
      <t xml:space="preserve">- </t>
    </r>
    <r>
      <rPr>
        <sz val="11"/>
        <color rgb="FF00B050"/>
        <rFont val="Prompt Light"/>
      </rPr>
      <t>Unreal Engine</t>
    </r>
  </si>
  <si>
    <r>
      <rPr>
        <sz val="11"/>
        <color rgb="FF00B050"/>
        <rFont val="Prompt Light"/>
      </rPr>
      <t>Maya</t>
    </r>
    <r>
      <rPr>
        <sz val="11"/>
        <color theme="1"/>
        <rFont val="Prompt Light"/>
      </rPr>
      <t xml:space="preserve">+Vray - </t>
    </r>
    <r>
      <rPr>
        <sz val="11"/>
        <color rgb="FF00B050"/>
        <rFont val="Prompt Light"/>
      </rPr>
      <t>VRED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Alias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Creative Cloud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Unreal Engine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Unity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Keyshot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Blender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Rhinoceros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Maxon</t>
    </r>
    <r>
      <rPr>
        <sz val="11"/>
        <color theme="1"/>
        <rFont val="Prompt Light"/>
      </rPr>
      <t xml:space="preserve"> app e relativi plugin - Meta questa link - </t>
    </r>
    <r>
      <rPr>
        <sz val="11"/>
        <color rgb="FF00B050"/>
        <rFont val="Prompt Light"/>
      </rPr>
      <t>Steam</t>
    </r>
    <r>
      <rPr>
        <sz val="11"/>
        <color theme="1"/>
        <rFont val="Prompt Light"/>
      </rPr>
      <t xml:space="preserve">  -</t>
    </r>
    <r>
      <rPr>
        <sz val="11"/>
        <color rgb="FF00B050"/>
        <rFont val="Prompt Light"/>
      </rPr>
      <t xml:space="preserve"> Steam vr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Obs Studio</t>
    </r>
    <r>
      <rPr>
        <sz val="11"/>
        <color theme="1"/>
        <rFont val="Prompt Light"/>
      </rPr>
      <t xml:space="preserve"> - </t>
    </r>
    <r>
      <rPr>
        <sz val="11"/>
        <color rgb="FF00B050"/>
        <rFont val="Prompt Light"/>
      </rPr>
      <t>Icem</t>
    </r>
  </si>
  <si>
    <r>
      <rPr>
        <sz val="11"/>
        <color rgb="FF00B050"/>
        <rFont val="Prompt Light"/>
      </rPr>
      <t>Visio</t>
    </r>
    <r>
      <rPr>
        <sz val="11"/>
        <color theme="1"/>
        <rFont val="Prompt Light"/>
      </rPr>
      <t>-ThinkCell-</t>
    </r>
    <r>
      <rPr>
        <sz val="11"/>
        <color rgb="FF00B050"/>
        <rFont val="Prompt Light"/>
      </rPr>
      <t>Notepad++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Canoe10</t>
    </r>
    <r>
      <rPr>
        <sz val="11"/>
        <color theme="1"/>
        <rFont val="Prompt Light"/>
      </rPr>
      <t>/</t>
    </r>
    <r>
      <rPr>
        <sz val="11"/>
        <color rgb="FF00B050"/>
        <rFont val="Prompt Light"/>
      </rPr>
      <t>17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Canape21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Idex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Odis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CpTool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VisualStudioCode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Python</t>
    </r>
    <r>
      <rPr>
        <sz val="11"/>
        <color theme="1"/>
        <rFont val="Prompt Light"/>
      </rPr>
      <t>-gruppoVAS</t>
    </r>
  </si>
  <si>
    <t>SR3769797</t>
  </si>
  <si>
    <t>SR3769800</t>
  </si>
  <si>
    <t>Antenozio, Andrea (IG/EE-5) - IGITMONCL077442</t>
  </si>
  <si>
    <t>Bellusci, Marco (IG/EE-2) - IGITMONCL071226</t>
  </si>
  <si>
    <t>Crillino78197</t>
  </si>
  <si>
    <t>Crillino78198</t>
  </si>
  <si>
    <t>SR3770429</t>
  </si>
  <si>
    <t>3415 – CAPOBIANCO Lorenzo – cdc 276 Exteriors Numerical Simulations – IG/ER-N – Empl. Numb. 99415</t>
  </si>
  <si>
    <t>Peretti, Fabio (IG/P-71) muletto office per trasferta USA</t>
  </si>
  <si>
    <t>Siciliano, Luca (IG/EL-2) - IGITMONCL077320 - Nichelino</t>
  </si>
  <si>
    <t>Cuccurullo, Simone Antonio Giuseppe (IG/ER-S) - IGITMONCL076543</t>
  </si>
  <si>
    <t>Pirri, Fabio (IG/D-S) - IGITMONCL071313</t>
  </si>
  <si>
    <t>Carena, Sergio (IG/ER-S) - IGITMONCL076788</t>
  </si>
  <si>
    <t>Maya+Vray - VRED - Alias - Creative Cloud - Unreal Engine - Unity - Keyshot - Blender - Rhinoceros - Maxon app e relativi plugin - Meta questa link - Steam  - Steam vr - Obs Studio - Icem - Artec Studio 20 Professional - 3DSMAX zbrush - Driver XP-PEN</t>
  </si>
  <si>
    <t>Calindri78202!!</t>
  </si>
  <si>
    <t>SR3775839</t>
  </si>
  <si>
    <t>SR3775845</t>
  </si>
  <si>
    <t xml:space="preserve">      </t>
  </si>
  <si>
    <t>ClearNet78205</t>
  </si>
  <si>
    <t>ClearNet78203</t>
  </si>
  <si>
    <t>ClearNet78204</t>
  </si>
  <si>
    <t>SR3775851</t>
  </si>
  <si>
    <t>Cassieri, Rocco (IG/S-31) - IGITMONCL069158</t>
  </si>
  <si>
    <t>SR3776455</t>
  </si>
  <si>
    <t>De Sanctis, Marco (IG/S-31, extern)</t>
  </si>
  <si>
    <t>Scognamillo</t>
  </si>
  <si>
    <t>IGITMONCL071253</t>
  </si>
  <si>
    <t>SR3777003</t>
  </si>
  <si>
    <t>IGITMONCD073353</t>
  </si>
  <si>
    <t>SR3777009</t>
  </si>
  <si>
    <t>Marchioro, Samuele (IG/EI-33, extern)</t>
  </si>
  <si>
    <t>Canis, Claudio (IG/P-83)</t>
  </si>
  <si>
    <t>SR3777644</t>
  </si>
  <si>
    <t>Loco (Vito) - ANSA 24 - META 25 - Animator4 2.6.2</t>
  </si>
  <si>
    <t>Enrico</t>
  </si>
  <si>
    <t>SR3779431</t>
  </si>
  <si>
    <r>
      <rPr>
        <sz val="11"/>
        <color rgb="FF00B050"/>
        <rFont val="Prompt Light"/>
      </rPr>
      <t xml:space="preserve">Android Studio (software center, Android SDK
BeyondTrust per modifica indirizzi iPv4 e iPv6 delle reti
CP Tool (Software Center)
IDEX (Software Center)
Keepass </t>
    </r>
    <r>
      <rPr>
        <sz val="11"/>
        <color theme="1"/>
        <rFont val="Prompt Light"/>
      </rPr>
      <t xml:space="preserve">
</t>
    </r>
    <r>
      <rPr>
        <sz val="11"/>
        <color rgb="FF00B050"/>
        <rFont val="Prompt Light"/>
      </rPr>
      <t>Notepad</t>
    </r>
    <r>
      <rPr>
        <sz val="11"/>
        <color theme="1"/>
        <rFont val="Prompt Light"/>
      </rPr>
      <t xml:space="preserve">++ (Software Center)
</t>
    </r>
    <r>
      <rPr>
        <sz val="11"/>
        <color rgb="FF00B050"/>
        <rFont val="Prompt Light"/>
      </rPr>
      <t>Phyton</t>
    </r>
    <r>
      <rPr>
        <sz val="11"/>
        <color theme="1"/>
        <rFont val="Prompt Light"/>
      </rPr>
      <t xml:space="preserve"> (Software Center)
</t>
    </r>
    <r>
      <rPr>
        <sz val="11"/>
        <color rgb="FF00B050"/>
        <rFont val="Prompt Light"/>
      </rPr>
      <t>Postman</t>
    </r>
    <r>
      <rPr>
        <sz val="11"/>
        <color theme="1"/>
        <rFont val="Prompt Light"/>
      </rPr>
      <t xml:space="preserve"> (Software Center)
</t>
    </r>
    <r>
      <rPr>
        <sz val="11"/>
        <color rgb="FF00B050"/>
        <rFont val="Prompt Light"/>
      </rPr>
      <t>Putty</t>
    </r>
    <r>
      <rPr>
        <sz val="11"/>
        <color theme="1"/>
        <rFont val="Prompt Light"/>
      </rPr>
      <t xml:space="preserve"> (Software Center)
Rust
</t>
    </r>
    <r>
      <rPr>
        <sz val="11"/>
        <color rgb="FF00B050"/>
        <rFont val="Prompt Light"/>
      </rPr>
      <t>Think-cell</t>
    </r>
    <r>
      <rPr>
        <sz val="11"/>
        <color theme="1"/>
        <rFont val="Prompt Light"/>
      </rPr>
      <t xml:space="preserve">
</t>
    </r>
    <r>
      <rPr>
        <sz val="11"/>
        <color rgb="FF00B050"/>
        <rFont val="Prompt Light"/>
      </rPr>
      <t>Vector CANoe 19
VLC</t>
    </r>
    <r>
      <rPr>
        <sz val="11"/>
        <color theme="1"/>
        <rFont val="Prompt Light"/>
      </rPr>
      <t xml:space="preserve">
</t>
    </r>
    <r>
      <rPr>
        <sz val="11"/>
        <color rgb="FF00B050"/>
        <rFont val="Prompt Light"/>
      </rPr>
      <t>Visual Studio C++ Development toolkit</t>
    </r>
    <r>
      <rPr>
        <sz val="11"/>
        <color theme="1"/>
        <rFont val="Prompt Light"/>
      </rPr>
      <t xml:space="preserve">
</t>
    </r>
    <r>
      <rPr>
        <sz val="11"/>
        <color rgb="FF00B050"/>
        <rFont val="Prompt Light"/>
      </rPr>
      <t>WinSCP</t>
    </r>
    <r>
      <rPr>
        <sz val="11"/>
        <color theme="1"/>
        <rFont val="Prompt Light"/>
      </rPr>
      <t xml:space="preserve"> (Software Center)
</t>
    </r>
    <r>
      <rPr>
        <sz val="11"/>
        <color rgb="FF00B050"/>
        <rFont val="Prompt Light"/>
      </rPr>
      <t>Wireshark</t>
    </r>
    <r>
      <rPr>
        <sz val="11"/>
        <color theme="1"/>
        <rFont val="Prompt Light"/>
      </rPr>
      <t xml:space="preserve"> (Software Center)</t>
    </r>
  </si>
  <si>
    <t>Mantoni, Sofia (IG/S-3, extern) - IGITMONCL069630</t>
  </si>
  <si>
    <t>Adobe Writer - il vecchio pc rimane per Deloitte</t>
  </si>
  <si>
    <t>IGITMONCL072446</t>
  </si>
  <si>
    <t>IGITMONCL070766</t>
  </si>
  <si>
    <t>Muletto Office IDG Moncalieri</t>
  </si>
  <si>
    <t>Muletto CAD IDG Moncalieri</t>
  </si>
  <si>
    <t>SR3782130</t>
  </si>
  <si>
    <t>Marco</t>
  </si>
  <si>
    <t>SR3782275</t>
  </si>
  <si>
    <t>SR3782285</t>
  </si>
  <si>
    <t>SR3782295</t>
  </si>
  <si>
    <r>
      <rPr>
        <sz val="11"/>
        <color rgb="FF00B050"/>
        <rFont val="Prompt Light"/>
      </rPr>
      <t>iDex</t>
    </r>
    <r>
      <rPr>
        <sz val="11"/>
        <color theme="1"/>
        <rFont val="Prompt Light"/>
      </rPr>
      <t xml:space="preserve">, </t>
    </r>
    <r>
      <rPr>
        <sz val="11"/>
        <color rgb="FF00B050"/>
        <rFont val="Prompt Light"/>
      </rPr>
      <t>Audi Workbench 4.0 Live</t>
    </r>
    <r>
      <rPr>
        <sz val="11"/>
        <color theme="1"/>
        <rFont val="Prompt Light"/>
      </rPr>
      <t xml:space="preserve">, checkIT² </t>
    </r>
  </si>
  <si>
    <t>SR3782904</t>
  </si>
  <si>
    <t>Buttignoni, Enrico (IG/P-63) - ITDGTOL00063876 -  PC di dipartimento</t>
  </si>
  <si>
    <t>IGITMONCL076486</t>
  </si>
  <si>
    <t>IGITMONCL076358</t>
  </si>
  <si>
    <t>IGITMONCL072760</t>
  </si>
  <si>
    <t>IGITMONCL071380</t>
  </si>
  <si>
    <t>IGITMONCL072753</t>
  </si>
  <si>
    <t>Becchio, Corrado (IG/V) - IGITMONCL077421 - Su autorizzazione di Saracco (vedi mail del 12/02)</t>
  </si>
  <si>
    <t>Gimp - Acrobat</t>
  </si>
  <si>
    <t>Minelli, Pietro (IG/EE-2) - IGITMONCL070599 - Su approvazione di Saracco</t>
  </si>
  <si>
    <t>3420 – SUJITKUMAR PATIL Ratuia – cdc 240 User Interface, Infotainment and Connected Car – IG/EE-3 – Empl. Numb. 99420</t>
  </si>
  <si>
    <t>EPM</t>
  </si>
  <si>
    <t>SR3791499</t>
  </si>
  <si>
    <t>SR3791505</t>
  </si>
  <si>
    <t>Longobardi Jacopo - (IG/V)</t>
  </si>
  <si>
    <t>SR3792022</t>
  </si>
  <si>
    <t>Creative Cloud</t>
  </si>
  <si>
    <t>Landro, Fabio (IG/S-3, extern)</t>
  </si>
  <si>
    <t>SR3792746</t>
  </si>
  <si>
    <t>3423 – PAUTASSI Paolo (rinomina) – cdc 290 Engineering Project Management – IG/GT-E – Empl. Numb. 99423</t>
  </si>
  <si>
    <t>3422 – FACCO Alessia – cdc 240 User Interface, Infotainment and Connected Car – IG/EE-1 – Empl. Numb. 99422</t>
  </si>
  <si>
    <t>3425 – ARICI Riccardo – cdc 240 User Interface, Infotainment and Connected Car – IG/EE-1 – Empl. Numb. 99425</t>
  </si>
  <si>
    <t>Musmeci, Ettore (IG/EE-3) - Pc di dipartimento</t>
  </si>
  <si>
    <t>Tarello503</t>
  </si>
  <si>
    <t>Tarello509</t>
  </si>
  <si>
    <t>SR3796347</t>
  </si>
  <si>
    <t>SR3796355</t>
  </si>
  <si>
    <t>Suite Adobe Full</t>
  </si>
  <si>
    <t>424 – DUBRAY Titouan – cdc 290 Engineering Project Management – IG/GT-E – Empl. Numb. 99424</t>
  </si>
  <si>
    <t>Labarbuta, Nicoletta (IG/EI-33) - IGITMONCL069756</t>
  </si>
  <si>
    <t>IGITMONCL073495</t>
  </si>
  <si>
    <r>
      <t>Giorgi, Lorenzo (IG/EE-5) – in dominio</t>
    </r>
    <r>
      <rPr>
        <i/>
        <sz val="11"/>
        <color theme="1"/>
        <rFont val="Aptos"/>
        <family val="2"/>
      </rPr>
      <t xml:space="preserve"> -&gt; creazione di un nuovo banco prova</t>
    </r>
  </si>
  <si>
    <t>SR3797768</t>
  </si>
  <si>
    <t>SR3797771</t>
  </si>
  <si>
    <t>SR3797776</t>
  </si>
  <si>
    <t>Di marzio, Chiara (IG/V-P, extern) - IGITMONCL072761 - su approvazione di Saracco</t>
  </si>
  <si>
    <t>SR3798948</t>
  </si>
  <si>
    <t>IGITMONCD078406</t>
  </si>
  <si>
    <t>IGITMONCD078407</t>
  </si>
  <si>
    <t>IGITMONCD078409</t>
  </si>
  <si>
    <t>IGITMONCD078410</t>
  </si>
  <si>
    <r>
      <t xml:space="preserve">Fragassi, Davide (IG/EE-5) - </t>
    </r>
    <r>
      <rPr>
        <b/>
        <i/>
        <sz val="11"/>
        <color theme="1"/>
        <rFont val="Prompt Light"/>
      </rPr>
      <t>fuori dominio</t>
    </r>
    <r>
      <rPr>
        <i/>
        <sz val="11"/>
        <color theme="1"/>
        <rFont val="Aptos"/>
        <family val="2"/>
      </rPr>
      <t xml:space="preserve"> </t>
    </r>
    <r>
      <rPr>
        <i/>
        <sz val="11"/>
        <color theme="1"/>
        <rFont val="Wingdings"/>
        <charset val="2"/>
      </rPr>
      <t>à</t>
    </r>
    <r>
      <rPr>
        <i/>
        <sz val="11"/>
        <color theme="1"/>
        <rFont val="Aptos"/>
        <family val="2"/>
      </rPr>
      <t xml:space="preserve"> test di dati REM</t>
    </r>
  </si>
  <si>
    <r>
      <t xml:space="preserve">Rosso, Nicola (IG/EE-5) - </t>
    </r>
    <r>
      <rPr>
        <b/>
        <i/>
        <sz val="11"/>
        <color theme="1"/>
        <rFont val="Prompt Light"/>
      </rPr>
      <t>fuori dominio</t>
    </r>
    <r>
      <rPr>
        <i/>
        <sz val="11"/>
        <color theme="1"/>
        <rFont val="Aptos"/>
        <family val="2"/>
      </rPr>
      <t xml:space="preserve"> </t>
    </r>
    <r>
      <rPr>
        <i/>
        <sz val="11"/>
        <color theme="1"/>
        <rFont val="Wingdings"/>
        <charset val="2"/>
      </rPr>
      <t>à</t>
    </r>
    <r>
      <rPr>
        <i/>
        <sz val="11"/>
        <color theme="1"/>
        <rFont val="Aptos"/>
        <family val="2"/>
      </rPr>
      <t xml:space="preserve"> PACC testing e post-processing</t>
    </r>
  </si>
  <si>
    <r>
      <t>Speca, Federica (IG/EE-5) –</t>
    </r>
    <r>
      <rPr>
        <b/>
        <i/>
        <sz val="11"/>
        <color theme="1"/>
        <rFont val="Prompt Light"/>
      </rPr>
      <t xml:space="preserve"> fuori dominio</t>
    </r>
    <r>
      <rPr>
        <i/>
        <sz val="11"/>
        <color theme="1"/>
        <rFont val="Aptos"/>
        <family val="2"/>
      </rPr>
      <t xml:space="preserve"> -&gt; come PC di Kevin per Lambo</t>
    </r>
  </si>
  <si>
    <r>
      <rPr>
        <i/>
        <sz val="11"/>
        <color rgb="FF00B050"/>
        <rFont val="Prompt Light"/>
      </rPr>
      <t>Adobe Photoshop, Illustrator</t>
    </r>
    <r>
      <rPr>
        <i/>
        <sz val="11"/>
        <rFont val="Prompt Light"/>
      </rPr>
      <t>, Indesign,</t>
    </r>
    <r>
      <rPr>
        <i/>
        <sz val="11"/>
        <color rgb="FF00B050"/>
        <rFont val="Prompt Light"/>
      </rPr>
      <t xml:space="preserve"> Premiere Pro</t>
    </r>
    <r>
      <rPr>
        <i/>
        <sz val="11"/>
        <rFont val="Prompt Light"/>
      </rPr>
      <t xml:space="preserve">, After Effects, </t>
    </r>
    <r>
      <rPr>
        <i/>
        <sz val="11"/>
        <color rgb="FF00B050"/>
        <rFont val="Prompt Light"/>
      </rPr>
      <t>Rhinoceros</t>
    </r>
    <r>
      <rPr>
        <i/>
        <sz val="11"/>
        <rFont val="Prompt Light"/>
      </rPr>
      <t xml:space="preserve">, </t>
    </r>
    <r>
      <rPr>
        <i/>
        <sz val="11"/>
        <color rgb="FF00B050"/>
        <rFont val="Prompt Light"/>
      </rPr>
      <t>Keyshot</t>
    </r>
    <r>
      <rPr>
        <i/>
        <sz val="11"/>
        <rFont val="Prompt Light"/>
      </rPr>
      <t xml:space="preserve"> e </t>
    </r>
    <r>
      <rPr>
        <i/>
        <sz val="11"/>
        <color rgb="FF00B050"/>
        <rFont val="Prompt Light"/>
      </rPr>
      <t>Vred</t>
    </r>
  </si>
  <si>
    <t>SR3800875</t>
  </si>
  <si>
    <t>SR3801652</t>
  </si>
  <si>
    <r>
      <rPr>
        <i/>
        <sz val="11"/>
        <color rgb="FF00B050"/>
        <rFont val="Prompt Light"/>
      </rPr>
      <t>Canoe10 - EPM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ThinkCell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PowerBI</t>
    </r>
    <r>
      <rPr>
        <i/>
        <sz val="11"/>
        <color theme="1"/>
        <rFont val="Prompt Light"/>
      </rPr>
      <t xml:space="preserve"> -</t>
    </r>
    <r>
      <rPr>
        <i/>
        <sz val="11"/>
        <color rgb="FF00B050"/>
        <rFont val="Prompt Light"/>
      </rPr>
      <t xml:space="preserve"> Driver FTDI</t>
    </r>
  </si>
  <si>
    <t>Reinstallazione</t>
  </si>
  <si>
    <t>SR3802536</t>
  </si>
  <si>
    <t>IGITMONCL073128</t>
  </si>
  <si>
    <t>3426 – D’ELIA Alessia (rinomina) – cdc 252 Concept Development - IG/EG-C – Empl. Numb. 99426</t>
  </si>
  <si>
    <t>Toso, Daniele (IG/EG-Q) - IGITMONCL069611 - Problema batteria</t>
  </si>
  <si>
    <t>SR3804036</t>
  </si>
  <si>
    <t>Alpos - Checkit - Idex</t>
  </si>
  <si>
    <t>D Andrea, Giuseppe (IG/EI-1) - IGITMONCL071370 - Schermo guasto</t>
  </si>
  <si>
    <t>10/03/26 - 09:00</t>
  </si>
  <si>
    <t>IGITMONCL072761</t>
  </si>
  <si>
    <t>SR3808428</t>
  </si>
  <si>
    <r>
      <rPr>
        <i/>
        <sz val="11"/>
        <color rgb="FF00B050"/>
        <rFont val="Prompt Light"/>
      </rPr>
      <t>Catia V5</t>
    </r>
    <r>
      <rPr>
        <i/>
        <sz val="11"/>
        <color theme="1"/>
        <rFont val="Prompt Light"/>
      </rPr>
      <t xml:space="preserve">, </t>
    </r>
    <r>
      <rPr>
        <i/>
        <sz val="11"/>
        <color rgb="FF00B050"/>
        <rFont val="Prompt Light"/>
      </rPr>
      <t>Kinovea</t>
    </r>
    <r>
      <rPr>
        <i/>
        <sz val="11"/>
        <color theme="1"/>
        <rFont val="Prompt Light"/>
      </rPr>
      <t xml:space="preserve">, Pointofix Version 1.8.0.2017.11, </t>
    </r>
    <r>
      <rPr>
        <i/>
        <sz val="11"/>
        <color rgb="FF00B050"/>
        <rFont val="Prompt Light"/>
      </rPr>
      <t>SAP</t>
    </r>
    <r>
      <rPr>
        <i/>
        <sz val="11"/>
        <color theme="1"/>
        <rFont val="Prompt Light"/>
      </rPr>
      <t xml:space="preserve">, </t>
    </r>
    <r>
      <rPr>
        <i/>
        <sz val="11"/>
        <color rgb="FF00B050"/>
        <rFont val="Prompt Light"/>
      </rPr>
      <t>Connect</t>
    </r>
    <r>
      <rPr>
        <i/>
        <sz val="11"/>
        <color theme="1"/>
        <rFont val="Prompt Light"/>
      </rPr>
      <t xml:space="preserve">, Thinkcell, </t>
    </r>
    <r>
      <rPr>
        <i/>
        <sz val="11"/>
        <color rgb="FF00B050"/>
        <rFont val="Prompt Light"/>
      </rPr>
      <t>AVON, TEVON</t>
    </r>
    <r>
      <rPr>
        <i/>
        <sz val="11"/>
        <color theme="1"/>
        <rFont val="Prompt Light"/>
      </rPr>
      <t xml:space="preserve">, </t>
    </r>
    <r>
      <rPr>
        <i/>
        <sz val="11"/>
        <color rgb="FF00B050"/>
        <rFont val="Prompt Light"/>
      </rPr>
      <t>Jabra_Evolve2_65-v2.7.7-ev265Duo-vector.zip</t>
    </r>
  </si>
  <si>
    <t>3428 – NOROCEA Andrei (rinomina) – cdc 240 User Interface, Infotainment and Connected Car – IG/EE-2 – Empl. Numb. 99428</t>
  </si>
  <si>
    <t>Bianco, Paolo (IG/EE-2) - Win11 Fuori Dominio</t>
  </si>
  <si>
    <t>SR3811722</t>
  </si>
  <si>
    <t>Clear78504</t>
  </si>
  <si>
    <t>3429 – LAPIANA Mirko (rinomina) – cdc 284 Interiors Development – IG/EI-33 - Empl. Numb. 99429 </t>
  </si>
  <si>
    <t>Ultimo320!</t>
  </si>
  <si>
    <t>IGITMONCL072444</t>
  </si>
  <si>
    <t>EliteBook 840 G8</t>
  </si>
  <si>
    <t>SR3814349</t>
  </si>
  <si>
    <t>SR3814363</t>
  </si>
  <si>
    <r>
      <rPr>
        <i/>
        <sz val="11"/>
        <color rgb="FF00B050"/>
        <rFont val="Prompt Light"/>
      </rPr>
      <t>Catia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Connect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ThinkCell</t>
    </r>
  </si>
  <si>
    <r>
      <rPr>
        <sz val="11"/>
        <color rgb="FF00B050"/>
        <rFont val="Prompt Light"/>
      </rPr>
      <t>CpTool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WinSCP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Notepad</t>
    </r>
    <r>
      <rPr>
        <sz val="11"/>
        <color theme="1"/>
        <rFont val="Prompt Light"/>
      </rPr>
      <t>++-</t>
    </r>
    <r>
      <rPr>
        <sz val="11"/>
        <color rgb="FF00B050"/>
        <rFont val="Prompt Light"/>
      </rPr>
      <t>Putty</t>
    </r>
  </si>
  <si>
    <t>IGITMONCL070965</t>
  </si>
  <si>
    <t>SR3814893</t>
  </si>
  <si>
    <t>IGITMONCL072463</t>
  </si>
  <si>
    <t>SR3814913</t>
  </si>
  <si>
    <t>IGITMONCL070963</t>
  </si>
  <si>
    <t>SR3814927</t>
  </si>
  <si>
    <t>Inventariato2021!</t>
  </si>
  <si>
    <t>Piccioni, Matilde (IG/EG-C) - IGITMONCL069825 - Problema batteria e tastiera</t>
  </si>
  <si>
    <t>SR3815224</t>
  </si>
  <si>
    <r>
      <t>SI (</t>
    </r>
    <r>
      <rPr>
        <i/>
        <sz val="11"/>
        <color rgb="FF00B050"/>
        <rFont val="Prompt Light"/>
      </rPr>
      <t>Catia</t>
    </r>
    <r>
      <rPr>
        <i/>
        <sz val="11"/>
        <color theme="1"/>
        <rFont val="Prompt Light"/>
      </rPr>
      <t xml:space="preserve"> V5, </t>
    </r>
    <r>
      <rPr>
        <i/>
        <sz val="11"/>
        <color rgb="FF00B050"/>
        <rFont val="Prompt Light"/>
      </rPr>
      <t>Connect</t>
    </r>
    <r>
      <rPr>
        <i/>
        <sz val="11"/>
        <color theme="1"/>
        <rFont val="Prompt Light"/>
      </rPr>
      <t xml:space="preserve">, thinkcell, </t>
    </r>
    <r>
      <rPr>
        <i/>
        <sz val="11"/>
        <color rgb="FF00B050"/>
        <rFont val="Prompt Light"/>
      </rPr>
      <t>VRED 2023.4</t>
    </r>
    <r>
      <rPr>
        <i/>
        <sz val="11"/>
        <color theme="1"/>
        <rFont val="Prompt Light"/>
      </rPr>
      <t xml:space="preserve">. </t>
    </r>
    <r>
      <rPr>
        <i/>
        <sz val="11"/>
        <color rgb="FF00B050"/>
        <rFont val="Prompt Light"/>
      </rPr>
      <t>VRED 2025.3</t>
    </r>
    <r>
      <rPr>
        <i/>
        <sz val="11"/>
        <color theme="1"/>
        <rFont val="Prompt Light"/>
      </rPr>
      <t>, Pointofix</t>
    </r>
  </si>
  <si>
    <t>Macchina Fuori Dominio</t>
  </si>
  <si>
    <r>
      <rPr>
        <sz val="11"/>
        <color rgb="FF00B050"/>
        <rFont val="Prompt Light"/>
      </rPr>
      <t>Catia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Conncet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Kisters</t>
    </r>
    <r>
      <rPr>
        <sz val="11"/>
        <color theme="1"/>
        <rFont val="Prompt Light"/>
      </rPr>
      <t>-AVX-</t>
    </r>
    <r>
      <rPr>
        <sz val="11"/>
        <color rgb="FF00B050"/>
        <rFont val="Prompt Light"/>
      </rPr>
      <t>Idex</t>
    </r>
    <r>
      <rPr>
        <sz val="11"/>
        <color theme="1"/>
        <rFont val="Prompt Light"/>
      </rPr>
      <t>-</t>
    </r>
    <r>
      <rPr>
        <sz val="11"/>
        <color rgb="FF00B050"/>
        <rFont val="Prompt Light"/>
      </rPr>
      <t>CpTool</t>
    </r>
  </si>
  <si>
    <t>Jackson/Marco</t>
  </si>
  <si>
    <t>HP EliteBook 840 G8 Notebook PC</t>
  </si>
  <si>
    <t>Musmeci, Ettore (IG/EE-3)</t>
  </si>
  <si>
    <t>IGITMONCD076004</t>
  </si>
  <si>
    <t>SR3817474</t>
  </si>
  <si>
    <t>Parigi, Davide (IG/EE-7) - IGITMONCL070657 (vedi mail di Saracco)</t>
  </si>
  <si>
    <t>Maestri, Alessia (IG/B-2) - IGITMONCL070614 (lettore PKI non funzionante)</t>
  </si>
  <si>
    <t>SR3818230</t>
  </si>
  <si>
    <r>
      <rPr>
        <i/>
        <sz val="11"/>
        <color rgb="FF00B050"/>
        <rFont val="Prompt Light"/>
      </rPr>
      <t>Canoe11</t>
    </r>
    <r>
      <rPr>
        <i/>
        <sz val="11"/>
        <color theme="1"/>
        <rFont val="Prompt Light"/>
      </rPr>
      <t>/</t>
    </r>
    <r>
      <rPr>
        <i/>
        <sz val="11"/>
        <color rgb="FF00B050"/>
        <rFont val="Prompt Light"/>
      </rPr>
      <t>17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Canape21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Canalyzer19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Seframviewer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Visio</t>
    </r>
    <r>
      <rPr>
        <i/>
        <sz val="11"/>
        <color theme="1"/>
        <rFont val="Prompt Light"/>
      </rPr>
      <t>-ThinkCell-</t>
    </r>
    <r>
      <rPr>
        <i/>
        <sz val="11"/>
        <color rgb="FF00B050"/>
        <rFont val="Prompt Light"/>
      </rPr>
      <t>AUDIWorkbench</t>
    </r>
  </si>
  <si>
    <t>Degiorgi, Nicola (IG/EE-2)</t>
  </si>
  <si>
    <t>3431 – BUONANNO Maria Costanza – cdc 243 EE Validation &amp; Testing – IG/EE-4 – Empl. Numb. 99431</t>
  </si>
  <si>
    <t>3430 – VERISSIMO BRANDAO Victor Gabriel (rinomina) – cdc 286 Electric &amp; Electronics – IG/EE-6 – Empl. Numb. 99430</t>
  </si>
  <si>
    <t>Bianciotto, Katia (IG/S-2) - Reinstallazione - Windows non parte</t>
  </si>
  <si>
    <t>SR3820449</t>
  </si>
  <si>
    <t>Visual Studio Code, Putty, Remote Desktop</t>
  </si>
  <si>
    <t>IGITMONCL073313</t>
  </si>
  <si>
    <t>IGITMONCL072445</t>
  </si>
  <si>
    <t>IGITMONCL076184</t>
  </si>
  <si>
    <t>IGITMONCL073291</t>
  </si>
  <si>
    <t>IGITMONCL073490</t>
  </si>
  <si>
    <t>EliteBook 640 G9</t>
  </si>
  <si>
    <t>EliteBook 640 G10</t>
  </si>
  <si>
    <t>3432 – DEGLI UBERTI Bruno– cdc 260 EE New branch – IG/EE-2 – Empl. Numb. 99432</t>
  </si>
  <si>
    <t>SR3829443</t>
  </si>
  <si>
    <t>SR3829452</t>
  </si>
  <si>
    <r>
      <t xml:space="preserve">Cadence, </t>
    </r>
    <r>
      <rPr>
        <i/>
        <sz val="11"/>
        <color rgb="FF00B050"/>
        <rFont val="Prompt Light"/>
      </rPr>
      <t>Idex</t>
    </r>
    <r>
      <rPr>
        <i/>
        <sz val="11"/>
        <color theme="1"/>
        <rFont val="Prompt Light"/>
      </rPr>
      <t xml:space="preserve">, </t>
    </r>
    <r>
      <rPr>
        <i/>
        <sz val="11"/>
        <color rgb="FF00B050"/>
        <rFont val="Prompt Light"/>
      </rPr>
      <t>Kisters</t>
    </r>
    <r>
      <rPr>
        <i/>
        <sz val="11"/>
        <color theme="1"/>
        <rFont val="Prompt Light"/>
      </rPr>
      <t xml:space="preserve">, </t>
    </r>
    <r>
      <rPr>
        <i/>
        <sz val="11"/>
        <color rgb="FF00B050"/>
        <rFont val="Prompt Light"/>
      </rPr>
      <t>Canoe15</t>
    </r>
    <r>
      <rPr>
        <i/>
        <sz val="11"/>
        <color theme="1"/>
        <rFont val="Prompt Light"/>
      </rPr>
      <t xml:space="preserve">, </t>
    </r>
    <r>
      <rPr>
        <i/>
        <sz val="11"/>
        <color rgb="FF00B050"/>
        <rFont val="Prompt Light"/>
      </rPr>
      <t>Canalyzer15</t>
    </r>
  </si>
  <si>
    <t>Morello, Desiree (IG/EE-1) - IGITMONCL072255 - Problema tastiera</t>
  </si>
  <si>
    <t>Jogorapido406!</t>
  </si>
  <si>
    <t>Jogorapido407!</t>
  </si>
  <si>
    <t>Jogorapido409!</t>
  </si>
  <si>
    <t>Jogorapido410!</t>
  </si>
  <si>
    <r>
      <rPr>
        <i/>
        <sz val="11"/>
        <color rgb="FF00B050"/>
        <rFont val="Prompt Light"/>
      </rPr>
      <t>Canoe19-Canape21</t>
    </r>
    <r>
      <rPr>
        <i/>
        <sz val="11"/>
        <color theme="1"/>
        <rFont val="Prompt Light"/>
      </rPr>
      <t>-MATLAB 2023B + MatLab RunTime 2023b</t>
    </r>
  </si>
  <si>
    <r>
      <rPr>
        <i/>
        <sz val="11"/>
        <color rgb="FF00B050"/>
        <rFont val="Prompt Light"/>
      </rPr>
      <t>Canoe10/19-Canape21</t>
    </r>
    <r>
      <rPr>
        <i/>
        <sz val="11"/>
        <color theme="1"/>
        <rFont val="Prompt Light"/>
      </rPr>
      <t>-MATLAB 2023B + MatLab RunTime 2023b-Python-Wireshark</t>
    </r>
  </si>
  <si>
    <t>Mandich, Elisa (IG/EG) - IGITMONCL069862 - Problema batteria</t>
  </si>
  <si>
    <t>Testa, Edoardo (IG/EE-3) - IGDEWOBCL072436 - PC rotto a causa di una caduta</t>
  </si>
  <si>
    <t>Acrobat Pro - Think-Cell</t>
  </si>
  <si>
    <t>14/04/2026 - 09:00</t>
  </si>
  <si>
    <t>07/04/2026 - 09:00</t>
  </si>
  <si>
    <t>3433 – MARZANO Davide – cdc 246 Strak &amp; VR Solutions – IG/ER-S – Empl. Numb. 99433</t>
  </si>
  <si>
    <t>Ferrero, Federico (IG/P-7) - IGITMONCL069429 - Batteria gonfia</t>
  </si>
  <si>
    <t>Kisters-Autocad-Gimp</t>
  </si>
  <si>
    <t>08/04/2026 - 09:00</t>
  </si>
  <si>
    <t>IGITMONCL071778</t>
  </si>
  <si>
    <t>IGITMONCL072748</t>
  </si>
  <si>
    <t>IGITMONCL073676</t>
  </si>
  <si>
    <t>IDG Napoli</t>
  </si>
  <si>
    <t>SR3834837</t>
  </si>
  <si>
    <r>
      <t xml:space="preserve">VAS, </t>
    </r>
    <r>
      <rPr>
        <i/>
        <sz val="11"/>
        <color rgb="FF00B050"/>
        <rFont val="Prompt Light"/>
      </rPr>
      <t>BeyondTrust</t>
    </r>
    <r>
      <rPr>
        <i/>
        <sz val="11"/>
        <color theme="1"/>
        <rFont val="Prompt Light"/>
      </rPr>
      <t xml:space="preserve">, </t>
    </r>
    <r>
      <rPr>
        <i/>
        <sz val="11"/>
        <color rgb="FF00B050"/>
        <rFont val="Prompt Light"/>
      </rPr>
      <t>Canoe</t>
    </r>
    <r>
      <rPr>
        <i/>
        <sz val="11"/>
        <color theme="1"/>
        <rFont val="Prompt Light"/>
      </rPr>
      <t xml:space="preserve">, </t>
    </r>
    <r>
      <rPr>
        <i/>
        <sz val="11"/>
        <color rgb="FF00B050"/>
        <rFont val="Prompt Light"/>
      </rPr>
      <t>CPTOOL</t>
    </r>
  </si>
  <si>
    <t>SR3834872</t>
  </si>
  <si>
    <r>
      <rPr>
        <i/>
        <sz val="11"/>
        <color rgb="FF00B050"/>
        <rFont val="Prompt Light"/>
      </rPr>
      <t>Canoe10/19-Canape19</t>
    </r>
    <r>
      <rPr>
        <i/>
        <sz val="11"/>
        <color theme="1"/>
        <rFont val="Prompt Light"/>
      </rPr>
      <t>-Matlab2023B-MatlabRuntime2023b-ADTF2143-Python392</t>
    </r>
  </si>
  <si>
    <r>
      <rPr>
        <i/>
        <sz val="11"/>
        <color rgb="FF00B050"/>
        <rFont val="Prompt Light"/>
      </rPr>
      <t>Canoe10/19-Canape19</t>
    </r>
    <r>
      <rPr>
        <i/>
        <sz val="11"/>
        <color theme="1"/>
        <rFont val="Prompt Light"/>
      </rPr>
      <t>-Matlab2023B-MatlabRuntime2023b-Python392</t>
    </r>
  </si>
  <si>
    <t>Illustrator - Photoshop</t>
  </si>
  <si>
    <t>10/04/2026 - 10:00</t>
  </si>
  <si>
    <t>SR3836331</t>
  </si>
  <si>
    <t>BUONANNO Maria Costanza – IG/EE-4 - IGITMONCL072444</t>
  </si>
  <si>
    <t>SR3836407</t>
  </si>
  <si>
    <t>SR3836410</t>
  </si>
  <si>
    <t>SR3836416</t>
  </si>
  <si>
    <t>SR3836419</t>
  </si>
  <si>
    <t>SR3836489</t>
  </si>
  <si>
    <t>SR3836492</t>
  </si>
  <si>
    <t>SR3836495</t>
  </si>
  <si>
    <t>3434 – FURFARI Alessio (stage extracurricolare) – cdc 674 Property &amp; Facility Management – IG/SD-P – Empl. Numb. 99434</t>
  </si>
  <si>
    <t>3435 – NIGGELER Michele (rinomina) – cdc 239 Architecture &amp; Integration – IG/EG-I – Empl. Numb. 99435</t>
  </si>
  <si>
    <t>3437 – TORCHIO Massimiliano (rinomina) – cdc 239 Architecture &amp; Integration – IG/EG-I - Empl. Numb. 99437</t>
  </si>
  <si>
    <t>La Via, Giorgio (IG/EE-5) - Autorizzato da Saracco</t>
  </si>
  <si>
    <t>Amministratore - Fuori Dominio</t>
  </si>
  <si>
    <r>
      <rPr>
        <i/>
        <sz val="11"/>
        <color rgb="FF00B050"/>
        <rFont val="Prompt Light"/>
      </rPr>
      <t>VRed2026.2</t>
    </r>
    <r>
      <rPr>
        <i/>
        <sz val="11"/>
        <color theme="1"/>
        <rFont val="Prompt Light"/>
      </rPr>
      <t xml:space="preserve">-Licenza Github Copilot-Python, </t>
    </r>
    <r>
      <rPr>
        <i/>
        <sz val="11"/>
        <color rgb="FF00B050"/>
        <rFont val="Prompt Light"/>
      </rPr>
      <t>Visual studio</t>
    </r>
    <r>
      <rPr>
        <i/>
        <sz val="11"/>
        <color theme="1"/>
        <rFont val="Prompt Light"/>
      </rPr>
      <t xml:space="preserve"> </t>
    </r>
    <r>
      <rPr>
        <i/>
        <sz val="11"/>
        <color rgb="FF00B050"/>
        <rFont val="Prompt Light"/>
      </rPr>
      <t>Code</t>
    </r>
    <r>
      <rPr>
        <i/>
        <sz val="11"/>
        <color theme="1"/>
        <rFont val="Prompt Light"/>
      </rPr>
      <t xml:space="preserve"> e </t>
    </r>
    <r>
      <rPr>
        <i/>
        <sz val="11"/>
        <color rgb="FF00B050"/>
        <rFont val="Prompt Light"/>
      </rPr>
      <t>Sourcetree</t>
    </r>
  </si>
  <si>
    <r>
      <rPr>
        <i/>
        <sz val="11"/>
        <color rgb="FF00B050"/>
        <rFont val="Prompt Light"/>
      </rPr>
      <t>Autocad</t>
    </r>
    <r>
      <rPr>
        <i/>
        <sz val="11"/>
        <color theme="1"/>
        <rFont val="Prompt Light"/>
      </rPr>
      <t xml:space="preserve"> e </t>
    </r>
    <r>
      <rPr>
        <i/>
        <sz val="11"/>
        <color rgb="FF00B050"/>
        <rFont val="Prompt Light"/>
      </rPr>
      <t>Revit</t>
    </r>
    <r>
      <rPr>
        <i/>
        <sz val="11"/>
        <color theme="1"/>
        <rFont val="Prompt Light"/>
      </rPr>
      <t xml:space="preserve"> </t>
    </r>
  </si>
  <si>
    <t>SR3840838</t>
  </si>
  <si>
    <t>SR3840844</t>
  </si>
  <si>
    <t>3438 – PICARDI Selena – cdc 240 User Interface, Infotainment and Connected Car – IG/EE-1 – Empl. Numb. 99438</t>
  </si>
  <si>
    <t>3439 – NAVARRO TITO José Antonio (rinomina da IDB) – cdc 6189 Design Services – IG/D – Empl. Numb. 99439</t>
  </si>
  <si>
    <t>HP EliteBook 640 14 inch G10 Notebook PC</t>
  </si>
  <si>
    <t>HP EliteBook 640 14 inch G9 Notebook PC</t>
  </si>
  <si>
    <t>HP ZBook Fury 15.6 inch G8 Mobile Workstation PC</t>
  </si>
  <si>
    <t>HP ZBook Fury 15 G7 Mobile Workstation</t>
  </si>
  <si>
    <t>HP ZBook Power 15.6 inch G9 Mobile Workstation PC</t>
  </si>
  <si>
    <t>IGITMONCL071763</t>
  </si>
  <si>
    <t>IGITMONCL073456</t>
  </si>
  <si>
    <r>
      <rPr>
        <i/>
        <sz val="11"/>
        <color rgb="FF00B050"/>
        <rFont val="Prompt Light"/>
      </rPr>
      <t>Canoe10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18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vectorDriver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epm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idex</t>
    </r>
    <r>
      <rPr>
        <i/>
        <sz val="11"/>
        <color theme="1"/>
        <rFont val="Prompt Light"/>
      </rPr>
      <t>-</t>
    </r>
    <r>
      <rPr>
        <i/>
        <sz val="11"/>
        <color rgb="FF00B050"/>
        <rFont val="Prompt Light"/>
      </rPr>
      <t>cptool</t>
    </r>
  </si>
  <si>
    <t>IGITMONCL072916</t>
  </si>
  <si>
    <t>HP ZBook Fury 15.6 inch G8 Mobile Workstation</t>
  </si>
  <si>
    <t>SR3845058</t>
  </si>
  <si>
    <t>SR3845064</t>
  </si>
  <si>
    <t>Cotroneo, Antonio (IG/EG-5) - IGITMONCL070693 - Danno alla scocca</t>
  </si>
  <si>
    <t>22/04/26 - 09:30</t>
  </si>
  <si>
    <r>
      <rPr>
        <i/>
        <sz val="11"/>
        <color rgb="FF00B050"/>
        <rFont val="Prompt Light"/>
      </rPr>
      <t>Photoshop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Illustrator</t>
    </r>
    <r>
      <rPr>
        <i/>
        <sz val="11"/>
        <color theme="1"/>
        <rFont val="Prompt Light"/>
      </rPr>
      <t xml:space="preserve"> - Dymo connect - </t>
    </r>
    <r>
      <rPr>
        <i/>
        <sz val="11"/>
        <color rgb="FF00B050"/>
        <rFont val="Prompt Light"/>
      </rPr>
      <t>Idex</t>
    </r>
    <r>
      <rPr>
        <i/>
        <sz val="11"/>
        <color theme="1"/>
        <rFont val="Prompt Light"/>
      </rPr>
      <t xml:space="preserve"> + VAS</t>
    </r>
  </si>
  <si>
    <t>SR3848540</t>
  </si>
  <si>
    <t>SR3848679</t>
  </si>
  <si>
    <t>Fabriciano004Giugno!!</t>
  </si>
  <si>
    <t>3440 – JEHLE Bastian (rinomina) – cdc 278 Whole Vehicle Development – IG/EG-Q – Empl. Numb. 99440</t>
  </si>
  <si>
    <t>3441 – MARTINO Bruno (rinomina) – cdc 242 ADAS Development – IG/EE-5 – Empl. Numb. 99441</t>
  </si>
  <si>
    <t>3442 – FAINAREA Denisa Nicoleta – cdc 370 Project Readiness – IG/B-2 – Empl. Numb. 99442</t>
  </si>
  <si>
    <t>Invencivel358!</t>
  </si>
  <si>
    <t>SR3852264</t>
  </si>
  <si>
    <t>Lago, Enrico (IG/D-1) - Reinstallazione</t>
  </si>
  <si>
    <t>Pautassi, Paolo (IG/GT-E) - Reinstallazione</t>
  </si>
  <si>
    <t>SR3852575</t>
  </si>
  <si>
    <t> 3443 – FERRO Giulio – cdc 277 Interiors Functional Development – IG/EI-1 – Empl. Numb. 99443</t>
  </si>
  <si>
    <t>IGITMONCL071533</t>
  </si>
  <si>
    <t>IGITMONCL073470</t>
  </si>
  <si>
    <t>IGITMONCL071215</t>
  </si>
  <si>
    <t>IGITMONCL071526</t>
  </si>
  <si>
    <t>IGITMONCL070990</t>
  </si>
  <si>
    <r>
      <rPr>
        <i/>
        <sz val="11"/>
        <color rgb="FF00B050"/>
        <rFont val="Prompt Light"/>
      </rPr>
      <t>Idex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Odis</t>
    </r>
    <r>
      <rPr>
        <i/>
        <sz val="11"/>
        <color theme="1"/>
        <rFont val="Prompt Light"/>
      </rPr>
      <t xml:space="preserve"> - Cp-Tool - </t>
    </r>
    <r>
      <rPr>
        <i/>
        <sz val="11"/>
        <color rgb="FF00B050"/>
        <rFont val="Prompt Light"/>
      </rPr>
      <t>EPM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Canoe 10</t>
    </r>
    <r>
      <rPr>
        <i/>
        <sz val="11"/>
        <color theme="1"/>
        <rFont val="Prompt Light"/>
      </rPr>
      <t xml:space="preserve">, </t>
    </r>
    <r>
      <rPr>
        <i/>
        <sz val="11"/>
        <color rgb="FF00B050"/>
        <rFont val="Prompt Light"/>
      </rPr>
      <t>19</t>
    </r>
    <r>
      <rPr>
        <i/>
        <sz val="11"/>
        <color theme="1"/>
        <rFont val="Prompt Light"/>
      </rPr>
      <t xml:space="preserve"> - Canape 24 - Canalyser</t>
    </r>
  </si>
  <si>
    <t>SR3855290</t>
  </si>
  <si>
    <t>Griva Zabert, Mattia (IG/GT-E) - IGITMONCL076820 Rubato</t>
  </si>
  <si>
    <t>Florian, Muriel Valerie (IG/EG-Q) - Reinstallazione - disco perso</t>
  </si>
  <si>
    <t>SR3855466</t>
  </si>
  <si>
    <t>SR3855755</t>
  </si>
  <si>
    <t>SR3855761</t>
  </si>
  <si>
    <t>Perroni, Domenico (IG/EG-I) - Ubuntu</t>
  </si>
  <si>
    <t>SR3856448</t>
  </si>
  <si>
    <t>SR3856454</t>
  </si>
  <si>
    <t>SR3856460</t>
  </si>
  <si>
    <r>
      <rPr>
        <i/>
        <sz val="11"/>
        <color rgb="FF00B050"/>
        <rFont val="Prompt Light"/>
      </rPr>
      <t>ANSA</t>
    </r>
    <r>
      <rPr>
        <i/>
        <sz val="11"/>
        <color theme="1"/>
        <rFont val="Prompt Light"/>
      </rPr>
      <t xml:space="preserve">, </t>
    </r>
    <r>
      <rPr>
        <i/>
        <sz val="11"/>
        <color rgb="FF00B050"/>
        <rFont val="Prompt Light"/>
      </rPr>
      <t>Animator</t>
    </r>
  </si>
  <si>
    <t>SR3856670</t>
  </si>
  <si>
    <t>Grassi, Leonardo (IG/GT-P) - IGITMONCL070537 - Lento - Problema porta USB</t>
  </si>
  <si>
    <t>IGITMONCL071784</t>
  </si>
  <si>
    <t>IGITMONCL073308</t>
  </si>
  <si>
    <t>3444 – RAVERA Anna (stage extracurricolare) – cdc 101 Design Research – IG/D-3 – Empl. Numb. 99444</t>
  </si>
  <si>
    <t>3445 – MANIAR Kunal Manish (stage extracurricolare) – cdc 101 Design Research – IG/D-2 – Empl. Numb. 99445</t>
  </si>
  <si>
    <t>Bezzolato, Jari (IG/ER-2L) - IGITMONCL069777</t>
  </si>
  <si>
    <t>IGITMONCL076560</t>
  </si>
  <si>
    <t>Bertipaglia, Niccolo Leonardo (IG/ER-2D) - per bentley autorizzato da Saracco</t>
  </si>
  <si>
    <t>14/05/26 - 11:00</t>
  </si>
  <si>
    <t>13/05/26 - 09:00</t>
  </si>
  <si>
    <t>Pampara, Umberto (IG/ER-S) - Reinstallazione</t>
  </si>
  <si>
    <t>Zbook G10</t>
  </si>
  <si>
    <t>SR3862560</t>
  </si>
  <si>
    <t>SR3862765</t>
  </si>
  <si>
    <t>SR3862990</t>
  </si>
  <si>
    <t>HP Z2 Mini G1i Workstation Desktop PC</t>
  </si>
  <si>
    <t>IGITMONCD078562</t>
  </si>
  <si>
    <t>IGITMONCD078563</t>
  </si>
  <si>
    <t>HP Engage Flex Mini G2 Retail System - LAN</t>
  </si>
  <si>
    <t>HP Engage Flex Mini G2 Retail System - SERIALE</t>
  </si>
  <si>
    <t>IGITMONCD078044</t>
  </si>
  <si>
    <t>IGITMONCD078045</t>
  </si>
  <si>
    <t>IGITMONCD078401</t>
  </si>
  <si>
    <t>IGITMONCD078402</t>
  </si>
  <si>
    <t>IGITMONCD078403</t>
  </si>
  <si>
    <t>Fuori domino</t>
  </si>
  <si>
    <r>
      <rPr>
        <i/>
        <sz val="11"/>
        <color rgb="FF00B050"/>
        <rFont val="Prompt Light"/>
      </rPr>
      <t>Catia</t>
    </r>
    <r>
      <rPr>
        <i/>
        <sz val="11"/>
        <color theme="1"/>
        <rFont val="Prompt Light"/>
      </rPr>
      <t xml:space="preserve"> - Connect</t>
    </r>
  </si>
  <si>
    <t>Alberti, Massimo (IG/F-1) - Reinstall</t>
  </si>
  <si>
    <t>SR3865092</t>
  </si>
  <si>
    <t>Rizzo, Giuseppe (IG/D-2) - IGITMONCL070731 - Problema PKI - Lento</t>
  </si>
  <si>
    <r>
      <rPr>
        <i/>
        <sz val="11"/>
        <color rgb="FF00B050"/>
        <rFont val="Prompt Light"/>
      </rPr>
      <t>EPM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CP-Tool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Idex</t>
    </r>
  </si>
  <si>
    <r>
      <rPr>
        <i/>
        <sz val="11"/>
        <color rgb="FF00B050"/>
        <rFont val="Prompt Light"/>
      </rPr>
      <t>Catia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Kisters</t>
    </r>
  </si>
  <si>
    <t>SR3865818</t>
  </si>
  <si>
    <t>SR3865824</t>
  </si>
  <si>
    <t>SR3865830</t>
  </si>
  <si>
    <t>SR3865836</t>
  </si>
  <si>
    <t>SR3865842</t>
  </si>
  <si>
    <t>SR3865848</t>
  </si>
  <si>
    <t>SR3865854</t>
  </si>
  <si>
    <t>15/05/2026 - 10:00</t>
  </si>
  <si>
    <t>SR3865966</t>
  </si>
  <si>
    <t>Temquedarcerto078562!</t>
  </si>
  <si>
    <t>Temquedarcerto078563!</t>
  </si>
  <si>
    <t>Temquedarcerto078044!</t>
  </si>
  <si>
    <t>Temquedarcerto078045!</t>
  </si>
  <si>
    <t>Temquedarcerto078401!</t>
  </si>
  <si>
    <t>Temquedarcerto078402!</t>
  </si>
  <si>
    <t>Temquedarcerto078403!</t>
  </si>
  <si>
    <r>
      <rPr>
        <i/>
        <sz val="11"/>
        <color rgb="FF00B050"/>
        <rFont val="Prompt Light"/>
      </rPr>
      <t>Photoshop 2026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KeyShot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Blender 4.3.2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Surface 2023.1</t>
    </r>
  </si>
  <si>
    <t>SR3867646</t>
  </si>
  <si>
    <t>IGITMONCL072769</t>
  </si>
  <si>
    <r>
      <rPr>
        <i/>
        <sz val="11"/>
        <color rgb="FF00B050"/>
        <rFont val="Prompt Light"/>
      </rPr>
      <t>Photoshop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Alias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Blender</t>
    </r>
  </si>
  <si>
    <r>
      <rPr>
        <i/>
        <sz val="11"/>
        <color rgb="FF00B050"/>
        <rFont val="Prompt Light"/>
      </rPr>
      <t>Photoshop - Illustrator - After Effect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Figma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Blender</t>
    </r>
  </si>
  <si>
    <t>IGITMONCD078564</t>
  </si>
  <si>
    <t>IGITMONCD078565</t>
  </si>
  <si>
    <t>IGITMONCD078566</t>
  </si>
  <si>
    <t>Boliche564!!</t>
  </si>
  <si>
    <t>Boliche565!!</t>
  </si>
  <si>
    <t>Boliche566!!</t>
  </si>
  <si>
    <t>SR3868695</t>
  </si>
  <si>
    <t>SR3868698</t>
  </si>
  <si>
    <t>SR3868701</t>
  </si>
  <si>
    <t>SR3868727</t>
  </si>
  <si>
    <t>SR3868730</t>
  </si>
  <si>
    <r>
      <rPr>
        <i/>
        <sz val="11"/>
        <color rgb="FF00B050"/>
        <rFont val="Prompt Light"/>
      </rPr>
      <t>VNC - Canoe 16 SP7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VtestStudio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Python</t>
    </r>
    <r>
      <rPr>
        <i/>
        <sz val="11"/>
        <color theme="1"/>
        <rFont val="Prompt Light"/>
      </rPr>
      <t xml:space="preserve"> 11 - </t>
    </r>
    <r>
      <rPr>
        <i/>
        <sz val="11"/>
        <color rgb="FF00B050"/>
        <rFont val="Prompt Light"/>
      </rPr>
      <t>ADB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idex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cptool</t>
    </r>
    <r>
      <rPr>
        <i/>
        <sz val="11"/>
        <color theme="1"/>
        <rFont val="Prompt Light"/>
      </rPr>
      <t xml:space="preserve"> - Odis - </t>
    </r>
    <r>
      <rPr>
        <i/>
        <sz val="11"/>
        <color rgb="FF00B050"/>
        <rFont val="Prompt Light"/>
      </rPr>
      <t>esotrace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vscode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foxterm</t>
    </r>
  </si>
  <si>
    <r>
      <rPr>
        <i/>
        <sz val="11"/>
        <color rgb="FF00B050"/>
        <rFont val="Prompt Light"/>
      </rPr>
      <t>VNC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Canoe 16 SP7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VtestStudio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Python</t>
    </r>
    <r>
      <rPr>
        <i/>
        <sz val="11"/>
        <color theme="1"/>
        <rFont val="Prompt Light"/>
      </rPr>
      <t xml:space="preserve"> 11 - </t>
    </r>
    <r>
      <rPr>
        <i/>
        <sz val="11"/>
        <color rgb="FF00B050"/>
        <rFont val="Prompt Light"/>
      </rPr>
      <t>ADB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idex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cptool</t>
    </r>
    <r>
      <rPr>
        <i/>
        <sz val="11"/>
        <color theme="1"/>
        <rFont val="Prompt Light"/>
      </rPr>
      <t xml:space="preserve"> - Odis - </t>
    </r>
    <r>
      <rPr>
        <i/>
        <sz val="11"/>
        <color rgb="FF00B050"/>
        <rFont val="Prompt Light"/>
      </rPr>
      <t>esotrace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vscode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foxterm</t>
    </r>
  </si>
  <si>
    <t>Mantoni, Sofia (IG/S-3, extern)</t>
  </si>
  <si>
    <t>SR3870716</t>
  </si>
  <si>
    <t>IGITMONCD078046</t>
  </si>
  <si>
    <t>Boliche046!!</t>
  </si>
  <si>
    <t>28/08/0025</t>
  </si>
  <si>
    <t>SR3871626</t>
  </si>
  <si>
    <r>
      <rPr>
        <i/>
        <sz val="11"/>
        <color rgb="FF00B050"/>
        <rFont val="Prompt Light"/>
      </rPr>
      <t>NI TestStand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Foxterm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Esotrace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Python 11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ADB</t>
    </r>
    <r>
      <rPr>
        <i/>
        <sz val="11"/>
        <color theme="1"/>
        <rFont val="Prompt Light"/>
      </rPr>
      <t xml:space="preserve"> - </t>
    </r>
    <r>
      <rPr>
        <i/>
        <sz val="11"/>
        <color rgb="FF00B050"/>
        <rFont val="Prompt Light"/>
      </rPr>
      <t>driver maya44</t>
    </r>
  </si>
  <si>
    <t>Sozinho451!!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</si>
</sst>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6" x14ac:knownFonts="1"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3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i/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Prompt Light"/>
    </font>
    <font>
      <sz val="11"/>
      <color theme="1"/>
      <name val="Prompt Light"/>
    </font>
    <font>
      <b/>
      <sz val="11"/>
      <color theme="1"/>
      <name val="Prompt Light"/>
    </font>
    <font>
      <b/>
      <sz val="11"/>
      <color theme="0"/>
      <name val="Prompt Light"/>
    </font>
    <font>
      <sz val="11"/>
      <name val="Prompt Light"/>
    </font>
    <font>
      <sz val="11"/>
      <color rgb="FF9C6500"/>
      <name val="Prompt Light"/>
    </font>
    <font>
      <sz val="11"/>
      <color rgb="FF9C0006"/>
      <name val="Prompt Light"/>
    </font>
    <font>
      <i/>
      <sz val="11"/>
      <color theme="1"/>
      <name val="Prompt Light"/>
    </font>
    <font>
      <i/>
      <sz val="11"/>
      <color rgb="FF00B050"/>
      <name val="Prompt Light"/>
    </font>
    <font>
      <i/>
      <sz val="11"/>
      <color rgb="FF444444"/>
      <name val="Prompt Light"/>
    </font>
    <font>
      <i/>
      <sz val="10"/>
      <color theme="1"/>
      <name val="Prompt Light"/>
    </font>
    <font>
      <b/>
      <i/>
      <sz val="11"/>
      <color theme="1"/>
      <name val="Prompt Light"/>
    </font>
    <font>
      <i/>
      <sz val="11"/>
      <name val="Prompt Light"/>
    </font>
    <font>
      <sz val="10"/>
      <color theme="1"/>
      <name val="Prompt Light"/>
    </font>
    <font>
      <sz val="10"/>
      <color rgb="FF3F3F3F"/>
      <name val="Prompt Light"/>
    </font>
    <font>
      <b/>
      <sz val="10"/>
      <color theme="1"/>
      <name val="Prompt Light"/>
    </font>
    <font>
      <sz val="11"/>
      <color rgb="FF3F3F3F"/>
      <name val="Prompt Light"/>
    </font>
    <font>
      <sz val="10"/>
      <name val="Prompt Light"/>
    </font>
    <font>
      <i/>
      <sz val="10"/>
      <color rgb="FF182125"/>
      <name val="Prompt Light"/>
    </font>
    <font>
      <sz val="10"/>
      <color rgb="FF182125"/>
      <name val="Prompt Light"/>
    </font>
    <font>
      <b/>
      <sz val="11"/>
      <color rgb="FF3F3F3F"/>
      <name val="Prompt Light"/>
    </font>
    <font>
      <b/>
      <sz val="11"/>
      <color rgb="FF9C6500"/>
      <name val="Prompt Light"/>
    </font>
    <font>
      <b/>
      <sz val="11"/>
      <name val="Prompt Light"/>
    </font>
    <font>
      <b/>
      <sz val="10"/>
      <color rgb="FF818181"/>
      <name val="Prompt Light"/>
    </font>
    <font>
      <i/>
      <sz val="10"/>
      <color rgb="FF000000"/>
      <name val="Prompt Light"/>
    </font>
    <font>
      <i/>
      <sz val="10"/>
      <name val="Prompt Light"/>
    </font>
    <font>
      <b/>
      <sz val="11"/>
      <color rgb="FF00B050"/>
      <name val="Prompt Light"/>
    </font>
    <font>
      <sz val="11"/>
      <color rgb="FF00B050"/>
      <name val="Prompt Light"/>
    </font>
    <font>
      <b/>
      <i/>
      <sz val="10"/>
      <name val="Prompt Light"/>
    </font>
    <font>
      <sz val="11"/>
      <color rgb="FFFF0000"/>
      <name val="Prompt Light"/>
    </font>
    <font>
      <sz val="10"/>
      <color rgb="FF00B050"/>
      <name val="Prompt Light"/>
    </font>
    <font>
      <i/>
      <sz val="10"/>
      <color rgb="FF00B050"/>
      <name val="Prompt Light"/>
    </font>
    <font>
      <b/>
      <sz val="10"/>
      <color rgb="FF00B050"/>
      <name val="Prompt Light"/>
    </font>
    <font>
      <i/>
      <sz val="12"/>
      <color rgb="FF00B050"/>
      <name val="Prompt Light"/>
    </font>
    <font>
      <b/>
      <sz val="11"/>
      <color theme="0"/>
      <name val="Comic Sans MS"/>
      <family val="4"/>
    </font>
    <font>
      <sz val="11"/>
      <name val="Comic Sans MS"/>
      <family val="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Aptos"/>
      <family val="2"/>
    </font>
    <font>
      <b/>
      <sz val="11"/>
      <color rgb="FF00B050"/>
      <name val="Comic Sans MS"/>
      <family val="4"/>
    </font>
    <font>
      <i/>
      <u/>
      <sz val="14"/>
      <color theme="1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i/>
      <sz val="11"/>
      <color theme="1"/>
      <name val="Wingdings"/>
      <charset val="2"/>
    </font>
  </fonts>
  <fills count="2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rgb="FFFFFFCC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DB202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0" applyNumberFormat="0" applyFont="0" applyBorder="0" applyAlignment="0" applyProtection="0"/>
    <xf numFmtId="0" fontId="5" fillId="2" borderId="1" applyNumberFormat="0" applyAlignment="0" applyProtection="0"/>
    <xf numFmtId="0" fontId="5" fillId="3" borderId="0" applyNumberFormat="0" applyBorder="0" applyAlignment="0" applyProtection="0"/>
    <xf numFmtId="0" fontId="4" fillId="4" borderId="0" applyNumberFormat="0" applyFon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7" fillId="7" borderId="0" applyNumberFormat="0" applyBorder="0" applyAlignment="0" applyProtection="0"/>
    <xf numFmtId="0" fontId="6" fillId="8" borderId="3" applyNumberFormat="0" applyFont="0" applyAlignment="0" applyProtection="0"/>
    <xf numFmtId="0" fontId="8" fillId="9" borderId="4" applyAlignment="0">
      <protection locked="0"/>
    </xf>
    <xf numFmtId="0" fontId="8" fillId="9" borderId="4" applyAlignment="0">
      <protection locked="0"/>
    </xf>
    <xf numFmtId="0" fontId="8" fillId="4" borderId="4" applyAlignment="0">
      <protection locked="0"/>
    </xf>
    <xf numFmtId="0" fontId="8" fillId="10" borderId="4" applyAlignment="0">
      <protection locked="0"/>
    </xf>
    <xf numFmtId="0" fontId="8" fillId="11" borderId="4" applyAlignment="0">
      <protection locked="0"/>
    </xf>
    <xf numFmtId="0" fontId="8" fillId="12" borderId="4" applyAlignment="0">
      <protection locked="0"/>
    </xf>
    <xf numFmtId="0" fontId="8" fillId="13" borderId="4" applyAlignment="0">
      <protection locked="0"/>
    </xf>
    <xf numFmtId="0" fontId="7" fillId="14" borderId="0" applyNumberFormat="0" applyBorder="0" applyAlignment="0" applyProtection="0"/>
    <xf numFmtId="0" fontId="9" fillId="0" borderId="0" applyNumberFormat="0" applyFont="0" applyBorder="0" applyAlignment="0" applyProtection="0"/>
    <xf numFmtId="0" fontId="5" fillId="5" borderId="0" applyNumberFormat="0" applyBorder="0" applyAlignment="0" applyProtection="0"/>
    <xf numFmtId="0" fontId="4" fillId="4" borderId="0" applyNumberFormat="0" applyFont="0" applyBorder="0" applyAlignment="0" applyProtection="0"/>
    <xf numFmtId="0" fontId="10" fillId="0" borderId="0" applyNumberFormat="0" applyFill="0" applyBorder="0" applyAlignment="0" applyProtection="0"/>
    <xf numFmtId="0" fontId="12" fillId="18" borderId="6" applyNumberFormat="0" applyAlignment="0" applyProtection="0"/>
    <xf numFmtId="0" fontId="3" fillId="19" borderId="0" applyNumberFormat="0" applyBorder="0" applyAlignment="0" applyProtection="0"/>
    <xf numFmtId="0" fontId="7" fillId="20" borderId="0" applyNumberFormat="0" applyBorder="0" applyAlignment="0" applyProtection="0"/>
    <xf numFmtId="0" fontId="5" fillId="3" borderId="0" applyNumberFormat="0" applyBorder="0" applyAlignment="0" applyProtection="0"/>
    <xf numFmtId="0" fontId="6" fillId="8" borderId="3" applyNumberFormat="0" applyFont="0" applyAlignment="0" applyProtection="0"/>
    <xf numFmtId="0" fontId="2" fillId="0" borderId="0"/>
  </cellStyleXfs>
  <cellXfs count="559">
    <xf numFmtId="0" fontId="0" fillId="0" borderId="0" xfId="0"/>
    <xf numFmtId="0" fontId="14" fillId="0" borderId="2" xfId="0" applyFont="1" applyBorder="1" applyAlignment="1">
      <alignment horizontal="center" vertical="center" shrinkToFit="1"/>
    </xf>
    <xf numFmtId="14" fontId="14" fillId="0" borderId="2" xfId="0" applyNumberFormat="1" applyFont="1" applyBorder="1" applyAlignment="1">
      <alignment horizontal="center" vertical="center" shrinkToFit="1"/>
    </xf>
    <xf numFmtId="0" fontId="14" fillId="16" borderId="2" xfId="0" applyFont="1" applyFill="1" applyBorder="1" applyAlignment="1">
      <alignment horizontal="center" vertical="center" shrinkToFit="1"/>
    </xf>
    <xf numFmtId="14" fontId="14" fillId="16" borderId="2" xfId="0" applyNumberFormat="1" applyFont="1" applyFill="1" applyBorder="1" applyAlignment="1">
      <alignment horizontal="center" vertical="center" shrinkToFit="1"/>
    </xf>
    <xf numFmtId="0" fontId="14" fillId="16" borderId="2" xfId="0" applyNumberFormat="1" applyFont="1" applyFill="1" applyBorder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14" fontId="14" fillId="0" borderId="0" xfId="0" applyNumberFormat="1" applyFont="1" applyAlignment="1">
      <alignment horizontal="center" vertical="center" shrinkToFit="1"/>
    </xf>
    <xf numFmtId="0" fontId="17" fillId="15" borderId="2" xfId="3" applyNumberFormat="1" applyFont="1" applyFill="1" applyBorder="1" applyAlignment="1">
      <alignment horizontal="center" vertical="center" shrinkToFit="1"/>
    </xf>
    <xf numFmtId="0" fontId="18" fillId="3" borderId="2" xfId="2" applyNumberFormat="1" applyFont="1" applyBorder="1" applyAlignment="1">
      <alignment horizontal="center" vertical="center" shrinkToFit="1"/>
    </xf>
    <xf numFmtId="0" fontId="17" fillId="5" borderId="2" xfId="4" applyNumberFormat="1" applyFont="1" applyBorder="1" applyAlignment="1">
      <alignment horizontal="center" vertical="center" shrinkToFit="1"/>
    </xf>
    <xf numFmtId="14" fontId="19" fillId="6" borderId="2" xfId="5" applyNumberFormat="1" applyFont="1" applyBorder="1" applyAlignment="1">
      <alignment horizontal="center" vertical="center" shrinkToFit="1"/>
    </xf>
    <xf numFmtId="0" fontId="20" fillId="0" borderId="0" xfId="0" applyFont="1" applyAlignment="1">
      <alignment horizontal="center" shrinkToFit="1"/>
    </xf>
    <xf numFmtId="14" fontId="20" fillId="0" borderId="0" xfId="0" applyNumberFormat="1" applyFont="1" applyAlignment="1">
      <alignment horizontal="center" shrinkToFit="1"/>
    </xf>
    <xf numFmtId="0" fontId="20" fillId="0" borderId="0" xfId="0" applyNumberFormat="1" applyFont="1" applyAlignment="1">
      <alignment horizontal="center" shrinkToFit="1"/>
    </xf>
    <xf numFmtId="14" fontId="14" fillId="0" borderId="2" xfId="0" applyNumberFormat="1" applyFont="1" applyBorder="1" applyAlignment="1">
      <alignment horizontal="center" shrinkToFit="1"/>
    </xf>
    <xf numFmtId="14" fontId="17" fillId="15" borderId="2" xfId="3" applyNumberFormat="1" applyFont="1" applyFill="1" applyBorder="1" applyAlignment="1">
      <alignment horizontal="center" vertical="center" shrinkToFit="1"/>
    </xf>
    <xf numFmtId="14" fontId="18" fillId="3" borderId="2" xfId="2" applyNumberFormat="1" applyFont="1" applyBorder="1" applyAlignment="1">
      <alignment horizontal="center" vertical="center" shrinkToFit="1"/>
    </xf>
    <xf numFmtId="14" fontId="17" fillId="5" borderId="2" xfId="4" applyNumberFormat="1" applyFont="1" applyBorder="1" applyAlignment="1">
      <alignment horizontal="center" vertical="center" shrinkToFit="1"/>
    </xf>
    <xf numFmtId="14" fontId="17" fillId="5" borderId="2" xfId="4" applyNumberFormat="1" applyFont="1" applyBorder="1" applyAlignment="1">
      <alignment horizontal="center" shrinkToFit="1"/>
    </xf>
    <xf numFmtId="0" fontId="17" fillId="5" borderId="2" xfId="4" applyNumberFormat="1" applyFont="1" applyBorder="1" applyAlignment="1">
      <alignment horizontal="center" shrinkToFit="1"/>
    </xf>
    <xf numFmtId="14" fontId="13" fillId="14" borderId="2" xfId="15" applyNumberFormat="1" applyFont="1" applyBorder="1" applyAlignment="1">
      <alignment horizontal="center" vertical="center" shrinkToFit="1"/>
    </xf>
    <xf numFmtId="0" fontId="13" fillId="14" borderId="2" xfId="15" applyNumberFormat="1" applyFont="1" applyBorder="1" applyAlignment="1">
      <alignment horizontal="center" vertical="center" shrinkToFit="1"/>
    </xf>
    <xf numFmtId="14" fontId="17" fillId="5" borderId="2" xfId="17" applyNumberFormat="1" applyFont="1" applyBorder="1" applyAlignment="1">
      <alignment horizontal="center" shrinkToFit="1"/>
    </xf>
    <xf numFmtId="0" fontId="16" fillId="18" borderId="2" xfId="20" applyNumberFormat="1" applyFont="1" applyBorder="1" applyAlignment="1">
      <alignment horizontal="center" vertical="center" shrinkToFit="1"/>
    </xf>
    <xf numFmtId="14" fontId="16" fillId="18" borderId="2" xfId="20" applyNumberFormat="1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shrinkToFit="1"/>
    </xf>
    <xf numFmtId="14" fontId="20" fillId="0" borderId="2" xfId="0" applyNumberFormat="1" applyFont="1" applyBorder="1" applyAlignment="1">
      <alignment horizontal="center" shrinkToFit="1"/>
    </xf>
    <xf numFmtId="0" fontId="14" fillId="12" borderId="2" xfId="0" applyFont="1" applyFill="1" applyBorder="1" applyAlignment="1">
      <alignment horizontal="center" shrinkToFit="1"/>
    </xf>
    <xf numFmtId="0" fontId="26" fillId="13" borderId="2" xfId="0" applyFont="1" applyFill="1" applyBorder="1" applyAlignment="1">
      <alignment horizontal="center" shrinkToFit="1"/>
    </xf>
    <xf numFmtId="14" fontId="26" fillId="13" borderId="2" xfId="0" applyNumberFormat="1" applyFont="1" applyFill="1" applyBorder="1" applyAlignment="1">
      <alignment horizontal="center" shrinkToFit="1"/>
    </xf>
    <xf numFmtId="0" fontId="26" fillId="13" borderId="2" xfId="0" applyNumberFormat="1" applyFont="1" applyFill="1" applyBorder="1" applyAlignment="1">
      <alignment horizontal="center" shrinkToFit="1"/>
    </xf>
    <xf numFmtId="0" fontId="27" fillId="13" borderId="2" xfId="0" applyFont="1" applyFill="1" applyBorder="1" applyAlignment="1" applyProtection="1">
      <alignment horizontal="center" vertical="center" shrinkToFit="1"/>
      <protection locked="0"/>
    </xf>
    <xf numFmtId="0" fontId="26" fillId="15" borderId="2" xfId="0" applyFont="1" applyFill="1" applyBorder="1" applyAlignment="1">
      <alignment horizontal="center" shrinkToFit="1"/>
    </xf>
    <xf numFmtId="14" fontId="26" fillId="15" borderId="2" xfId="0" applyNumberFormat="1" applyFont="1" applyFill="1" applyBorder="1" applyAlignment="1">
      <alignment horizontal="center" shrinkToFit="1"/>
    </xf>
    <xf numFmtId="0" fontId="26" fillId="15" borderId="2" xfId="0" applyNumberFormat="1" applyFont="1" applyFill="1" applyBorder="1" applyAlignment="1">
      <alignment horizontal="center" shrinkToFit="1"/>
    </xf>
    <xf numFmtId="0" fontId="17" fillId="13" borderId="2" xfId="2" applyFont="1" applyFill="1" applyBorder="1" applyAlignment="1">
      <alignment horizontal="center" shrinkToFit="1"/>
    </xf>
    <xf numFmtId="14" fontId="17" fillId="13" borderId="2" xfId="2" applyNumberFormat="1" applyFont="1" applyFill="1" applyBorder="1" applyAlignment="1">
      <alignment horizontal="center" shrinkToFit="1"/>
    </xf>
    <xf numFmtId="0" fontId="17" fillId="13" borderId="2" xfId="2" applyNumberFormat="1" applyFont="1" applyFill="1" applyBorder="1" applyAlignment="1">
      <alignment horizontal="center" shrinkToFit="1"/>
    </xf>
    <xf numFmtId="0" fontId="17" fillId="13" borderId="2" xfId="2" applyFont="1" applyFill="1" applyBorder="1" applyAlignment="1" applyProtection="1">
      <alignment horizontal="center" vertical="center" shrinkToFit="1"/>
      <protection locked="0"/>
    </xf>
    <xf numFmtId="0" fontId="26" fillId="10" borderId="2" xfId="0" applyFont="1" applyFill="1" applyBorder="1" applyAlignment="1">
      <alignment horizontal="center" shrinkToFit="1"/>
    </xf>
    <xf numFmtId="0" fontId="27" fillId="10" borderId="2" xfId="0" applyFont="1" applyFill="1" applyBorder="1" applyAlignment="1" applyProtection="1">
      <alignment horizontal="center" vertical="center" shrinkToFit="1"/>
      <protection locked="0"/>
    </xf>
    <xf numFmtId="14" fontId="26" fillId="10" borderId="2" xfId="0" applyNumberFormat="1" applyFont="1" applyFill="1" applyBorder="1" applyAlignment="1">
      <alignment horizontal="center" shrinkToFit="1"/>
    </xf>
    <xf numFmtId="0" fontId="26" fillId="10" borderId="2" xfId="0" applyNumberFormat="1" applyFont="1" applyFill="1" applyBorder="1" applyAlignment="1">
      <alignment horizontal="center" shrinkToFit="1"/>
    </xf>
    <xf numFmtId="0" fontId="27" fillId="13" borderId="2" xfId="14" applyFont="1" applyBorder="1" applyAlignment="1">
      <alignment horizontal="center" vertical="center" shrinkToFit="1"/>
      <protection locked="0"/>
    </xf>
    <xf numFmtId="0" fontId="27" fillId="13" borderId="2" xfId="14" applyFont="1" applyBorder="1" applyAlignment="1">
      <alignment horizontal="center" shrinkToFit="1"/>
      <protection locked="0"/>
    </xf>
    <xf numFmtId="0" fontId="26" fillId="0" borderId="2" xfId="0" applyFont="1" applyBorder="1" applyAlignment="1">
      <alignment horizontal="center" shrinkToFit="1"/>
    </xf>
    <xf numFmtId="14" fontId="26" fillId="0" borderId="2" xfId="0" applyNumberFormat="1" applyFont="1" applyBorder="1" applyAlignment="1">
      <alignment horizontal="center" shrinkToFit="1"/>
    </xf>
    <xf numFmtId="0" fontId="26" fillId="0" borderId="2" xfId="0" applyNumberFormat="1" applyFont="1" applyBorder="1" applyAlignment="1">
      <alignment horizontal="center" shrinkToFit="1"/>
    </xf>
    <xf numFmtId="0" fontId="27" fillId="21" borderId="2" xfId="0" applyFont="1" applyFill="1" applyBorder="1" applyAlignment="1" applyProtection="1">
      <alignment horizontal="center" vertical="center" shrinkToFit="1"/>
      <protection locked="0"/>
    </xf>
    <xf numFmtId="0" fontId="26" fillId="11" borderId="2" xfId="0" applyFont="1" applyFill="1" applyBorder="1" applyAlignment="1">
      <alignment horizontal="center" shrinkToFit="1"/>
    </xf>
    <xf numFmtId="0" fontId="27" fillId="11" borderId="2" xfId="0" applyFont="1" applyFill="1" applyBorder="1" applyAlignment="1" applyProtection="1">
      <alignment horizontal="center" vertical="center" shrinkToFit="1"/>
      <protection locked="0"/>
    </xf>
    <xf numFmtId="14" fontId="26" fillId="11" borderId="2" xfId="0" applyNumberFormat="1" applyFont="1" applyFill="1" applyBorder="1" applyAlignment="1">
      <alignment horizontal="center" shrinkToFit="1"/>
    </xf>
    <xf numFmtId="0" fontId="26" fillId="11" borderId="2" xfId="0" applyNumberFormat="1" applyFont="1" applyFill="1" applyBorder="1" applyAlignment="1">
      <alignment horizontal="center" shrinkToFit="1"/>
    </xf>
    <xf numFmtId="0" fontId="27" fillId="21" borderId="2" xfId="14" applyFont="1" applyFill="1" applyBorder="1" applyAlignment="1">
      <alignment horizontal="center" shrinkToFit="1"/>
      <protection locked="0"/>
    </xf>
    <xf numFmtId="0" fontId="27" fillId="11" borderId="2" xfId="14" applyFont="1" applyFill="1" applyBorder="1" applyAlignment="1">
      <alignment horizontal="center" vertical="center" shrinkToFit="1"/>
      <protection locked="0"/>
    </xf>
    <xf numFmtId="0" fontId="27" fillId="11" borderId="2" xfId="14" applyFont="1" applyFill="1" applyBorder="1" applyAlignment="1">
      <alignment horizontal="center" shrinkToFit="1"/>
      <protection locked="0"/>
    </xf>
    <xf numFmtId="14" fontId="27" fillId="11" borderId="2" xfId="14" applyNumberFormat="1" applyFont="1" applyFill="1" applyBorder="1" applyAlignment="1">
      <alignment horizontal="center" shrinkToFit="1"/>
      <protection locked="0"/>
    </xf>
    <xf numFmtId="0" fontId="30" fillId="13" borderId="2" xfId="2" applyFont="1" applyFill="1" applyBorder="1" applyAlignment="1">
      <alignment horizontal="center" shrinkToFit="1"/>
    </xf>
    <xf numFmtId="14" fontId="30" fillId="13" borderId="2" xfId="2" applyNumberFormat="1" applyFont="1" applyFill="1" applyBorder="1" applyAlignment="1">
      <alignment horizontal="center" shrinkToFit="1"/>
    </xf>
    <xf numFmtId="0" fontId="30" fillId="4" borderId="2" xfId="18" applyFont="1" applyBorder="1" applyAlignment="1">
      <alignment horizontal="center" shrinkToFit="1"/>
    </xf>
    <xf numFmtId="0" fontId="26" fillId="4" borderId="2" xfId="18" applyFont="1" applyBorder="1" applyAlignment="1">
      <alignment horizontal="center" shrinkToFit="1"/>
    </xf>
    <xf numFmtId="0" fontId="31" fillId="4" borderId="2" xfId="18" applyFont="1" applyBorder="1" applyAlignment="1">
      <alignment horizontal="center" shrinkToFit="1"/>
    </xf>
    <xf numFmtId="14" fontId="26" fillId="4" borderId="2" xfId="18" applyNumberFormat="1" applyFont="1" applyBorder="1" applyAlignment="1">
      <alignment horizontal="center" shrinkToFit="1"/>
    </xf>
    <xf numFmtId="0" fontId="32" fillId="4" borderId="2" xfId="18" applyFont="1" applyBorder="1" applyAlignment="1">
      <alignment horizontal="center" shrinkToFit="1"/>
    </xf>
    <xf numFmtId="0" fontId="31" fillId="13" borderId="2" xfId="0" applyFont="1" applyFill="1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0" fontId="29" fillId="0" borderId="2" xfId="14" applyFont="1" applyFill="1" applyBorder="1" applyAlignment="1">
      <alignment horizontal="center" vertical="center" shrinkToFit="1"/>
      <protection locked="0"/>
    </xf>
    <xf numFmtId="0" fontId="34" fillId="3" borderId="2" xfId="2" applyFont="1" applyBorder="1" applyAlignment="1">
      <alignment horizontal="center" shrinkToFit="1"/>
    </xf>
    <xf numFmtId="14" fontId="34" fillId="3" borderId="2" xfId="2" applyNumberFormat="1" applyFont="1" applyBorder="1" applyAlignment="1">
      <alignment horizontal="center" shrinkToFit="1"/>
    </xf>
    <xf numFmtId="0" fontId="27" fillId="15" borderId="2" xfId="14" applyFont="1" applyFill="1" applyBorder="1" applyAlignment="1">
      <alignment horizontal="center" shrinkToFit="1"/>
      <protection locked="0"/>
    </xf>
    <xf numFmtId="0" fontId="17" fillId="5" borderId="2" xfId="17" applyFont="1" applyBorder="1" applyAlignment="1">
      <alignment horizontal="center" shrinkToFit="1"/>
    </xf>
    <xf numFmtId="14" fontId="30" fillId="4" borderId="2" xfId="18" applyNumberFormat="1" applyFont="1" applyBorder="1" applyAlignment="1">
      <alignment horizontal="center" shrinkToFit="1"/>
    </xf>
    <xf numFmtId="0" fontId="30" fillId="15" borderId="2" xfId="2" applyFont="1" applyFill="1" applyBorder="1" applyAlignment="1">
      <alignment horizontal="center" shrinkToFit="1"/>
    </xf>
    <xf numFmtId="14" fontId="30" fillId="15" borderId="2" xfId="2" applyNumberFormat="1" applyFont="1" applyFill="1" applyBorder="1" applyAlignment="1">
      <alignment horizontal="center" shrinkToFit="1"/>
    </xf>
    <xf numFmtId="0" fontId="29" fillId="13" borderId="2" xfId="14" applyFont="1" applyBorder="1" applyAlignment="1">
      <alignment horizontal="center" vertical="center" shrinkToFit="1"/>
      <protection locked="0"/>
    </xf>
    <xf numFmtId="0" fontId="26" fillId="12" borderId="2" xfId="0" applyFont="1" applyFill="1" applyBorder="1" applyAlignment="1">
      <alignment horizontal="center" shrinkToFit="1"/>
    </xf>
    <xf numFmtId="14" fontId="26" fillId="12" borderId="2" xfId="0" applyNumberFormat="1" applyFont="1" applyFill="1" applyBorder="1" applyAlignment="1">
      <alignment horizontal="center" shrinkToFit="1"/>
    </xf>
    <xf numFmtId="14" fontId="29" fillId="13" borderId="2" xfId="14" applyNumberFormat="1" applyFont="1" applyBorder="1" applyAlignment="1">
      <alignment horizontal="center" vertical="center" shrinkToFit="1"/>
      <protection locked="0"/>
    </xf>
    <xf numFmtId="0" fontId="29" fillId="15" borderId="2" xfId="14" applyFont="1" applyFill="1" applyBorder="1" applyAlignment="1">
      <alignment horizontal="center" vertical="center" shrinkToFit="1"/>
      <protection locked="0"/>
    </xf>
    <xf numFmtId="14" fontId="29" fillId="15" borderId="2" xfId="14" applyNumberFormat="1" applyFont="1" applyFill="1" applyBorder="1" applyAlignment="1">
      <alignment horizontal="center" vertical="center" shrinkToFit="1"/>
      <protection locked="0"/>
    </xf>
    <xf numFmtId="0" fontId="29" fillId="4" borderId="2" xfId="18" applyFont="1" applyBorder="1" applyAlignment="1" applyProtection="1">
      <alignment horizontal="center" vertical="center" shrinkToFit="1"/>
      <protection locked="0"/>
    </xf>
    <xf numFmtId="14" fontId="29" fillId="4" borderId="2" xfId="18" applyNumberFormat="1" applyFont="1" applyBorder="1" applyAlignment="1" applyProtection="1">
      <alignment horizontal="center" vertical="center" shrinkToFit="1"/>
      <protection locked="0"/>
    </xf>
    <xf numFmtId="0" fontId="17" fillId="5" borderId="2" xfId="17" applyFont="1" applyBorder="1" applyAlignment="1" applyProtection="1">
      <alignment horizontal="center" vertical="center" shrinkToFit="1"/>
      <protection locked="0"/>
    </xf>
    <xf numFmtId="14" fontId="17" fillId="5" borderId="2" xfId="17" applyNumberFormat="1" applyFont="1" applyBorder="1" applyAlignment="1" applyProtection="1">
      <alignment horizontal="center" vertical="center" shrinkToFit="1"/>
      <protection locked="0"/>
    </xf>
    <xf numFmtId="0" fontId="17" fillId="3" borderId="2" xfId="2" applyFont="1" applyBorder="1" applyAlignment="1">
      <alignment horizontal="center" shrinkToFit="1"/>
    </xf>
    <xf numFmtId="0" fontId="17" fillId="3" borderId="2" xfId="2" applyFont="1" applyBorder="1" applyAlignment="1">
      <alignment horizontal="center" vertical="center" shrinkToFit="1"/>
    </xf>
    <xf numFmtId="14" fontId="17" fillId="3" borderId="2" xfId="2" applyNumberFormat="1" applyFont="1" applyBorder="1" applyAlignment="1">
      <alignment horizontal="center" shrinkToFit="1"/>
    </xf>
    <xf numFmtId="0" fontId="17" fillId="3" borderId="2" xfId="2" applyFont="1" applyBorder="1" applyAlignment="1" applyProtection="1">
      <alignment horizontal="center" shrinkToFit="1"/>
      <protection locked="0"/>
    </xf>
    <xf numFmtId="0" fontId="26" fillId="10" borderId="2" xfId="0" applyFont="1" applyFill="1" applyBorder="1" applyAlignment="1">
      <alignment horizontal="center" vertical="center" shrinkToFit="1"/>
    </xf>
    <xf numFmtId="0" fontId="29" fillId="10" borderId="2" xfId="11" applyFont="1" applyBorder="1" applyAlignment="1">
      <alignment horizontal="center" shrinkToFit="1"/>
      <protection locked="0"/>
    </xf>
    <xf numFmtId="14" fontId="29" fillId="10" borderId="2" xfId="11" applyNumberFormat="1" applyFont="1" applyBorder="1" applyAlignment="1">
      <alignment horizontal="center" shrinkToFit="1"/>
      <protection locked="0"/>
    </xf>
    <xf numFmtId="0" fontId="29" fillId="0" borderId="2" xfId="0" applyFont="1" applyBorder="1" applyAlignment="1" applyProtection="1">
      <alignment horizontal="center" vertical="center" shrinkToFit="1"/>
      <protection locked="0"/>
    </xf>
    <xf numFmtId="14" fontId="29" fillId="0" borderId="2" xfId="0" applyNumberFormat="1" applyFont="1" applyBorder="1" applyAlignment="1" applyProtection="1">
      <alignment horizontal="center" vertical="center" shrinkToFit="1"/>
      <protection locked="0"/>
    </xf>
    <xf numFmtId="0" fontId="33" fillId="10" borderId="2" xfId="11" applyFont="1" applyBorder="1" applyAlignment="1">
      <alignment horizontal="center" shrinkToFit="1"/>
      <protection locked="0"/>
    </xf>
    <xf numFmtId="0" fontId="29" fillId="10" borderId="2" xfId="11" applyFont="1" applyBorder="1" applyAlignment="1">
      <alignment horizontal="center" vertical="center" shrinkToFit="1"/>
      <protection locked="0"/>
    </xf>
    <xf numFmtId="0" fontId="15" fillId="0" borderId="2" xfId="0" applyFont="1" applyBorder="1" applyAlignment="1">
      <alignment horizontal="center" shrinkToFit="1"/>
    </xf>
    <xf numFmtId="0" fontId="14" fillId="0" borderId="2" xfId="0" applyFont="1" applyBorder="1" applyAlignment="1">
      <alignment horizontal="center" vertical="top" shrinkToFit="1"/>
    </xf>
    <xf numFmtId="0" fontId="29" fillId="11" borderId="2" xfId="12" applyFont="1" applyBorder="1" applyAlignment="1">
      <alignment horizontal="center" shrinkToFit="1"/>
      <protection locked="0"/>
    </xf>
    <xf numFmtId="0" fontId="33" fillId="11" borderId="2" xfId="12" applyFont="1" applyBorder="1" applyAlignment="1">
      <alignment horizontal="center" shrinkToFit="1"/>
      <protection locked="0"/>
    </xf>
    <xf numFmtId="14" fontId="29" fillId="11" borderId="2" xfId="12" applyNumberFormat="1" applyFont="1" applyBorder="1" applyAlignment="1">
      <alignment horizontal="center" shrinkToFit="1"/>
      <protection locked="0"/>
    </xf>
    <xf numFmtId="0" fontId="29" fillId="11" borderId="2" xfId="12" applyFont="1" applyBorder="1" applyAlignment="1">
      <alignment horizontal="center" vertical="top" shrinkToFit="1"/>
      <protection locked="0"/>
    </xf>
    <xf numFmtId="0" fontId="14" fillId="19" borderId="2" xfId="21" applyFont="1" applyBorder="1" applyAlignment="1">
      <alignment horizontal="center" shrinkToFit="1"/>
    </xf>
    <xf numFmtId="0" fontId="29" fillId="0" borderId="2" xfId="0" applyFont="1" applyBorder="1" applyAlignment="1" applyProtection="1">
      <alignment horizontal="center" vertical="top" shrinkToFit="1"/>
      <protection locked="0"/>
    </xf>
    <xf numFmtId="14" fontId="29" fillId="0" borderId="2" xfId="0" applyNumberFormat="1" applyFont="1" applyBorder="1" applyAlignment="1" applyProtection="1">
      <alignment horizontal="center" shrinkToFit="1"/>
      <protection locked="0"/>
    </xf>
    <xf numFmtId="0" fontId="17" fillId="0" borderId="2" xfId="0" applyFont="1" applyBorder="1" applyAlignment="1">
      <alignment horizontal="center" shrinkToFit="1"/>
    </xf>
    <xf numFmtId="14" fontId="14" fillId="12" borderId="2" xfId="0" applyNumberFormat="1" applyFont="1" applyFill="1" applyBorder="1" applyAlignment="1">
      <alignment horizontal="center" shrinkToFit="1"/>
    </xf>
    <xf numFmtId="0" fontId="27" fillId="12" borderId="2" xfId="0" applyFont="1" applyFill="1" applyBorder="1" applyAlignment="1" applyProtection="1">
      <alignment horizontal="center" vertical="center" shrinkToFit="1"/>
      <protection locked="0"/>
    </xf>
    <xf numFmtId="0" fontId="26" fillId="12" borderId="2" xfId="0" applyNumberFormat="1" applyFont="1" applyFill="1" applyBorder="1" applyAlignment="1">
      <alignment horizontal="center" shrinkToFit="1"/>
    </xf>
    <xf numFmtId="0" fontId="27" fillId="12" borderId="2" xfId="14" applyFont="1" applyFill="1" applyBorder="1" applyAlignment="1">
      <alignment horizontal="center" shrinkToFit="1"/>
      <protection locked="0"/>
    </xf>
    <xf numFmtId="0" fontId="27" fillId="12" borderId="2" xfId="14" applyFont="1" applyFill="1" applyBorder="1" applyAlignment="1">
      <alignment horizontal="center" vertical="center" shrinkToFit="1"/>
      <protection locked="0"/>
    </xf>
    <xf numFmtId="0" fontId="17" fillId="5" borderId="2" xfId="17" applyFont="1" applyBorder="1" applyAlignment="1" applyProtection="1">
      <alignment horizontal="center" shrinkToFit="1"/>
      <protection locked="0"/>
    </xf>
    <xf numFmtId="0" fontId="26" fillId="12" borderId="2" xfId="18" applyFont="1" applyFill="1" applyBorder="1" applyAlignment="1">
      <alignment horizontal="center" shrinkToFit="1"/>
    </xf>
    <xf numFmtId="0" fontId="17" fillId="12" borderId="2" xfId="23" applyFont="1" applyFill="1" applyBorder="1" applyAlignment="1" applyProtection="1">
      <alignment horizontal="center" vertical="center" shrinkToFit="1"/>
      <protection locked="0"/>
    </xf>
    <xf numFmtId="0" fontId="17" fillId="12" borderId="2" xfId="23" applyFont="1" applyFill="1" applyBorder="1" applyAlignment="1">
      <alignment horizontal="center" shrinkToFit="1"/>
    </xf>
    <xf numFmtId="14" fontId="26" fillId="12" borderId="2" xfId="18" applyNumberFormat="1" applyFont="1" applyFill="1" applyBorder="1" applyAlignment="1">
      <alignment horizontal="center" shrinkToFit="1"/>
    </xf>
    <xf numFmtId="0" fontId="26" fillId="12" borderId="2" xfId="18" applyNumberFormat="1" applyFont="1" applyFill="1" applyBorder="1" applyAlignment="1">
      <alignment horizontal="center" shrinkToFit="1"/>
    </xf>
    <xf numFmtId="0" fontId="27" fillId="12" borderId="2" xfId="18" applyFont="1" applyFill="1" applyBorder="1" applyAlignment="1" applyProtection="1">
      <alignment horizontal="center" vertical="center" shrinkToFit="1"/>
      <protection locked="0"/>
    </xf>
    <xf numFmtId="0" fontId="30" fillId="12" borderId="2" xfId="18" applyFont="1" applyFill="1" applyBorder="1" applyAlignment="1">
      <alignment horizontal="center" shrinkToFit="1"/>
    </xf>
    <xf numFmtId="14" fontId="30" fillId="12" borderId="2" xfId="18" applyNumberFormat="1" applyFont="1" applyFill="1" applyBorder="1" applyAlignment="1">
      <alignment horizontal="center" shrinkToFit="1"/>
    </xf>
    <xf numFmtId="0" fontId="30" fillId="12" borderId="2" xfId="18" applyNumberFormat="1" applyFont="1" applyFill="1" applyBorder="1" applyAlignment="1">
      <alignment horizontal="center" shrinkToFit="1"/>
    </xf>
    <xf numFmtId="0" fontId="17" fillId="5" borderId="2" xfId="17" applyNumberFormat="1" applyFont="1" applyBorder="1" applyAlignment="1">
      <alignment horizontal="center" shrinkToFit="1"/>
    </xf>
    <xf numFmtId="16" fontId="17" fillId="5" borderId="2" xfId="17" applyNumberFormat="1" applyFont="1" applyBorder="1" applyAlignment="1">
      <alignment horizontal="center" shrinkToFit="1"/>
    </xf>
    <xf numFmtId="0" fontId="30" fillId="12" borderId="2" xfId="23" applyFont="1" applyFill="1" applyBorder="1" applyAlignment="1">
      <alignment horizontal="center" shrinkToFit="1"/>
    </xf>
    <xf numFmtId="14" fontId="30" fillId="12" borderId="2" xfId="23" applyNumberFormat="1" applyFont="1" applyFill="1" applyBorder="1" applyAlignment="1">
      <alignment horizontal="center" shrinkToFit="1"/>
    </xf>
    <xf numFmtId="14" fontId="17" fillId="5" borderId="2" xfId="17" applyNumberFormat="1" applyFont="1" applyBorder="1" applyAlignment="1" applyProtection="1">
      <alignment horizontal="center" shrinkToFit="1"/>
      <protection locked="0"/>
    </xf>
    <xf numFmtId="0" fontId="17" fillId="12" borderId="2" xfId="18" applyFont="1" applyFill="1" applyBorder="1" applyAlignment="1">
      <alignment horizontal="center" shrinkToFit="1"/>
    </xf>
    <xf numFmtId="0" fontId="17" fillId="12" borderId="2" xfId="18" applyFont="1" applyFill="1" applyBorder="1" applyAlignment="1" applyProtection="1">
      <alignment horizontal="center" shrinkToFit="1"/>
      <protection locked="0"/>
    </xf>
    <xf numFmtId="14" fontId="17" fillId="12" borderId="2" xfId="18" applyNumberFormat="1" applyFont="1" applyFill="1" applyBorder="1" applyAlignment="1">
      <alignment horizontal="center" shrinkToFit="1"/>
    </xf>
    <xf numFmtId="0" fontId="29" fillId="12" borderId="2" xfId="13" applyFont="1" applyBorder="1" applyAlignment="1">
      <alignment horizontal="center" shrinkToFit="1"/>
      <protection locked="0"/>
    </xf>
    <xf numFmtId="14" fontId="29" fillId="12" borderId="2" xfId="13" applyNumberFormat="1" applyFont="1" applyBorder="1" applyAlignment="1">
      <alignment horizontal="center" shrinkToFit="1"/>
      <protection locked="0"/>
    </xf>
    <xf numFmtId="14" fontId="17" fillId="12" borderId="2" xfId="18" applyNumberFormat="1" applyFont="1" applyFill="1" applyBorder="1" applyAlignment="1" applyProtection="1">
      <alignment horizontal="center" shrinkToFit="1"/>
      <protection locked="0"/>
    </xf>
    <xf numFmtId="0" fontId="17" fillId="12" borderId="2" xfId="18" applyFont="1" applyFill="1" applyBorder="1" applyAlignment="1" applyProtection="1">
      <alignment horizontal="center" vertical="center" shrinkToFit="1"/>
      <protection locked="0"/>
    </xf>
    <xf numFmtId="0" fontId="17" fillId="12" borderId="2" xfId="24" applyFont="1" applyFill="1" applyBorder="1" applyAlignment="1">
      <alignment horizontal="center" shrinkToFit="1"/>
    </xf>
    <xf numFmtId="0" fontId="17" fillId="5" borderId="2" xfId="4" applyFont="1" applyBorder="1" applyAlignment="1">
      <alignment horizontal="center" vertical="center" shrinkToFit="1"/>
    </xf>
    <xf numFmtId="0" fontId="17" fillId="5" borderId="2" xfId="4" applyFont="1" applyBorder="1" applyAlignment="1">
      <alignment horizontal="center" shrinkToFit="1"/>
    </xf>
    <xf numFmtId="0" fontId="17" fillId="5" borderId="2" xfId="4" quotePrefix="1" applyFont="1" applyBorder="1" applyAlignment="1">
      <alignment horizontal="center" shrinkToFit="1"/>
    </xf>
    <xf numFmtId="0" fontId="17" fillId="5" borderId="2" xfId="4" applyFont="1" applyBorder="1" applyAlignment="1" applyProtection="1">
      <alignment horizontal="center" shrinkToFit="1"/>
      <protection locked="0"/>
    </xf>
    <xf numFmtId="0" fontId="17" fillId="5" borderId="2" xfId="4" applyFont="1" applyBorder="1" applyAlignment="1">
      <alignment horizontal="center" vertical="top" shrinkToFit="1"/>
    </xf>
    <xf numFmtId="0" fontId="13" fillId="20" borderId="2" xfId="22" applyFont="1" applyBorder="1" applyAlignment="1">
      <alignment horizontal="center" shrinkToFit="1"/>
    </xf>
    <xf numFmtId="0" fontId="13" fillId="20" borderId="2" xfId="22" applyFont="1" applyBorder="1" applyAlignment="1">
      <alignment horizontal="center" vertical="center" shrinkToFit="1"/>
    </xf>
    <xf numFmtId="14" fontId="13" fillId="20" borderId="2" xfId="22" applyNumberFormat="1" applyFont="1" applyBorder="1" applyAlignment="1">
      <alignment horizontal="center" shrinkToFit="1"/>
    </xf>
    <xf numFmtId="0" fontId="29" fillId="12" borderId="2" xfId="13" applyFont="1" applyBorder="1" applyAlignment="1">
      <alignment horizontal="center" vertical="center" shrinkToFit="1"/>
      <protection locked="0"/>
    </xf>
    <xf numFmtId="14" fontId="17" fillId="5" borderId="2" xfId="4" applyNumberFormat="1" applyFont="1" applyBorder="1" applyAlignment="1" applyProtection="1">
      <alignment horizontal="center" shrinkToFit="1"/>
      <protection locked="0"/>
    </xf>
    <xf numFmtId="0" fontId="17" fillId="5" borderId="2" xfId="4" applyFont="1" applyBorder="1" applyAlignment="1" applyProtection="1">
      <alignment horizontal="center" vertical="center" shrinkToFit="1"/>
      <protection locked="0"/>
    </xf>
    <xf numFmtId="0" fontId="14" fillId="12" borderId="2" xfId="7" applyFont="1" applyFill="1" applyBorder="1" applyAlignment="1">
      <alignment horizontal="center" shrinkToFit="1"/>
    </xf>
    <xf numFmtId="0" fontId="34" fillId="12" borderId="2" xfId="2" applyFont="1" applyFill="1" applyBorder="1" applyAlignment="1">
      <alignment horizontal="center" shrinkToFit="1"/>
    </xf>
    <xf numFmtId="0" fontId="17" fillId="12" borderId="2" xfId="2" applyFont="1" applyFill="1" applyBorder="1" applyAlignment="1">
      <alignment horizontal="center" shrinkToFit="1"/>
    </xf>
    <xf numFmtId="0" fontId="29" fillId="12" borderId="2" xfId="0" applyFont="1" applyFill="1" applyBorder="1" applyAlignment="1" applyProtection="1">
      <alignment horizontal="center" vertical="center" shrinkToFit="1"/>
      <protection locked="0"/>
    </xf>
    <xf numFmtId="0" fontId="35" fillId="12" borderId="2" xfId="4" applyFont="1" applyFill="1" applyBorder="1" applyAlignment="1">
      <alignment horizontal="center" shrinkToFit="1"/>
    </xf>
    <xf numFmtId="0" fontId="20" fillId="12" borderId="2" xfId="0" applyFont="1" applyFill="1" applyBorder="1" applyAlignment="1">
      <alignment horizontal="center" shrinkToFit="1"/>
    </xf>
    <xf numFmtId="0" fontId="36" fillId="12" borderId="2" xfId="0" applyFont="1" applyFill="1" applyBorder="1" applyAlignment="1">
      <alignment horizontal="center" shrinkToFit="1"/>
    </xf>
    <xf numFmtId="0" fontId="28" fillId="12" borderId="2" xfId="0" applyFont="1" applyFill="1" applyBorder="1" applyAlignment="1">
      <alignment horizontal="center" shrinkToFit="1"/>
    </xf>
    <xf numFmtId="0" fontId="29" fillId="12" borderId="2" xfId="11" applyFont="1" applyFill="1" applyBorder="1" applyAlignment="1">
      <alignment horizontal="center" shrinkToFit="1"/>
      <protection locked="0"/>
    </xf>
    <xf numFmtId="0" fontId="29" fillId="12" borderId="2" xfId="11" applyFont="1" applyFill="1" applyBorder="1" applyAlignment="1">
      <alignment horizontal="center" vertical="center" shrinkToFit="1"/>
      <protection locked="0"/>
    </xf>
    <xf numFmtId="14" fontId="29" fillId="12" borderId="2" xfId="11" applyNumberFormat="1" applyFont="1" applyFill="1" applyBorder="1" applyAlignment="1">
      <alignment horizontal="center" shrinkToFit="1"/>
      <protection locked="0"/>
    </xf>
    <xf numFmtId="0" fontId="29" fillId="12" borderId="2" xfId="14" applyFont="1" applyFill="1" applyBorder="1" applyAlignment="1">
      <alignment horizontal="center" shrinkToFit="1"/>
      <protection locked="0"/>
    </xf>
    <xf numFmtId="0" fontId="29" fillId="12" borderId="2" xfId="0" applyFont="1" applyFill="1" applyBorder="1" applyAlignment="1" applyProtection="1">
      <alignment horizontal="center" shrinkToFit="1"/>
      <protection locked="0"/>
    </xf>
    <xf numFmtId="14" fontId="29" fillId="12" borderId="2" xfId="14" applyNumberFormat="1" applyFont="1" applyFill="1" applyBorder="1" applyAlignment="1">
      <alignment horizontal="center" shrinkToFit="1"/>
      <protection locked="0"/>
    </xf>
    <xf numFmtId="0" fontId="17" fillId="12" borderId="2" xfId="0" applyFont="1" applyFill="1" applyBorder="1" applyAlignment="1">
      <alignment horizontal="center" shrinkToFit="1"/>
    </xf>
    <xf numFmtId="14" fontId="17" fillId="12" borderId="2" xfId="0" applyNumberFormat="1" applyFont="1" applyFill="1" applyBorder="1" applyAlignment="1">
      <alignment horizontal="center" shrinkToFit="1"/>
    </xf>
    <xf numFmtId="0" fontId="14" fillId="12" borderId="2" xfId="0" applyFont="1" applyFill="1" applyBorder="1" applyAlignment="1">
      <alignment horizontal="center" vertical="center" shrinkToFit="1"/>
    </xf>
    <xf numFmtId="0" fontId="20" fillId="12" borderId="2" xfId="0" applyFont="1" applyFill="1" applyBorder="1" applyAlignment="1">
      <alignment horizontal="center" vertical="center" shrinkToFit="1"/>
    </xf>
    <xf numFmtId="0" fontId="35" fillId="12" borderId="2" xfId="14" applyFont="1" applyFill="1" applyBorder="1" applyAlignment="1">
      <alignment horizontal="center" shrinkToFit="1"/>
      <protection locked="0"/>
    </xf>
    <xf numFmtId="0" fontId="17" fillId="6" borderId="2" xfId="5" applyFont="1" applyBorder="1" applyAlignment="1">
      <alignment horizontal="center" shrinkToFit="1"/>
    </xf>
    <xf numFmtId="14" fontId="17" fillId="6" borderId="2" xfId="5" applyNumberFormat="1" applyFont="1" applyBorder="1" applyAlignment="1">
      <alignment horizontal="center" shrinkToFit="1"/>
    </xf>
    <xf numFmtId="0" fontId="17" fillId="5" borderId="2" xfId="17" applyFont="1" applyBorder="1" applyAlignment="1">
      <alignment horizontal="center" vertical="center" shrinkToFit="1"/>
    </xf>
    <xf numFmtId="0" fontId="29" fillId="12" borderId="2" xfId="14" applyFont="1" applyFill="1" applyBorder="1" applyAlignment="1">
      <alignment horizontal="center" vertical="center" shrinkToFit="1"/>
      <protection locked="0"/>
    </xf>
    <xf numFmtId="14" fontId="29" fillId="12" borderId="2" xfId="14" applyNumberFormat="1" applyFont="1" applyFill="1" applyBorder="1" applyAlignment="1">
      <alignment horizontal="center" vertical="center" shrinkToFit="1"/>
      <protection locked="0"/>
    </xf>
    <xf numFmtId="0" fontId="14" fillId="0" borderId="2" xfId="0" applyNumberFormat="1" applyFont="1" applyBorder="1" applyAlignment="1">
      <alignment horizontal="center" shrinkToFit="1"/>
    </xf>
    <xf numFmtId="14" fontId="17" fillId="5" borderId="2" xfId="4" applyNumberFormat="1" applyFont="1" applyBorder="1" applyAlignment="1">
      <alignment horizontal="center" vertical="top" shrinkToFit="1"/>
    </xf>
    <xf numFmtId="14" fontId="14" fillId="12" borderId="2" xfId="7" applyNumberFormat="1" applyFont="1" applyFill="1" applyBorder="1" applyAlignment="1">
      <alignment horizontal="center" shrinkToFit="1"/>
    </xf>
    <xf numFmtId="14" fontId="36" fillId="12" borderId="2" xfId="0" applyNumberFormat="1" applyFont="1" applyFill="1" applyBorder="1" applyAlignment="1">
      <alignment horizontal="center" shrinkToFit="1"/>
    </xf>
    <xf numFmtId="14" fontId="29" fillId="12" borderId="2" xfId="0" applyNumberFormat="1" applyFont="1" applyFill="1" applyBorder="1" applyAlignment="1" applyProtection="1">
      <alignment horizontal="center" shrinkToFit="1"/>
      <protection locked="0"/>
    </xf>
    <xf numFmtId="14" fontId="29" fillId="12" borderId="2" xfId="0" applyNumberFormat="1" applyFont="1" applyFill="1" applyBorder="1" applyAlignment="1" applyProtection="1">
      <alignment horizontal="center" vertical="center" shrinkToFit="1"/>
      <protection locked="0"/>
    </xf>
    <xf numFmtId="14" fontId="14" fillId="12" borderId="2" xfId="0" applyNumberFormat="1" applyFont="1" applyFill="1" applyBorder="1" applyAlignment="1" applyProtection="1">
      <alignment horizontal="center" shrinkToFit="1"/>
      <protection locked="0"/>
    </xf>
    <xf numFmtId="14" fontId="20" fillId="12" borderId="2" xfId="0" applyNumberFormat="1" applyFont="1" applyFill="1" applyBorder="1" applyAlignment="1">
      <alignment horizontal="center" shrinkToFit="1"/>
    </xf>
    <xf numFmtId="14" fontId="17" fillId="12" borderId="2" xfId="0" applyNumberFormat="1" applyFont="1" applyFill="1" applyBorder="1" applyAlignment="1" applyProtection="1">
      <alignment horizontal="center" shrinkToFit="1"/>
      <protection locked="0"/>
    </xf>
    <xf numFmtId="0" fontId="30" fillId="13" borderId="2" xfId="2" applyNumberFormat="1" applyFont="1" applyFill="1" applyBorder="1" applyAlignment="1">
      <alignment horizontal="center" shrinkToFit="1"/>
    </xf>
    <xf numFmtId="0" fontId="20" fillId="0" borderId="2" xfId="0" applyNumberFormat="1" applyFont="1" applyBorder="1" applyAlignment="1">
      <alignment horizontal="center" shrinkToFit="1"/>
    </xf>
    <xf numFmtId="0" fontId="34" fillId="3" borderId="2" xfId="2" applyNumberFormat="1" applyFont="1" applyBorder="1" applyAlignment="1">
      <alignment horizontal="center" shrinkToFit="1"/>
    </xf>
    <xf numFmtId="0" fontId="30" fillId="4" borderId="2" xfId="18" applyNumberFormat="1" applyFont="1" applyBorder="1" applyAlignment="1">
      <alignment horizontal="center" shrinkToFit="1"/>
    </xf>
    <xf numFmtId="0" fontId="30" fillId="15" borderId="2" xfId="2" applyNumberFormat="1" applyFont="1" applyFill="1" applyBorder="1" applyAlignment="1">
      <alignment horizontal="center" shrinkToFit="1"/>
    </xf>
    <xf numFmtId="0" fontId="29" fillId="4" borderId="2" xfId="18" applyNumberFormat="1" applyFont="1" applyBorder="1" applyAlignment="1" applyProtection="1">
      <alignment horizontal="center" vertical="center" shrinkToFit="1"/>
      <protection locked="0"/>
    </xf>
    <xf numFmtId="0" fontId="17" fillId="5" borderId="2" xfId="17" applyNumberFormat="1" applyFont="1" applyBorder="1" applyAlignment="1" applyProtection="1">
      <alignment horizontal="center" vertical="center" shrinkToFit="1"/>
      <protection locked="0"/>
    </xf>
    <xf numFmtId="0" fontId="17" fillId="3" borderId="2" xfId="2" applyNumberFormat="1" applyFont="1" applyBorder="1" applyAlignment="1">
      <alignment horizontal="center" shrinkToFit="1"/>
    </xf>
    <xf numFmtId="0" fontId="29" fillId="0" borderId="2" xfId="0" applyNumberFormat="1" applyFont="1" applyBorder="1" applyAlignment="1" applyProtection="1">
      <alignment horizontal="center" vertical="center" shrinkToFit="1"/>
      <protection locked="0"/>
    </xf>
    <xf numFmtId="0" fontId="29" fillId="0" borderId="2" xfId="0" applyNumberFormat="1" applyFont="1" applyBorder="1" applyAlignment="1" applyProtection="1">
      <alignment horizontal="center" shrinkToFit="1"/>
      <protection locked="0"/>
    </xf>
    <xf numFmtId="0" fontId="17" fillId="0" borderId="2" xfId="0" applyNumberFormat="1" applyFont="1" applyBorder="1" applyAlignment="1">
      <alignment horizontal="center" shrinkToFit="1"/>
    </xf>
    <xf numFmtId="0" fontId="14" fillId="12" borderId="2" xfId="0" applyNumberFormat="1" applyFont="1" applyFill="1" applyBorder="1" applyAlignment="1">
      <alignment horizontal="center" shrinkToFit="1"/>
    </xf>
    <xf numFmtId="0" fontId="17" fillId="5" borderId="2" xfId="17" applyNumberFormat="1" applyFont="1" applyBorder="1" applyAlignment="1" applyProtection="1">
      <alignment horizontal="center" shrinkToFit="1"/>
      <protection locked="0"/>
    </xf>
    <xf numFmtId="0" fontId="30" fillId="12" borderId="2" xfId="23" applyNumberFormat="1" applyFont="1" applyFill="1" applyBorder="1" applyAlignment="1">
      <alignment horizontal="center" shrinkToFit="1"/>
    </xf>
    <xf numFmtId="0" fontId="17" fillId="12" borderId="2" xfId="18" applyNumberFormat="1" applyFont="1" applyFill="1" applyBorder="1" applyAlignment="1">
      <alignment horizontal="center" shrinkToFit="1"/>
    </xf>
    <xf numFmtId="0" fontId="17" fillId="12" borderId="2" xfId="18" applyNumberFormat="1" applyFont="1" applyFill="1" applyBorder="1" applyAlignment="1" applyProtection="1">
      <alignment horizontal="center" shrinkToFit="1"/>
      <protection locked="0"/>
    </xf>
    <xf numFmtId="0" fontId="13" fillId="20" borderId="2" xfId="22" applyNumberFormat="1" applyFont="1" applyBorder="1" applyAlignment="1">
      <alignment horizontal="center" shrinkToFit="1"/>
    </xf>
    <xf numFmtId="0" fontId="17" fillId="5" borderId="2" xfId="4" applyNumberFormat="1" applyFont="1" applyBorder="1" applyAlignment="1" applyProtection="1">
      <alignment horizontal="center" shrinkToFit="1"/>
      <protection locked="0"/>
    </xf>
    <xf numFmtId="0" fontId="14" fillId="12" borderId="2" xfId="7" applyNumberFormat="1" applyFont="1" applyFill="1" applyBorder="1" applyAlignment="1">
      <alignment horizontal="center" shrinkToFit="1"/>
    </xf>
    <xf numFmtId="0" fontId="20" fillId="12" borderId="2" xfId="0" applyNumberFormat="1" applyFont="1" applyFill="1" applyBorder="1" applyAlignment="1">
      <alignment horizontal="center" shrinkToFit="1"/>
    </xf>
    <xf numFmtId="0" fontId="29" fillId="12" borderId="2" xfId="0" applyNumberFormat="1" applyFont="1" applyFill="1" applyBorder="1" applyAlignment="1" applyProtection="1">
      <alignment horizontal="center" vertical="center" shrinkToFit="1"/>
      <protection locked="0"/>
    </xf>
    <xf numFmtId="0" fontId="29" fillId="12" borderId="2" xfId="0" applyNumberFormat="1" applyFont="1" applyFill="1" applyBorder="1" applyAlignment="1" applyProtection="1">
      <alignment horizontal="center" shrinkToFit="1"/>
      <protection locked="0"/>
    </xf>
    <xf numFmtId="0" fontId="17" fillId="6" borderId="2" xfId="5" applyNumberFormat="1" applyFont="1" applyBorder="1" applyAlignment="1">
      <alignment horizontal="center" shrinkToFit="1"/>
    </xf>
    <xf numFmtId="14" fontId="27" fillId="13" borderId="2" xfId="14" applyNumberFormat="1" applyFont="1" applyBorder="1" applyAlignment="1">
      <alignment horizontal="center" shrinkToFit="1"/>
      <protection locked="0"/>
    </xf>
    <xf numFmtId="14" fontId="31" fillId="4" borderId="2" xfId="18" applyNumberFormat="1" applyFont="1" applyBorder="1" applyAlignment="1">
      <alignment horizontal="center" shrinkToFit="1"/>
    </xf>
    <xf numFmtId="14" fontId="32" fillId="13" borderId="2" xfId="0" applyNumberFormat="1" applyFont="1" applyFill="1" applyBorder="1" applyAlignment="1">
      <alignment horizontal="center" shrinkToFit="1"/>
    </xf>
    <xf numFmtId="14" fontId="27" fillId="15" borderId="2" xfId="14" applyNumberFormat="1" applyFont="1" applyFill="1" applyBorder="1" applyAlignment="1">
      <alignment horizontal="center" shrinkToFit="1"/>
      <protection locked="0"/>
    </xf>
    <xf numFmtId="14" fontId="27" fillId="12" borderId="2" xfId="14" applyNumberFormat="1" applyFont="1" applyFill="1" applyBorder="1" applyAlignment="1">
      <alignment horizontal="center" shrinkToFit="1"/>
      <protection locked="0"/>
    </xf>
    <xf numFmtId="14" fontId="28" fillId="12" borderId="2" xfId="0" applyNumberFormat="1" applyFont="1" applyFill="1" applyBorder="1" applyAlignment="1">
      <alignment horizontal="center" shrinkToFit="1"/>
    </xf>
    <xf numFmtId="0" fontId="30" fillId="13" borderId="2" xfId="2" applyNumberFormat="1" applyFont="1" applyFill="1" applyBorder="1" applyAlignment="1" applyProtection="1">
      <alignment horizontal="center" shrinkToFit="1"/>
      <protection locked="0"/>
    </xf>
    <xf numFmtId="0" fontId="27" fillId="4" borderId="2" xfId="18" applyNumberFormat="1" applyFont="1" applyBorder="1" applyAlignment="1" applyProtection="1">
      <alignment horizontal="center" shrinkToFit="1"/>
      <protection locked="0"/>
    </xf>
    <xf numFmtId="0" fontId="27" fillId="13" borderId="2" xfId="0" applyNumberFormat="1" applyFont="1" applyFill="1" applyBorder="1" applyAlignment="1" applyProtection="1">
      <alignment horizontal="center" shrinkToFit="1"/>
      <protection locked="0"/>
    </xf>
    <xf numFmtId="0" fontId="17" fillId="13" borderId="2" xfId="2" applyNumberFormat="1" applyFont="1" applyFill="1" applyBorder="1" applyAlignment="1" applyProtection="1">
      <alignment horizontal="center" shrinkToFit="1"/>
      <protection locked="0"/>
    </xf>
    <xf numFmtId="0" fontId="26" fillId="10" borderId="2" xfId="16" applyNumberFormat="1" applyFont="1" applyFill="1" applyBorder="1" applyAlignment="1">
      <alignment horizontal="center" shrinkToFit="1"/>
    </xf>
    <xf numFmtId="0" fontId="14" fillId="12" borderId="2" xfId="0" applyNumberFormat="1" applyFont="1" applyFill="1" applyBorder="1" applyAlignment="1" applyProtection="1">
      <alignment horizontal="center" vertical="center" shrinkToFit="1"/>
      <protection locked="0"/>
    </xf>
    <xf numFmtId="0" fontId="17" fillId="12" borderId="2" xfId="0" applyNumberFormat="1" applyFont="1" applyFill="1" applyBorder="1" applyAlignment="1" applyProtection="1">
      <alignment horizontal="center" vertical="center" shrinkToFit="1"/>
      <protection locked="0"/>
    </xf>
    <xf numFmtId="0" fontId="16" fillId="18" borderId="2" xfId="20" applyNumberFormat="1" applyFont="1" applyBorder="1" applyAlignment="1">
      <alignment horizontal="center" shrinkToFit="1"/>
    </xf>
    <xf numFmtId="14" fontId="16" fillId="18" borderId="2" xfId="20" applyNumberFormat="1" applyFont="1" applyBorder="1" applyAlignment="1">
      <alignment horizontal="center" shrinkToFit="1"/>
    </xf>
    <xf numFmtId="0" fontId="14" fillId="8" borderId="2" xfId="7" applyFont="1" applyBorder="1" applyAlignment="1">
      <alignment horizontal="center" vertical="center" shrinkToFit="1"/>
    </xf>
    <xf numFmtId="14" fontId="14" fillId="12" borderId="2" xfId="0" applyNumberFormat="1" applyFont="1" applyFill="1" applyBorder="1" applyAlignment="1">
      <alignment horizontal="center" vertical="center" shrinkToFit="1"/>
    </xf>
    <xf numFmtId="0" fontId="33" fillId="12" borderId="2" xfId="14" applyFont="1" applyFill="1" applyBorder="1" applyAlignment="1">
      <alignment horizontal="center" vertical="center" shrinkToFit="1"/>
      <protection locked="0"/>
    </xf>
    <xf numFmtId="0" fontId="14" fillId="12" borderId="2" xfId="7" applyNumberFormat="1" applyFont="1" applyFill="1" applyBorder="1" applyAlignment="1">
      <alignment horizontal="center" vertical="center" shrinkToFit="1"/>
    </xf>
    <xf numFmtId="14" fontId="14" fillId="12" borderId="2" xfId="7" applyNumberFormat="1" applyFont="1" applyFill="1" applyBorder="1" applyAlignment="1">
      <alignment horizontal="center" vertical="center" shrinkToFit="1"/>
    </xf>
    <xf numFmtId="0" fontId="28" fillId="15" borderId="2" xfId="0" applyFont="1" applyFill="1" applyBorder="1" applyAlignment="1">
      <alignment horizontal="center" shrinkToFit="1"/>
    </xf>
    <xf numFmtId="0" fontId="29" fillId="13" borderId="2" xfId="14" applyFont="1" applyBorder="1" applyAlignment="1">
      <alignment horizontal="center" shrinkToFit="1"/>
      <protection locked="0"/>
    </xf>
    <xf numFmtId="14" fontId="29" fillId="13" borderId="2" xfId="14" applyNumberFormat="1" applyFont="1" applyBorder="1" applyAlignment="1">
      <alignment horizontal="center" shrinkToFit="1"/>
      <protection locked="0"/>
    </xf>
    <xf numFmtId="0" fontId="28" fillId="10" borderId="2" xfId="0" applyFont="1" applyFill="1" applyBorder="1" applyAlignment="1">
      <alignment horizontal="center" shrinkToFit="1"/>
    </xf>
    <xf numFmtId="14" fontId="29" fillId="0" borderId="2" xfId="14" applyNumberFormat="1" applyFont="1" applyFill="1" applyBorder="1" applyAlignment="1">
      <alignment horizontal="center" vertical="center" shrinkToFit="1"/>
      <protection locked="0"/>
    </xf>
    <xf numFmtId="0" fontId="29" fillId="15" borderId="2" xfId="14" applyFont="1" applyFill="1" applyBorder="1" applyAlignment="1">
      <alignment horizontal="center" shrinkToFit="1"/>
      <protection locked="0"/>
    </xf>
    <xf numFmtId="0" fontId="29" fillId="4" borderId="2" xfId="18" applyFont="1" applyBorder="1" applyAlignment="1" applyProtection="1">
      <alignment horizontal="center" shrinkToFit="1"/>
      <protection locked="0"/>
    </xf>
    <xf numFmtId="0" fontId="27" fillId="13" borderId="2" xfId="11" applyFont="1" applyFill="1" applyBorder="1" applyAlignment="1">
      <alignment horizontal="center" vertical="center" shrinkToFit="1"/>
      <protection locked="0"/>
    </xf>
    <xf numFmtId="0" fontId="27" fillId="13" borderId="2" xfId="11" applyFont="1" applyFill="1" applyBorder="1" applyAlignment="1">
      <alignment horizontal="center" shrinkToFit="1"/>
      <protection locked="0"/>
    </xf>
    <xf numFmtId="14" fontId="27" fillId="13" borderId="2" xfId="11" applyNumberFormat="1" applyFont="1" applyFill="1" applyBorder="1" applyAlignment="1">
      <alignment horizontal="center" shrinkToFit="1"/>
      <protection locked="0"/>
    </xf>
    <xf numFmtId="0" fontId="29" fillId="4" borderId="2" xfId="10" applyFont="1" applyBorder="1" applyAlignment="1">
      <alignment horizontal="center" vertical="center" shrinkToFit="1"/>
      <protection locked="0"/>
    </xf>
    <xf numFmtId="0" fontId="29" fillId="4" borderId="2" xfId="10" applyFont="1" applyBorder="1" applyAlignment="1">
      <alignment horizontal="center" shrinkToFit="1"/>
      <protection locked="0"/>
    </xf>
    <xf numFmtId="14" fontId="29" fillId="4" borderId="2" xfId="10" applyNumberFormat="1" applyFont="1" applyBorder="1" applyAlignment="1">
      <alignment horizontal="center" shrinkToFit="1"/>
      <protection locked="0"/>
    </xf>
    <xf numFmtId="0" fontId="29" fillId="12" borderId="2" xfId="18" applyFont="1" applyFill="1" applyBorder="1" applyAlignment="1" applyProtection="1">
      <alignment horizontal="center" shrinkToFit="1"/>
      <protection locked="0"/>
    </xf>
    <xf numFmtId="0" fontId="27" fillId="15" borderId="2" xfId="16" applyNumberFormat="1" applyFont="1" applyFill="1" applyBorder="1" applyAlignment="1" applyProtection="1">
      <alignment horizontal="center" shrinkToFit="1"/>
      <protection locked="0"/>
    </xf>
    <xf numFmtId="14" fontId="27" fillId="15" borderId="2" xfId="16" applyNumberFormat="1" applyFont="1" applyFill="1" applyBorder="1" applyAlignment="1" applyProtection="1">
      <alignment horizontal="center" shrinkToFit="1"/>
      <protection locked="0"/>
    </xf>
    <xf numFmtId="14" fontId="29" fillId="4" borderId="2" xfId="10" applyNumberFormat="1" applyFont="1" applyBorder="1" applyAlignment="1">
      <alignment horizontal="center" vertical="center" shrinkToFit="1"/>
      <protection locked="0"/>
    </xf>
    <xf numFmtId="0" fontId="27" fillId="12" borderId="2" xfId="13" applyFont="1" applyBorder="1" applyAlignment="1">
      <alignment horizontal="center" shrinkToFit="1"/>
      <protection locked="0"/>
    </xf>
    <xf numFmtId="0" fontId="27" fillId="12" borderId="2" xfId="13" applyFont="1" applyBorder="1" applyAlignment="1">
      <alignment horizontal="center" vertical="center" shrinkToFit="1"/>
      <protection locked="0"/>
    </xf>
    <xf numFmtId="14" fontId="27" fillId="12" borderId="2" xfId="13" applyNumberFormat="1" applyFont="1" applyBorder="1" applyAlignment="1">
      <alignment horizontal="center" shrinkToFit="1"/>
      <protection locked="0"/>
    </xf>
    <xf numFmtId="0" fontId="27" fillId="12" borderId="2" xfId="18" applyFont="1" applyFill="1" applyBorder="1" applyAlignment="1" applyProtection="1">
      <alignment horizontal="center" shrinkToFit="1"/>
      <protection locked="0"/>
    </xf>
    <xf numFmtId="0" fontId="27" fillId="12" borderId="2" xfId="18" applyNumberFormat="1" applyFont="1" applyFill="1" applyBorder="1" applyAlignment="1" applyProtection="1">
      <alignment horizontal="center" shrinkToFit="1"/>
      <protection locked="0"/>
    </xf>
    <xf numFmtId="14" fontId="27" fillId="12" borderId="2" xfId="18" applyNumberFormat="1" applyFont="1" applyFill="1" applyBorder="1" applyAlignment="1" applyProtection="1">
      <alignment horizontal="center" shrinkToFit="1"/>
      <protection locked="0"/>
    </xf>
    <xf numFmtId="0" fontId="29" fillId="12" borderId="2" xfId="24" applyFont="1" applyFill="1" applyBorder="1" applyAlignment="1" applyProtection="1">
      <alignment horizontal="center" shrinkToFit="1"/>
      <protection locked="0"/>
    </xf>
    <xf numFmtId="0" fontId="17" fillId="12" borderId="2" xfId="24" applyNumberFormat="1" applyFont="1" applyFill="1" applyBorder="1" applyAlignment="1">
      <alignment horizontal="center" shrinkToFit="1"/>
    </xf>
    <xf numFmtId="14" fontId="17" fillId="12" borderId="2" xfId="24" applyNumberFormat="1" applyFont="1" applyFill="1" applyBorder="1" applyAlignment="1">
      <alignment horizontal="center" shrinkToFit="1"/>
    </xf>
    <xf numFmtId="0" fontId="29" fillId="12" borderId="2" xfId="10" applyFont="1" applyFill="1" applyBorder="1" applyAlignment="1">
      <alignment horizontal="center" shrinkToFit="1"/>
      <protection locked="0"/>
    </xf>
    <xf numFmtId="14" fontId="29" fillId="12" borderId="2" xfId="10" applyNumberFormat="1" applyFont="1" applyFill="1" applyBorder="1" applyAlignment="1">
      <alignment horizontal="center" shrinkToFit="1"/>
      <protection locked="0"/>
    </xf>
    <xf numFmtId="0" fontId="17" fillId="5" borderId="2" xfId="4" applyFont="1" applyBorder="1" applyAlignment="1" applyProtection="1">
      <alignment horizontal="center" vertical="top" shrinkToFit="1"/>
      <protection locked="0"/>
    </xf>
    <xf numFmtId="0" fontId="15" fillId="12" borderId="2" xfId="0" applyFont="1" applyFill="1" applyBorder="1" applyAlignment="1">
      <alignment horizontal="center" shrinkToFit="1"/>
    </xf>
    <xf numFmtId="0" fontId="29" fillId="12" borderId="2" xfId="4" applyNumberFormat="1" applyFont="1" applyFill="1" applyBorder="1" applyAlignment="1">
      <alignment horizontal="center" shrinkToFit="1"/>
    </xf>
    <xf numFmtId="14" fontId="29" fillId="12" borderId="2" xfId="4" applyNumberFormat="1" applyFont="1" applyFill="1" applyBorder="1" applyAlignment="1">
      <alignment horizontal="center" shrinkToFit="1"/>
    </xf>
    <xf numFmtId="0" fontId="29" fillId="5" borderId="2" xfId="4" applyFont="1" applyBorder="1" applyAlignment="1">
      <alignment horizontal="center" shrinkToFit="1"/>
    </xf>
    <xf numFmtId="0" fontId="29" fillId="5" borderId="2" xfId="4" applyNumberFormat="1" applyFont="1" applyBorder="1" applyAlignment="1">
      <alignment horizontal="center" shrinkToFit="1"/>
    </xf>
    <xf numFmtId="14" fontId="29" fillId="5" borderId="2" xfId="4" applyNumberFormat="1" applyFont="1" applyBorder="1" applyAlignment="1">
      <alignment horizontal="center" shrinkToFit="1"/>
    </xf>
    <xf numFmtId="14" fontId="29" fillId="12" borderId="2" xfId="13" applyNumberFormat="1" applyFont="1" applyBorder="1" applyAlignment="1">
      <alignment horizontal="center" vertical="center" shrinkToFit="1"/>
      <protection locked="0"/>
    </xf>
    <xf numFmtId="16" fontId="29" fillId="12" borderId="2" xfId="13" applyNumberFormat="1" applyFont="1" applyBorder="1" applyAlignment="1">
      <alignment horizontal="center" shrinkToFit="1"/>
      <protection locked="0"/>
    </xf>
    <xf numFmtId="14" fontId="29" fillId="12" borderId="2" xfId="13" applyNumberFormat="1" applyFont="1" applyBorder="1" applyAlignment="1">
      <alignment horizontal="center" vertical="top" shrinkToFit="1"/>
      <protection locked="0"/>
    </xf>
    <xf numFmtId="0" fontId="29" fillId="12" borderId="2" xfId="13" applyFont="1" applyBorder="1" applyAlignment="1">
      <alignment horizontal="center" vertical="top" shrinkToFit="1"/>
      <protection locked="0"/>
    </xf>
    <xf numFmtId="14" fontId="16" fillId="18" borderId="2" xfId="0" applyNumberFormat="1" applyFont="1" applyFill="1" applyBorder="1" applyAlignment="1">
      <alignment horizontal="center" vertical="center" shrinkToFit="1"/>
    </xf>
    <xf numFmtId="0" fontId="16" fillId="18" borderId="2" xfId="0" applyNumberFormat="1" applyFont="1" applyFill="1" applyBorder="1" applyAlignment="1">
      <alignment horizontal="center" vertical="center" shrinkToFit="1"/>
    </xf>
    <xf numFmtId="14" fontId="15" fillId="12" borderId="2" xfId="20" applyNumberFormat="1" applyFont="1" applyFill="1" applyBorder="1" applyAlignment="1">
      <alignment horizontal="center" vertical="center" shrinkToFit="1"/>
    </xf>
    <xf numFmtId="0" fontId="15" fillId="12" borderId="2" xfId="20" applyNumberFormat="1" applyFont="1" applyFill="1" applyBorder="1" applyAlignment="1">
      <alignment horizontal="center" vertical="center" shrinkToFit="1"/>
    </xf>
    <xf numFmtId="0" fontId="16" fillId="18" borderId="2" xfId="20" applyFont="1" applyBorder="1" applyAlignment="1">
      <alignment horizontal="center" vertical="center" shrinkToFit="1"/>
    </xf>
    <xf numFmtId="0" fontId="14" fillId="18" borderId="2" xfId="7" applyNumberFormat="1" applyFont="1" applyFill="1" applyBorder="1" applyAlignment="1">
      <alignment horizontal="center" vertical="center" shrinkToFit="1"/>
    </xf>
    <xf numFmtId="0" fontId="33" fillId="0" borderId="2" xfId="14" applyFont="1" applyFill="1" applyBorder="1" applyAlignment="1">
      <alignment horizontal="center" vertical="center" shrinkToFit="1"/>
      <protection locked="0"/>
    </xf>
    <xf numFmtId="14" fontId="27" fillId="12" borderId="2" xfId="11" applyNumberFormat="1" applyFont="1" applyFill="1" applyBorder="1" applyAlignment="1">
      <alignment horizontal="center" shrinkToFit="1"/>
      <protection locked="0"/>
    </xf>
    <xf numFmtId="14" fontId="29" fillId="12" borderId="2" xfId="18" applyNumberFormat="1" applyFont="1" applyFill="1" applyBorder="1" applyAlignment="1" applyProtection="1">
      <alignment horizontal="center" shrinkToFit="1"/>
      <protection locked="0"/>
    </xf>
    <xf numFmtId="14" fontId="27" fillId="11" borderId="2" xfId="14" applyNumberFormat="1" applyFont="1" applyFill="1" applyBorder="1" applyAlignment="1">
      <alignment horizontal="center" vertical="center" shrinkToFit="1"/>
      <protection locked="0"/>
    </xf>
    <xf numFmtId="14" fontId="30" fillId="13" borderId="2" xfId="2" applyNumberFormat="1" applyFont="1" applyFill="1" applyBorder="1" applyAlignment="1" applyProtection="1">
      <alignment horizontal="center" vertical="center" shrinkToFit="1"/>
      <protection locked="0"/>
    </xf>
    <xf numFmtId="14" fontId="27" fillId="4" borderId="2" xfId="18" applyNumberFormat="1" applyFont="1" applyBorder="1" applyAlignment="1" applyProtection="1">
      <alignment horizontal="center" vertical="center" shrinkToFit="1"/>
      <protection locked="0"/>
    </xf>
    <xf numFmtId="14" fontId="27" fillId="13" borderId="2" xfId="0" applyNumberFormat="1" applyFont="1" applyFill="1" applyBorder="1" applyAlignment="1" applyProtection="1">
      <alignment horizontal="center" vertical="center" shrinkToFit="1"/>
      <protection locked="0"/>
    </xf>
    <xf numFmtId="14" fontId="17" fillId="13" borderId="2" xfId="2" applyNumberFormat="1" applyFont="1" applyFill="1" applyBorder="1" applyAlignment="1" applyProtection="1">
      <alignment horizontal="center" vertical="center" shrinkToFit="1"/>
      <protection locked="0"/>
    </xf>
    <xf numFmtId="14" fontId="27" fillId="12" borderId="2" xfId="16" applyNumberFormat="1" applyFont="1" applyFill="1" applyBorder="1" applyAlignment="1" applyProtection="1">
      <alignment horizontal="center" shrinkToFit="1"/>
      <protection locked="0"/>
    </xf>
    <xf numFmtId="14" fontId="26" fillId="10" borderId="2" xfId="16" applyNumberFormat="1" applyFont="1" applyFill="1" applyBorder="1" applyAlignment="1">
      <alignment horizontal="center" shrinkToFit="1"/>
    </xf>
    <xf numFmtId="14" fontId="15" fillId="0" borderId="2" xfId="0" applyNumberFormat="1" applyFont="1" applyBorder="1" applyAlignment="1">
      <alignment horizontal="center" shrinkToFit="1"/>
    </xf>
    <xf numFmtId="14" fontId="17" fillId="12" borderId="2" xfId="24" applyNumberFormat="1" applyFont="1" applyFill="1" applyBorder="1" applyAlignment="1" applyProtection="1">
      <alignment horizontal="center" shrinkToFit="1"/>
      <protection locked="0"/>
    </xf>
    <xf numFmtId="14" fontId="17" fillId="5" borderId="2" xfId="4" applyNumberFormat="1" applyFont="1" applyBorder="1" applyAlignment="1" applyProtection="1">
      <alignment horizontal="center" vertical="center" shrinkToFit="1"/>
      <protection locked="0"/>
    </xf>
    <xf numFmtId="14" fontId="17" fillId="12" borderId="2" xfId="2" applyNumberFormat="1" applyFont="1" applyFill="1" applyBorder="1" applyAlignment="1" applyProtection="1">
      <alignment horizontal="center" vertical="center" shrinkToFit="1"/>
      <protection locked="0"/>
    </xf>
    <xf numFmtId="16" fontId="14" fillId="16" borderId="2" xfId="0" applyNumberFormat="1" applyFont="1" applyFill="1" applyBorder="1" applyAlignment="1">
      <alignment horizontal="center" vertical="center" shrinkToFit="1"/>
    </xf>
    <xf numFmtId="0" fontId="14" fillId="0" borderId="2" xfId="0" applyNumberFormat="1" applyFont="1" applyBorder="1" applyAlignment="1">
      <alignment horizontal="center" vertical="center" shrinkToFit="1"/>
    </xf>
    <xf numFmtId="0" fontId="17" fillId="15" borderId="2" xfId="3" applyFont="1" applyFill="1" applyBorder="1" applyAlignment="1">
      <alignment horizontal="center" vertical="center" shrinkToFit="1"/>
    </xf>
    <xf numFmtId="0" fontId="19" fillId="6" borderId="2" xfId="5" applyFont="1" applyBorder="1" applyAlignment="1">
      <alignment horizontal="center" vertical="center" shrinkToFit="1"/>
    </xf>
    <xf numFmtId="16" fontId="17" fillId="15" borderId="2" xfId="3" applyNumberFormat="1" applyFont="1" applyFill="1" applyBorder="1" applyAlignment="1">
      <alignment horizontal="center" vertical="center" shrinkToFit="1"/>
    </xf>
    <xf numFmtId="0" fontId="18" fillId="3" borderId="2" xfId="2" applyFont="1" applyBorder="1" applyAlignment="1">
      <alignment horizontal="center" vertical="center" shrinkToFit="1"/>
    </xf>
    <xf numFmtId="14" fontId="14" fillId="0" borderId="0" xfId="0" applyNumberFormat="1" applyFont="1" applyBorder="1" applyAlignment="1">
      <alignment horizontal="center" vertical="center" shrinkToFit="1"/>
    </xf>
    <xf numFmtId="16" fontId="18" fillId="3" borderId="2" xfId="2" applyNumberFormat="1" applyFont="1" applyBorder="1" applyAlignment="1">
      <alignment horizontal="center" vertical="center" shrinkToFit="1"/>
    </xf>
    <xf numFmtId="14" fontId="14" fillId="17" borderId="2" xfId="0" applyNumberFormat="1" applyFont="1" applyFill="1" applyBorder="1" applyAlignment="1">
      <alignment horizontal="center" shrinkToFit="1"/>
    </xf>
    <xf numFmtId="0" fontId="14" fillId="17" borderId="2" xfId="0" applyFont="1" applyFill="1" applyBorder="1" applyAlignment="1">
      <alignment horizontal="center" vertical="center" shrinkToFit="1"/>
    </xf>
    <xf numFmtId="0" fontId="17" fillId="0" borderId="2" xfId="20" applyFont="1" applyFill="1" applyBorder="1" applyAlignment="1">
      <alignment horizontal="center" vertical="center" shrinkToFit="1"/>
    </xf>
    <xf numFmtId="16" fontId="14" fillId="0" borderId="2" xfId="0" applyNumberFormat="1" applyFont="1" applyBorder="1" applyAlignment="1">
      <alignment horizontal="center" vertical="center" shrinkToFit="1"/>
    </xf>
    <xf numFmtId="14" fontId="17" fillId="0" borderId="2" xfId="0" applyNumberFormat="1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17" fillId="0" borderId="0" xfId="20" applyNumberFormat="1" applyFont="1" applyFill="1" applyBorder="1" applyAlignment="1">
      <alignment horizontal="center" vertical="center" shrinkToFit="1"/>
    </xf>
    <xf numFmtId="0" fontId="17" fillId="0" borderId="0" xfId="0" applyNumberFormat="1" applyFont="1" applyBorder="1" applyAlignment="1">
      <alignment horizontal="center" vertical="center" shrinkToFit="1"/>
    </xf>
    <xf numFmtId="0" fontId="14" fillId="0" borderId="0" xfId="0" applyNumberFormat="1" applyFont="1" applyBorder="1" applyAlignment="1">
      <alignment horizontal="center" vertical="center" shrinkToFit="1"/>
    </xf>
    <xf numFmtId="0" fontId="14" fillId="0" borderId="0" xfId="0" applyNumberFormat="1" applyFont="1" applyBorder="1" applyAlignment="1">
      <alignment horizontal="center" shrinkToFit="1"/>
    </xf>
    <xf numFmtId="0" fontId="17" fillId="0" borderId="0" xfId="3" applyNumberFormat="1" applyFont="1" applyFill="1" applyBorder="1" applyAlignment="1">
      <alignment horizontal="center" vertical="center" shrinkToFit="1"/>
    </xf>
    <xf numFmtId="0" fontId="17" fillId="0" borderId="0" xfId="4" applyNumberFormat="1" applyFont="1" applyFill="1" applyBorder="1" applyAlignment="1">
      <alignment horizontal="center" vertical="center" shrinkToFit="1"/>
    </xf>
    <xf numFmtId="0" fontId="20" fillId="0" borderId="0" xfId="0" applyNumberFormat="1" applyFont="1" applyBorder="1" applyAlignment="1">
      <alignment horizontal="center" shrinkToFit="1"/>
    </xf>
    <xf numFmtId="0" fontId="17" fillId="0" borderId="0" xfId="0" applyNumberFormat="1" applyFont="1" applyBorder="1" applyAlignment="1">
      <alignment horizontal="center" shrinkToFit="1"/>
    </xf>
    <xf numFmtId="0" fontId="17" fillId="0" borderId="0" xfId="4" applyNumberFormat="1" applyFont="1" applyFill="1" applyBorder="1" applyAlignment="1">
      <alignment horizontal="center" shrinkToFit="1"/>
    </xf>
    <xf numFmtId="0" fontId="15" fillId="0" borderId="2" xfId="0" applyFont="1" applyBorder="1" applyAlignment="1">
      <alignment horizontal="center" vertical="center" shrinkToFit="1"/>
    </xf>
    <xf numFmtId="14" fontId="42" fillId="0" borderId="2" xfId="0" applyNumberFormat="1" applyFont="1" applyBorder="1" applyAlignment="1">
      <alignment horizontal="center" vertical="center" shrinkToFit="1"/>
    </xf>
    <xf numFmtId="0" fontId="14" fillId="17" borderId="2" xfId="0" applyFont="1" applyFill="1" applyBorder="1" applyAlignment="1">
      <alignment horizontal="center" shrinkToFit="1"/>
    </xf>
    <xf numFmtId="0" fontId="14" fillId="0" borderId="8" xfId="0" applyFont="1" applyBorder="1" applyAlignment="1">
      <alignment horizontal="center" shrinkToFit="1"/>
    </xf>
    <xf numFmtId="0" fontId="29" fillId="0" borderId="2" xfId="13" applyFont="1" applyFill="1" applyBorder="1" applyAlignment="1">
      <alignment horizontal="center" shrinkToFit="1"/>
      <protection locked="0"/>
    </xf>
    <xf numFmtId="0" fontId="29" fillId="0" borderId="2" xfId="11" applyFont="1" applyFill="1" applyBorder="1" applyAlignment="1">
      <alignment horizontal="center" shrinkToFit="1"/>
      <protection locked="0"/>
    </xf>
    <xf numFmtId="0" fontId="39" fillId="18" borderId="2" xfId="20" applyFont="1" applyBorder="1" applyAlignment="1">
      <alignment horizontal="center" vertical="center" shrinkToFit="1"/>
    </xf>
    <xf numFmtId="0" fontId="39" fillId="0" borderId="2" xfId="20" applyFont="1" applyFill="1" applyBorder="1" applyAlignment="1">
      <alignment horizontal="center" vertical="center" shrinkToFit="1"/>
    </xf>
    <xf numFmtId="14" fontId="17" fillId="0" borderId="2" xfId="20" applyNumberFormat="1" applyFont="1" applyFill="1" applyBorder="1" applyAlignment="1">
      <alignment horizontal="center" vertical="center" shrinkToFit="1"/>
    </xf>
    <xf numFmtId="0" fontId="17" fillId="18" borderId="2" xfId="20" applyFont="1" applyBorder="1" applyAlignment="1">
      <alignment horizontal="center" vertical="center" shrinkToFit="1"/>
    </xf>
    <xf numFmtId="14" fontId="17" fillId="18" borderId="2" xfId="20" applyNumberFormat="1" applyFont="1" applyBorder="1" applyAlignment="1">
      <alignment horizontal="center" vertical="center" shrinkToFit="1"/>
    </xf>
    <xf numFmtId="16" fontId="14" fillId="0" borderId="2" xfId="0" applyNumberFormat="1" applyFont="1" applyBorder="1" applyAlignment="1">
      <alignment horizontal="center" shrinkToFit="1"/>
    </xf>
    <xf numFmtId="14" fontId="14" fillId="0" borderId="8" xfId="0" applyNumberFormat="1" applyFont="1" applyBorder="1" applyAlignment="1">
      <alignment horizontal="center" vertical="center" shrinkToFit="1"/>
    </xf>
    <xf numFmtId="14" fontId="14" fillId="17" borderId="2" xfId="0" applyNumberFormat="1" applyFont="1" applyFill="1" applyBorder="1" applyAlignment="1">
      <alignment horizontal="center" vertical="center" shrinkToFit="1"/>
    </xf>
    <xf numFmtId="0" fontId="40" fillId="12" borderId="2" xfId="13" applyFont="1" applyBorder="1" applyAlignment="1">
      <alignment horizontal="center" shrinkToFit="1"/>
      <protection locked="0"/>
    </xf>
    <xf numFmtId="0" fontId="40" fillId="10" borderId="2" xfId="11" applyFont="1" applyBorder="1" applyAlignment="1">
      <alignment horizontal="center" shrinkToFit="1"/>
      <protection locked="0"/>
    </xf>
    <xf numFmtId="0" fontId="21" fillId="0" borderId="2" xfId="0" applyFont="1" applyBorder="1" applyAlignment="1">
      <alignment horizontal="center" shrinkToFit="1"/>
    </xf>
    <xf numFmtId="14" fontId="21" fillId="0" borderId="0" xfId="0" applyNumberFormat="1" applyFont="1" applyAlignment="1">
      <alignment horizontal="center" shrinkToFit="1"/>
    </xf>
    <xf numFmtId="14" fontId="14" fillId="11" borderId="2" xfId="0" applyNumberFormat="1" applyFont="1" applyFill="1" applyBorder="1" applyAlignment="1">
      <alignment horizontal="center" shrinkToFit="1"/>
    </xf>
    <xf numFmtId="0" fontId="14" fillId="11" borderId="2" xfId="0" applyFont="1" applyFill="1" applyBorder="1" applyAlignment="1">
      <alignment horizontal="center" vertical="center" shrinkToFit="1"/>
    </xf>
    <xf numFmtId="14" fontId="14" fillId="11" borderId="2" xfId="0" applyNumberFormat="1" applyFont="1" applyFill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 readingOrder="1"/>
    </xf>
    <xf numFmtId="0" fontId="14" fillId="0" borderId="2" xfId="0" applyFont="1" applyBorder="1" applyAlignment="1">
      <alignment horizontal="center" vertical="center" shrinkToFit="1" readingOrder="1"/>
    </xf>
    <xf numFmtId="14" fontId="20" fillId="0" borderId="2" xfId="0" applyNumberFormat="1" applyFont="1" applyBorder="1" applyAlignment="1">
      <alignment horizontal="center" vertical="center" shrinkToFit="1" readingOrder="1"/>
    </xf>
    <xf numFmtId="0" fontId="20" fillId="0" borderId="2" xfId="0" applyNumberFormat="1" applyFont="1" applyBorder="1" applyAlignment="1">
      <alignment horizontal="center" vertical="center" shrinkToFit="1" readingOrder="1"/>
    </xf>
    <xf numFmtId="0" fontId="20" fillId="0" borderId="0" xfId="0" applyFont="1" applyAlignment="1">
      <alignment horizontal="center" vertical="center" shrinkToFit="1" readingOrder="1"/>
    </xf>
    <xf numFmtId="0" fontId="20" fillId="0" borderId="0" xfId="0" applyFont="1" applyBorder="1" applyAlignment="1">
      <alignment horizontal="center" vertical="center" shrinkToFit="1" readingOrder="1"/>
    </xf>
    <xf numFmtId="0" fontId="14" fillId="0" borderId="0" xfId="0" applyFont="1" applyBorder="1" applyAlignment="1">
      <alignment horizontal="center" vertical="center" shrinkToFit="1" readingOrder="1"/>
    </xf>
    <xf numFmtId="14" fontId="20" fillId="0" borderId="0" xfId="0" applyNumberFormat="1" applyFont="1" applyBorder="1" applyAlignment="1">
      <alignment horizontal="center" vertical="center" shrinkToFit="1" readingOrder="1"/>
    </xf>
    <xf numFmtId="0" fontId="20" fillId="0" borderId="0" xfId="0" applyNumberFormat="1" applyFont="1" applyBorder="1" applyAlignment="1">
      <alignment horizontal="center" vertical="center" shrinkToFit="1" readingOrder="1"/>
    </xf>
    <xf numFmtId="14" fontId="14" fillId="0" borderId="2" xfId="0" applyNumberFormat="1" applyFont="1" applyBorder="1" applyAlignment="1">
      <alignment horizontal="center" vertical="center" shrinkToFit="1" readingOrder="1"/>
    </xf>
    <xf numFmtId="16" fontId="14" fillId="11" borderId="2" xfId="0" applyNumberFormat="1" applyFont="1" applyFill="1" applyBorder="1" applyAlignment="1">
      <alignment horizontal="center" vertical="center" shrinkToFit="1"/>
    </xf>
    <xf numFmtId="16" fontId="19" fillId="6" borderId="2" xfId="5" applyNumberFormat="1" applyFont="1" applyBorder="1" applyAlignment="1">
      <alignment horizontal="center" vertical="center" shrinkToFit="1"/>
    </xf>
    <xf numFmtId="0" fontId="40" fillId="6" borderId="2" xfId="5" applyFont="1" applyBorder="1" applyAlignment="1">
      <alignment horizontal="center" vertical="center" shrinkToFit="1"/>
    </xf>
    <xf numFmtId="16" fontId="20" fillId="0" borderId="2" xfId="0" applyNumberFormat="1" applyFont="1" applyBorder="1" applyAlignment="1">
      <alignment horizontal="center" vertical="center" shrinkToFit="1" readingOrder="1"/>
    </xf>
    <xf numFmtId="22" fontId="14" fillId="0" borderId="2" xfId="0" applyNumberFormat="1" applyFont="1" applyBorder="1" applyAlignment="1">
      <alignment horizontal="center" vertical="center" shrinkToFit="1"/>
    </xf>
    <xf numFmtId="0" fontId="14" fillId="0" borderId="2" xfId="7" applyFont="1" applyFill="1" applyBorder="1" applyAlignment="1">
      <alignment horizontal="center" vertical="center" shrinkToFit="1"/>
    </xf>
    <xf numFmtId="0" fontId="17" fillId="0" borderId="2" xfId="3" applyFont="1" applyFill="1" applyBorder="1" applyAlignment="1">
      <alignment horizontal="center" vertical="center" shrinkToFit="1"/>
    </xf>
    <xf numFmtId="0" fontId="15" fillId="0" borderId="2" xfId="20" applyFont="1" applyFill="1" applyBorder="1" applyAlignment="1">
      <alignment horizontal="center" vertical="center" shrinkToFit="1"/>
    </xf>
    <xf numFmtId="0" fontId="16" fillId="0" borderId="2" xfId="0" applyFont="1" applyBorder="1" applyAlignment="1">
      <alignment horizontal="center" vertical="center" shrinkToFit="1"/>
    </xf>
    <xf numFmtId="0" fontId="16" fillId="0" borderId="2" xfId="20" applyFont="1" applyFill="1" applyBorder="1" applyAlignment="1">
      <alignment horizontal="center" vertical="center" shrinkToFit="1"/>
    </xf>
    <xf numFmtId="0" fontId="17" fillId="0" borderId="2" xfId="4" applyFont="1" applyFill="1" applyBorder="1" applyAlignment="1">
      <alignment horizontal="center" vertical="center" shrinkToFit="1"/>
    </xf>
    <xf numFmtId="0" fontId="13" fillId="0" borderId="2" xfId="15" applyFont="1" applyFill="1" applyBorder="1" applyAlignment="1">
      <alignment horizontal="center" vertical="center" shrinkToFit="1"/>
    </xf>
    <xf numFmtId="0" fontId="16" fillId="0" borderId="2" xfId="20" applyFont="1" applyFill="1" applyBorder="1" applyAlignment="1">
      <alignment horizontal="center" shrinkToFit="1"/>
    </xf>
    <xf numFmtId="0" fontId="17" fillId="0" borderId="2" xfId="4" applyFont="1" applyFill="1" applyBorder="1" applyAlignment="1">
      <alignment horizontal="center" shrinkToFit="1"/>
    </xf>
    <xf numFmtId="0" fontId="14" fillId="0" borderId="8" xfId="0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/>
    </xf>
    <xf numFmtId="0" fontId="14" fillId="12" borderId="2" xfId="7" applyFont="1" applyFill="1" applyBorder="1" applyAlignment="1">
      <alignment horizontal="center" vertical="center" shrinkToFit="1"/>
    </xf>
    <xf numFmtId="0" fontId="15" fillId="12" borderId="2" xfId="20" applyFont="1" applyFill="1" applyBorder="1" applyAlignment="1">
      <alignment horizontal="center" vertical="center" shrinkToFit="1"/>
    </xf>
    <xf numFmtId="0" fontId="16" fillId="18" borderId="2" xfId="0" applyFont="1" applyFill="1" applyBorder="1" applyAlignment="1">
      <alignment horizontal="center" vertical="center" shrinkToFit="1"/>
    </xf>
    <xf numFmtId="0" fontId="13" fillId="14" borderId="2" xfId="15" applyFont="1" applyBorder="1" applyAlignment="1">
      <alignment horizontal="center" vertical="center" shrinkToFit="1"/>
    </xf>
    <xf numFmtId="0" fontId="16" fillId="18" borderId="2" xfId="20" applyFont="1" applyBorder="1" applyAlignment="1">
      <alignment horizontal="center" shrinkToFit="1"/>
    </xf>
    <xf numFmtId="0" fontId="24" fillId="0" borderId="2" xfId="0" applyFont="1" applyBorder="1" applyAlignment="1">
      <alignment horizontal="center" vertical="center" shrinkToFit="1" readingOrder="1"/>
    </xf>
    <xf numFmtId="0" fontId="20" fillId="0" borderId="2" xfId="0" applyFont="1" applyBorder="1" applyAlignment="1">
      <alignment horizontal="center" vertical="center" wrapText="1" shrinkToFit="1" readingOrder="1"/>
    </xf>
    <xf numFmtId="14" fontId="17" fillId="17" borderId="2" xfId="0" applyNumberFormat="1" applyFont="1" applyFill="1" applyBorder="1" applyAlignment="1">
      <alignment horizontal="center" vertical="center" shrinkToFit="1"/>
    </xf>
    <xf numFmtId="0" fontId="17" fillId="17" borderId="2" xfId="0" applyFont="1" applyFill="1" applyBorder="1" applyAlignment="1">
      <alignment horizontal="center" vertical="center" shrinkToFit="1"/>
    </xf>
    <xf numFmtId="0" fontId="17" fillId="17" borderId="2" xfId="0" applyNumberFormat="1" applyFont="1" applyFill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 readingOrder="1"/>
    </xf>
    <xf numFmtId="0" fontId="20" fillId="0" borderId="7" xfId="0" applyFont="1" applyBorder="1" applyAlignment="1">
      <alignment horizontal="center" vertical="center" shrinkToFit="1" readingOrder="1"/>
    </xf>
    <xf numFmtId="0" fontId="20" fillId="0" borderId="10" xfId="0" applyFont="1" applyBorder="1" applyAlignment="1">
      <alignment horizontal="center" vertical="center" shrinkToFit="1" readingOrder="1"/>
    </xf>
    <xf numFmtId="0" fontId="20" fillId="0" borderId="11" xfId="0" applyFont="1" applyBorder="1" applyAlignment="1">
      <alignment horizontal="center" vertical="center" shrinkToFit="1" readingOrder="1"/>
    </xf>
    <xf numFmtId="16" fontId="20" fillId="0" borderId="8" xfId="0" applyNumberFormat="1" applyFont="1" applyBorder="1" applyAlignment="1">
      <alignment horizontal="center" vertical="center" shrinkToFit="1" readingOrder="1"/>
    </xf>
    <xf numFmtId="0" fontId="20" fillId="0" borderId="12" xfId="0" applyFont="1" applyBorder="1" applyAlignment="1">
      <alignment horizontal="center" vertical="center" shrinkToFit="1" readingOrder="1"/>
    </xf>
    <xf numFmtId="14" fontId="15" fillId="0" borderId="2" xfId="0" applyNumberFormat="1" applyFont="1" applyBorder="1" applyAlignment="1">
      <alignment horizontal="center" vertical="center" shrinkToFit="1"/>
    </xf>
    <xf numFmtId="14" fontId="14" fillId="0" borderId="7" xfId="0" applyNumberFormat="1" applyFont="1" applyBorder="1" applyAlignment="1">
      <alignment horizontal="center" vertical="center" shrinkToFit="1"/>
    </xf>
    <xf numFmtId="14" fontId="14" fillId="0" borderId="10" xfId="0" applyNumberFormat="1" applyFont="1" applyBorder="1" applyAlignment="1">
      <alignment horizontal="center" vertical="center" shrinkToFit="1"/>
    </xf>
    <xf numFmtId="0" fontId="20" fillId="0" borderId="13" xfId="0" applyFont="1" applyBorder="1" applyAlignment="1">
      <alignment horizontal="center" vertical="center" shrinkToFit="1" readingOrder="1"/>
    </xf>
    <xf numFmtId="0" fontId="14" fillId="0" borderId="10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 shrinkToFit="1"/>
    </xf>
    <xf numFmtId="0" fontId="0" fillId="22" borderId="2" xfId="0" applyFill="1" applyBorder="1" applyAlignment="1">
      <alignment horizontal="center"/>
    </xf>
    <xf numFmtId="0" fontId="14" fillId="0" borderId="2" xfId="0" applyFont="1" applyBorder="1" applyAlignment="1">
      <alignment horizontal="center" vertical="center" wrapText="1" shrinkToFit="1"/>
    </xf>
    <xf numFmtId="0" fontId="14" fillId="0" borderId="2" xfId="0" applyNumberFormat="1" applyFont="1" applyBorder="1" applyAlignment="1">
      <alignment horizontal="center" vertical="center" shrinkToFit="1" readingOrder="1"/>
    </xf>
    <xf numFmtId="0" fontId="48" fillId="0" borderId="0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0" fontId="14" fillId="25" borderId="2" xfId="0" applyFont="1" applyFill="1" applyBorder="1" applyAlignment="1">
      <alignment horizontal="center" vertical="center" shrinkToFit="1"/>
    </xf>
    <xf numFmtId="14" fontId="14" fillId="13" borderId="2" xfId="0" applyNumberFormat="1" applyFont="1" applyFill="1" applyBorder="1" applyAlignment="1">
      <alignment horizontal="center" vertical="center" shrinkToFit="1" readingOrder="1"/>
    </xf>
    <xf numFmtId="14" fontId="14" fillId="10" borderId="2" xfId="0" applyNumberFormat="1" applyFont="1" applyFill="1" applyBorder="1" applyAlignment="1">
      <alignment horizontal="center" vertical="center" shrinkToFit="1" readingOrder="1"/>
    </xf>
    <xf numFmtId="14" fontId="14" fillId="11" borderId="2" xfId="0" applyNumberFormat="1" applyFont="1" applyFill="1" applyBorder="1" applyAlignment="1">
      <alignment horizontal="center" vertical="center" shrinkToFit="1" readingOrder="1"/>
    </xf>
    <xf numFmtId="14" fontId="14" fillId="12" borderId="2" xfId="0" applyNumberFormat="1" applyFont="1" applyFill="1" applyBorder="1" applyAlignment="1">
      <alignment horizontal="center" vertical="center" shrinkToFit="1" readingOrder="1"/>
    </xf>
    <xf numFmtId="14" fontId="14" fillId="26" borderId="2" xfId="0" applyNumberFormat="1" applyFont="1" applyFill="1" applyBorder="1" applyAlignment="1">
      <alignment horizontal="center" vertical="center" shrinkToFit="1" readingOrder="1"/>
    </xf>
    <xf numFmtId="14" fontId="14" fillId="15" borderId="2" xfId="0" applyNumberFormat="1" applyFont="1" applyFill="1" applyBorder="1" applyAlignment="1">
      <alignment horizontal="center" vertical="center" shrinkToFit="1" readingOrder="1"/>
    </xf>
    <xf numFmtId="0" fontId="21" fillId="0" borderId="7" xfId="0" applyFont="1" applyBorder="1" applyAlignment="1">
      <alignment horizontal="center" vertical="center" shrinkToFit="1" readingOrder="1"/>
    </xf>
    <xf numFmtId="0" fontId="43" fillId="13" borderId="7" xfId="0" applyFont="1" applyFill="1" applyBorder="1" applyAlignment="1">
      <alignment horizontal="center" shrinkToFit="1"/>
    </xf>
    <xf numFmtId="0" fontId="43" fillId="15" borderId="7" xfId="0" applyFont="1" applyFill="1" applyBorder="1" applyAlignment="1">
      <alignment horizontal="center" shrinkToFit="1"/>
    </xf>
    <xf numFmtId="0" fontId="40" fillId="13" borderId="7" xfId="14" applyFont="1" applyBorder="1" applyAlignment="1">
      <alignment horizontal="center" shrinkToFit="1"/>
      <protection locked="0"/>
    </xf>
    <xf numFmtId="0" fontId="40" fillId="13" borderId="7" xfId="2" applyFont="1" applyFill="1" applyBorder="1" applyAlignment="1">
      <alignment horizontal="center" shrinkToFit="1"/>
    </xf>
    <xf numFmtId="0" fontId="43" fillId="10" borderId="7" xfId="0" applyFont="1" applyFill="1" applyBorder="1" applyAlignment="1">
      <alignment horizontal="center" shrinkToFit="1"/>
    </xf>
    <xf numFmtId="0" fontId="43" fillId="13" borderId="7" xfId="14" applyFont="1" applyBorder="1" applyAlignment="1">
      <alignment horizontal="center" vertical="center" shrinkToFit="1"/>
      <protection locked="0"/>
    </xf>
    <xf numFmtId="0" fontId="43" fillId="13" borderId="7" xfId="0" applyFont="1" applyFill="1" applyBorder="1" applyAlignment="1" applyProtection="1">
      <alignment horizontal="center" vertical="center" shrinkToFit="1"/>
      <protection locked="0"/>
    </xf>
    <xf numFmtId="0" fontId="43" fillId="13" borderId="7" xfId="14" applyFont="1" applyBorder="1" applyAlignment="1">
      <alignment horizontal="center" shrinkToFit="1"/>
      <protection locked="0"/>
    </xf>
    <xf numFmtId="0" fontId="43" fillId="0" borderId="7" xfId="0" applyFont="1" applyBorder="1" applyAlignment="1">
      <alignment horizontal="center" shrinkToFit="1"/>
    </xf>
    <xf numFmtId="0" fontId="43" fillId="11" borderId="7" xfId="0" applyFont="1" applyFill="1" applyBorder="1" applyAlignment="1">
      <alignment horizontal="center" shrinkToFit="1"/>
    </xf>
    <xf numFmtId="0" fontId="43" fillId="21" borderId="7" xfId="0" applyFont="1" applyFill="1" applyBorder="1" applyAlignment="1" applyProtection="1">
      <alignment horizontal="center" vertical="center" shrinkToFit="1"/>
      <protection locked="0"/>
    </xf>
    <xf numFmtId="0" fontId="43" fillId="11" borderId="7" xfId="14" applyFont="1" applyFill="1" applyBorder="1" applyAlignment="1">
      <alignment horizontal="center" shrinkToFit="1"/>
      <protection locked="0"/>
    </xf>
    <xf numFmtId="0" fontId="43" fillId="13" borderId="7" xfId="2" applyFont="1" applyFill="1" applyBorder="1" applyAlignment="1">
      <alignment horizontal="center" shrinkToFit="1"/>
    </xf>
    <xf numFmtId="0" fontId="44" fillId="4" borderId="7" xfId="18" applyFont="1" applyBorder="1" applyAlignment="1">
      <alignment horizontal="center" shrinkToFit="1"/>
    </xf>
    <xf numFmtId="0" fontId="44" fillId="13" borderId="7" xfId="0" applyFont="1" applyFill="1" applyBorder="1" applyAlignment="1">
      <alignment horizontal="center" shrinkToFit="1"/>
    </xf>
    <xf numFmtId="0" fontId="40" fillId="0" borderId="7" xfId="14" applyFont="1" applyFill="1" applyBorder="1" applyAlignment="1">
      <alignment horizontal="center" vertical="center" shrinkToFit="1"/>
      <protection locked="0"/>
    </xf>
    <xf numFmtId="0" fontId="39" fillId="3" borderId="7" xfId="2" applyFont="1" applyBorder="1" applyAlignment="1">
      <alignment horizontal="center" shrinkToFit="1"/>
    </xf>
    <xf numFmtId="0" fontId="43" fillId="15" borderId="7" xfId="14" applyFont="1" applyFill="1" applyBorder="1" applyAlignment="1">
      <alignment horizontal="center" shrinkToFit="1"/>
      <protection locked="0"/>
    </xf>
    <xf numFmtId="22" fontId="43" fillId="15" borderId="7" xfId="0" applyNumberFormat="1" applyFont="1" applyFill="1" applyBorder="1" applyAlignment="1">
      <alignment horizontal="center" vertical="top" shrinkToFit="1"/>
    </xf>
    <xf numFmtId="22" fontId="40" fillId="5" borderId="7" xfId="17" applyNumberFormat="1" applyFont="1" applyBorder="1" applyAlignment="1">
      <alignment horizontal="center" shrinkToFit="1"/>
    </xf>
    <xf numFmtId="22" fontId="43" fillId="4" borderId="7" xfId="18" applyNumberFormat="1" applyFont="1" applyBorder="1" applyAlignment="1">
      <alignment horizontal="center" shrinkToFit="1"/>
    </xf>
    <xf numFmtId="0" fontId="40" fillId="13" borderId="7" xfId="14" applyFont="1" applyBorder="1" applyAlignment="1">
      <alignment horizontal="center" vertical="center" shrinkToFit="1"/>
      <protection locked="0"/>
    </xf>
    <xf numFmtId="0" fontId="43" fillId="13" borderId="7" xfId="11" applyFont="1" applyFill="1" applyBorder="1" applyAlignment="1">
      <alignment horizontal="center" vertical="center" shrinkToFit="1"/>
      <protection locked="0"/>
    </xf>
    <xf numFmtId="0" fontId="40" fillId="4" borderId="7" xfId="10" applyFont="1" applyBorder="1" applyAlignment="1">
      <alignment horizontal="center" vertical="center" shrinkToFit="1"/>
      <protection locked="0"/>
    </xf>
    <xf numFmtId="0" fontId="40" fillId="12" borderId="7" xfId="13" applyFont="1" applyBorder="1" applyAlignment="1">
      <alignment horizontal="center" shrinkToFit="1"/>
      <protection locked="0"/>
    </xf>
    <xf numFmtId="16" fontId="43" fillId="12" borderId="7" xfId="0" applyNumberFormat="1" applyFont="1" applyFill="1" applyBorder="1" applyAlignment="1">
      <alignment horizontal="center" shrinkToFit="1"/>
    </xf>
    <xf numFmtId="16" fontId="43" fillId="15" borderId="7" xfId="0" applyNumberFormat="1" applyFont="1" applyFill="1" applyBorder="1" applyAlignment="1">
      <alignment horizontal="center" shrinkToFit="1"/>
    </xf>
    <xf numFmtId="0" fontId="21" fillId="15" borderId="7" xfId="0" applyFont="1" applyFill="1" applyBorder="1" applyAlignment="1">
      <alignment horizontal="center" shrinkToFit="1"/>
    </xf>
    <xf numFmtId="0" fontId="40" fillId="4" borderId="7" xfId="18" applyFont="1" applyBorder="1" applyAlignment="1" applyProtection="1">
      <alignment horizontal="center" vertical="center" shrinkToFit="1"/>
      <protection locked="0"/>
    </xf>
    <xf numFmtId="0" fontId="40" fillId="13" borderId="7" xfId="14" applyFont="1" applyBorder="1" applyAlignment="1">
      <alignment horizontal="center" vertical="top" shrinkToFit="1"/>
      <protection locked="0"/>
    </xf>
    <xf numFmtId="0" fontId="40" fillId="15" borderId="7" xfId="14" applyFont="1" applyFill="1" applyBorder="1" applyAlignment="1">
      <alignment horizontal="center" vertical="center" shrinkToFit="1"/>
      <protection locked="0"/>
    </xf>
    <xf numFmtId="22" fontId="40" fillId="5" borderId="7" xfId="17" applyNumberFormat="1" applyFont="1" applyBorder="1" applyAlignment="1" applyProtection="1">
      <alignment horizontal="center" vertical="center" shrinkToFit="1"/>
      <protection locked="0"/>
    </xf>
    <xf numFmtId="0" fontId="40" fillId="3" borderId="7" xfId="2" applyFont="1" applyBorder="1" applyAlignment="1">
      <alignment horizontal="center" shrinkToFit="1"/>
    </xf>
    <xf numFmtId="0" fontId="40" fillId="10" borderId="7" xfId="11" applyFont="1" applyBorder="1" applyAlignment="1">
      <alignment horizontal="center" shrinkToFit="1"/>
      <protection locked="0"/>
    </xf>
    <xf numFmtId="0" fontId="40" fillId="11" borderId="7" xfId="12" applyFont="1" applyBorder="1" applyAlignment="1">
      <alignment horizontal="center" shrinkToFit="1"/>
      <protection locked="0"/>
    </xf>
    <xf numFmtId="0" fontId="40" fillId="4" borderId="7" xfId="10" applyFont="1" applyBorder="1" applyAlignment="1">
      <alignment horizontal="center" shrinkToFit="1"/>
      <protection locked="0"/>
    </xf>
    <xf numFmtId="0" fontId="40" fillId="0" borderId="7" xfId="0" applyFont="1" applyBorder="1" applyAlignment="1">
      <alignment horizontal="center" shrinkToFit="1"/>
    </xf>
    <xf numFmtId="0" fontId="40" fillId="0" borderId="7" xfId="0" applyFont="1" applyBorder="1" applyAlignment="1" applyProtection="1">
      <alignment horizontal="center" vertical="center" shrinkToFit="1"/>
      <protection locked="0"/>
    </xf>
    <xf numFmtId="0" fontId="40" fillId="5" borderId="7" xfId="17" applyFont="1" applyBorder="1" applyAlignment="1" applyProtection="1">
      <alignment horizontal="center" shrinkToFit="1"/>
      <protection locked="0"/>
    </xf>
    <xf numFmtId="0" fontId="40" fillId="12" borderId="7" xfId="0" applyFont="1" applyFill="1" applyBorder="1" applyAlignment="1">
      <alignment horizontal="center" shrinkToFit="1"/>
    </xf>
    <xf numFmtId="0" fontId="43" fillId="12" borderId="7" xfId="13" applyFont="1" applyBorder="1" applyAlignment="1">
      <alignment horizontal="center" shrinkToFit="1"/>
      <protection locked="0"/>
    </xf>
    <xf numFmtId="16" fontId="43" fillId="12" borderId="7" xfId="18" applyNumberFormat="1" applyFont="1" applyFill="1" applyBorder="1" applyAlignment="1">
      <alignment horizontal="center" shrinkToFit="1"/>
    </xf>
    <xf numFmtId="16" fontId="43" fillId="12" borderId="7" xfId="14" applyNumberFormat="1" applyFont="1" applyFill="1" applyBorder="1" applyAlignment="1">
      <alignment horizontal="center" shrinkToFit="1"/>
      <protection locked="0"/>
    </xf>
    <xf numFmtId="0" fontId="40" fillId="12" borderId="7" xfId="13" applyFont="1" applyBorder="1" applyAlignment="1">
      <alignment horizontal="center" vertical="center" shrinkToFit="1"/>
      <protection locked="0"/>
    </xf>
    <xf numFmtId="0" fontId="43" fillId="12" borderId="7" xfId="0" applyFont="1" applyFill="1" applyBorder="1" applyAlignment="1">
      <alignment horizontal="center" shrinkToFit="1"/>
    </xf>
    <xf numFmtId="0" fontId="43" fillId="12" borderId="7" xfId="14" applyFont="1" applyFill="1" applyBorder="1" applyAlignment="1">
      <alignment horizontal="center" shrinkToFit="1"/>
      <protection locked="0"/>
    </xf>
    <xf numFmtId="16" fontId="40" fillId="5" borderId="7" xfId="17" applyNumberFormat="1" applyFont="1" applyBorder="1" applyAlignment="1" applyProtection="1">
      <alignment horizontal="center" shrinkToFit="1"/>
      <protection locked="0"/>
    </xf>
    <xf numFmtId="16" fontId="43" fillId="12" borderId="7" xfId="18" applyNumberFormat="1" applyFont="1" applyFill="1" applyBorder="1" applyAlignment="1" applyProtection="1">
      <alignment horizontal="center" vertical="center" shrinkToFit="1"/>
      <protection locked="0"/>
    </xf>
    <xf numFmtId="0" fontId="40" fillId="12" borderId="7" xfId="14" applyFont="1" applyFill="1" applyBorder="1" applyAlignment="1">
      <alignment horizontal="center" shrinkToFit="1"/>
      <protection locked="0"/>
    </xf>
    <xf numFmtId="14" fontId="43" fillId="12" borderId="7" xfId="0" applyNumberFormat="1" applyFont="1" applyFill="1" applyBorder="1" applyAlignment="1">
      <alignment horizontal="center" shrinkToFit="1"/>
    </xf>
    <xf numFmtId="0" fontId="43" fillId="12" borderId="7" xfId="14" applyFont="1" applyFill="1" applyBorder="1" applyAlignment="1">
      <alignment horizontal="center" vertical="center" shrinkToFit="1"/>
      <protection locked="0"/>
    </xf>
    <xf numFmtId="0" fontId="43" fillId="12" borderId="7" xfId="18" applyFont="1" applyFill="1" applyBorder="1" applyAlignment="1" applyProtection="1">
      <alignment horizontal="center" shrinkToFit="1"/>
      <protection locked="0"/>
    </xf>
    <xf numFmtId="0" fontId="43" fillId="12" borderId="7" xfId="0" applyFont="1" applyFill="1" applyBorder="1" applyAlignment="1" applyProtection="1">
      <alignment horizontal="center" vertical="center" shrinkToFit="1"/>
      <protection locked="0"/>
    </xf>
    <xf numFmtId="0" fontId="43" fillId="12" borderId="7" xfId="18" applyFont="1" applyFill="1" applyBorder="1" applyAlignment="1">
      <alignment horizontal="center" shrinkToFit="1"/>
    </xf>
    <xf numFmtId="0" fontId="40" fillId="5" borderId="7" xfId="17" applyFont="1" applyBorder="1" applyAlignment="1">
      <alignment horizontal="center" shrinkToFit="1"/>
    </xf>
    <xf numFmtId="16" fontId="40" fillId="5" borderId="7" xfId="17" applyNumberFormat="1" applyFont="1" applyBorder="1" applyAlignment="1">
      <alignment horizontal="center" shrinkToFit="1"/>
    </xf>
    <xf numFmtId="22" fontId="40" fillId="5" borderId="7" xfId="17" applyNumberFormat="1" applyFont="1" applyBorder="1" applyAlignment="1">
      <alignment horizontal="center" vertical="top" shrinkToFit="1"/>
    </xf>
    <xf numFmtId="22" fontId="43" fillId="12" borderId="7" xfId="18" applyNumberFormat="1" applyFont="1" applyFill="1" applyBorder="1" applyAlignment="1">
      <alignment horizontal="center" shrinkToFit="1"/>
    </xf>
    <xf numFmtId="0" fontId="40" fillId="12" borderId="7" xfId="18" applyFont="1" applyFill="1" applyBorder="1" applyAlignment="1">
      <alignment horizontal="center" vertical="top" shrinkToFit="1"/>
    </xf>
    <xf numFmtId="14" fontId="40" fillId="12" borderId="7" xfId="13" applyNumberFormat="1" applyFont="1" applyBorder="1" applyAlignment="1">
      <alignment horizontal="center" shrinkToFit="1"/>
      <protection locked="0"/>
    </xf>
    <xf numFmtId="16" fontId="40" fillId="12" borderId="7" xfId="18" applyNumberFormat="1" applyFont="1" applyFill="1" applyBorder="1" applyAlignment="1" applyProtection="1">
      <alignment horizontal="center" shrinkToFit="1"/>
      <protection locked="0"/>
    </xf>
    <xf numFmtId="16" fontId="40" fillId="12" borderId="7" xfId="24" applyNumberFormat="1" applyFont="1" applyFill="1" applyBorder="1" applyAlignment="1">
      <alignment horizontal="center" shrinkToFit="1"/>
    </xf>
    <xf numFmtId="0" fontId="40" fillId="12" borderId="7" xfId="10" applyFont="1" applyFill="1" applyBorder="1" applyAlignment="1">
      <alignment horizontal="center" shrinkToFit="1"/>
      <protection locked="0"/>
    </xf>
    <xf numFmtId="16" fontId="40" fillId="12" borderId="7" xfId="14" applyNumberFormat="1" applyFont="1" applyFill="1" applyBorder="1" applyAlignment="1">
      <alignment horizontal="center" shrinkToFit="1"/>
      <protection locked="0"/>
    </xf>
    <xf numFmtId="0" fontId="21" fillId="0" borderId="7" xfId="0" applyFont="1" applyBorder="1" applyAlignment="1">
      <alignment horizontal="center" shrinkToFit="1"/>
    </xf>
    <xf numFmtId="0" fontId="40" fillId="5" borderId="7" xfId="4" applyFont="1" applyBorder="1" applyAlignment="1">
      <alignment horizontal="center" shrinkToFit="1"/>
    </xf>
    <xf numFmtId="0" fontId="40" fillId="5" borderId="7" xfId="4" applyFont="1" applyBorder="1" applyAlignment="1" applyProtection="1">
      <alignment horizontal="center" shrinkToFit="1"/>
      <protection locked="0"/>
    </xf>
    <xf numFmtId="0" fontId="45" fillId="12" borderId="7" xfId="0" applyFont="1" applyFill="1" applyBorder="1" applyAlignment="1">
      <alignment horizontal="center" shrinkToFit="1"/>
    </xf>
    <xf numFmtId="0" fontId="40" fillId="12" borderId="7" xfId="11" applyFont="1" applyFill="1" applyBorder="1" applyAlignment="1">
      <alignment horizontal="center" shrinkToFit="1"/>
      <protection locked="0"/>
    </xf>
    <xf numFmtId="0" fontId="40" fillId="12" borderId="7" xfId="0" applyFont="1" applyFill="1" applyBorder="1" applyAlignment="1" applyProtection="1">
      <alignment horizontal="center" vertical="center" shrinkToFit="1"/>
      <protection locked="0"/>
    </xf>
    <xf numFmtId="0" fontId="21" fillId="12" borderId="7" xfId="0" applyFont="1" applyFill="1" applyBorder="1" applyAlignment="1">
      <alignment horizontal="center" shrinkToFit="1"/>
    </xf>
    <xf numFmtId="0" fontId="40" fillId="12" borderId="7" xfId="0" applyFont="1" applyFill="1" applyBorder="1" applyAlignment="1" applyProtection="1">
      <alignment horizontal="center" shrinkToFit="1"/>
      <protection locked="0"/>
    </xf>
    <xf numFmtId="14" fontId="40" fillId="5" borderId="7" xfId="17" applyNumberFormat="1" applyFont="1" applyBorder="1" applyAlignment="1">
      <alignment horizontal="center" shrinkToFit="1"/>
    </xf>
    <xf numFmtId="0" fontId="40" fillId="5" borderId="7" xfId="17" applyFont="1" applyBorder="1" applyAlignment="1">
      <alignment horizontal="center" vertical="center" shrinkToFit="1"/>
    </xf>
    <xf numFmtId="14" fontId="40" fillId="5" borderId="7" xfId="17" applyNumberFormat="1" applyFont="1" applyBorder="1" applyAlignment="1" applyProtection="1">
      <alignment horizontal="center" shrinkToFit="1"/>
      <protection locked="0"/>
    </xf>
    <xf numFmtId="0" fontId="46" fillId="0" borderId="7" xfId="0" applyFont="1" applyBorder="1" applyAlignment="1">
      <alignment horizontal="center" vertical="center" shrinkToFit="1"/>
    </xf>
    <xf numFmtId="0" fontId="40" fillId="12" borderId="7" xfId="14" applyFont="1" applyFill="1" applyBorder="1" applyAlignment="1">
      <alignment horizontal="center" vertical="center" shrinkToFit="1"/>
      <protection locked="0"/>
    </xf>
    <xf numFmtId="0" fontId="40" fillId="5" borderId="7" xfId="17" applyFont="1" applyBorder="1" applyAlignment="1" applyProtection="1">
      <alignment horizontal="center" vertical="center" shrinkToFit="1"/>
      <protection locked="0"/>
    </xf>
    <xf numFmtId="14" fontId="40" fillId="5" borderId="7" xfId="4" applyNumberFormat="1" applyFont="1" applyBorder="1" applyAlignment="1">
      <alignment horizontal="center" shrinkToFit="1"/>
    </xf>
    <xf numFmtId="14" fontId="39" fillId="18" borderId="7" xfId="20" applyNumberFormat="1" applyFont="1" applyBorder="1" applyAlignment="1">
      <alignment horizontal="center" shrinkToFit="1"/>
    </xf>
    <xf numFmtId="14" fontId="40" fillId="14" borderId="7" xfId="15" applyNumberFormat="1" applyFont="1" applyBorder="1" applyAlignment="1">
      <alignment horizontal="center" vertical="center" shrinkToFit="1"/>
    </xf>
    <xf numFmtId="14" fontId="40" fillId="5" borderId="7" xfId="4" applyNumberFormat="1" applyFont="1" applyBorder="1" applyAlignment="1">
      <alignment horizontal="center" vertical="center" shrinkToFit="1"/>
    </xf>
    <xf numFmtId="14" fontId="39" fillId="18" borderId="7" xfId="20" applyNumberFormat="1" applyFont="1" applyBorder="1" applyAlignment="1">
      <alignment horizontal="center" vertical="center" shrinkToFit="1"/>
    </xf>
    <xf numFmtId="0" fontId="39" fillId="18" borderId="7" xfId="20" applyNumberFormat="1" applyFont="1" applyBorder="1" applyAlignment="1">
      <alignment horizontal="center" vertical="center" shrinkToFit="1"/>
    </xf>
    <xf numFmtId="0" fontId="40" fillId="14" borderId="7" xfId="15" applyNumberFormat="1" applyFont="1" applyBorder="1" applyAlignment="1">
      <alignment horizontal="center" vertical="center" shrinkToFit="1"/>
    </xf>
    <xf numFmtId="14" fontId="39" fillId="18" borderId="7" xfId="0" applyNumberFormat="1" applyFont="1" applyFill="1" applyBorder="1" applyAlignment="1">
      <alignment horizontal="center" vertical="center" shrinkToFit="1"/>
    </xf>
    <xf numFmtId="14" fontId="39" fillId="12" borderId="7" xfId="20" applyNumberFormat="1" applyFont="1" applyFill="1" applyBorder="1" applyAlignment="1">
      <alignment horizontal="center" vertical="center" shrinkToFit="1"/>
    </xf>
    <xf numFmtId="0" fontId="39" fillId="18" borderId="7" xfId="20" applyFont="1" applyBorder="1" applyAlignment="1">
      <alignment horizontal="center" vertical="center" shrinkToFit="1"/>
    </xf>
    <xf numFmtId="0" fontId="40" fillId="12" borderId="7" xfId="20" applyFont="1" applyFill="1" applyBorder="1" applyAlignment="1">
      <alignment horizontal="center" vertical="center" shrinkToFit="1"/>
    </xf>
    <xf numFmtId="0" fontId="40" fillId="16" borderId="7" xfId="0" applyNumberFormat="1" applyFont="1" applyFill="1" applyBorder="1" applyAlignment="1">
      <alignment horizontal="center" vertical="center" shrinkToFit="1"/>
    </xf>
    <xf numFmtId="0" fontId="40" fillId="15" borderId="7" xfId="3" applyNumberFormat="1" applyFont="1" applyFill="1" applyBorder="1" applyAlignment="1">
      <alignment horizontal="center" vertical="center" shrinkToFit="1"/>
    </xf>
    <xf numFmtId="0" fontId="39" fillId="23" borderId="7" xfId="6" applyFont="1" applyFill="1" applyBorder="1" applyAlignment="1">
      <alignment horizontal="center" vertical="center" shrinkToFit="1"/>
    </xf>
    <xf numFmtId="0" fontId="40" fillId="5" borderId="7" xfId="4" applyNumberFormat="1" applyFont="1" applyBorder="1" applyAlignment="1">
      <alignment horizontal="center" vertical="center" shrinkToFit="1"/>
    </xf>
    <xf numFmtId="0" fontId="39" fillId="18" borderId="7" xfId="20" applyNumberFormat="1" applyFont="1" applyBorder="1" applyAlignment="1">
      <alignment horizontal="center" shrinkToFit="1"/>
    </xf>
    <xf numFmtId="0" fontId="39" fillId="22" borderId="7" xfId="20" applyNumberFormat="1" applyFont="1" applyFill="1" applyBorder="1" applyAlignment="1">
      <alignment horizontal="center" vertical="center" shrinkToFit="1"/>
    </xf>
    <xf numFmtId="0" fontId="40" fillId="5" borderId="7" xfId="4" applyFont="1" applyBorder="1" applyAlignment="1">
      <alignment horizontal="center" vertical="center" shrinkToFit="1"/>
    </xf>
    <xf numFmtId="0" fontId="40" fillId="12" borderId="7" xfId="7" applyNumberFormat="1" applyFont="1" applyFill="1" applyBorder="1" applyAlignment="1">
      <alignment horizontal="center" vertical="center" shrinkToFit="1"/>
    </xf>
    <xf numFmtId="0" fontId="40" fillId="16" borderId="7" xfId="0" applyFont="1" applyFill="1" applyBorder="1" applyAlignment="1">
      <alignment horizontal="center" vertical="center" shrinkToFit="1"/>
    </xf>
    <xf numFmtId="0" fontId="40" fillId="15" borderId="7" xfId="3" applyFont="1" applyFill="1" applyBorder="1" applyAlignment="1">
      <alignment horizontal="center" vertical="center" shrinkToFit="1"/>
    </xf>
    <xf numFmtId="0" fontId="40" fillId="18" borderId="7" xfId="20" applyFont="1" applyBorder="1" applyAlignment="1">
      <alignment horizontal="center" vertical="center" shrinkToFit="1"/>
    </xf>
    <xf numFmtId="0" fontId="40" fillId="3" borderId="7" xfId="2" applyNumberFormat="1" applyFont="1" applyBorder="1" applyAlignment="1">
      <alignment horizontal="center" vertical="center" shrinkToFit="1"/>
    </xf>
    <xf numFmtId="0" fontId="40" fillId="3" borderId="7" xfId="2" applyFont="1" applyBorder="1" applyAlignment="1">
      <alignment horizontal="center" vertical="center" shrinkToFit="1"/>
    </xf>
    <xf numFmtId="0" fontId="40" fillId="0" borderId="7" xfId="0" applyFont="1" applyBorder="1" applyAlignment="1">
      <alignment horizontal="center" vertical="center" shrinkToFit="1"/>
    </xf>
    <xf numFmtId="14" fontId="40" fillId="0" borderId="7" xfId="0" applyNumberFormat="1" applyFont="1" applyBorder="1" applyAlignment="1">
      <alignment horizontal="center" vertical="center" shrinkToFit="1"/>
    </xf>
    <xf numFmtId="0" fontId="40" fillId="0" borderId="7" xfId="0" applyNumberFormat="1" applyFont="1" applyBorder="1" applyAlignment="1">
      <alignment horizontal="center" vertical="center" shrinkToFit="1"/>
    </xf>
    <xf numFmtId="0" fontId="40" fillId="0" borderId="7" xfId="20" applyFont="1" applyFill="1" applyBorder="1" applyAlignment="1">
      <alignment horizontal="center" vertical="center" shrinkToFit="1"/>
    </xf>
    <xf numFmtId="14" fontId="40" fillId="17" borderId="7" xfId="0" applyNumberFormat="1" applyFont="1" applyFill="1" applyBorder="1" applyAlignment="1">
      <alignment horizontal="center" shrinkToFit="1"/>
    </xf>
    <xf numFmtId="14" fontId="40" fillId="0" borderId="11" xfId="0" applyNumberFormat="1" applyFont="1" applyBorder="1" applyAlignment="1">
      <alignment horizontal="center" vertical="center" shrinkToFit="1"/>
    </xf>
    <xf numFmtId="14" fontId="40" fillId="17" borderId="7" xfId="0" applyNumberFormat="1" applyFont="1" applyFill="1" applyBorder="1" applyAlignment="1">
      <alignment horizontal="center" vertical="center" shrinkToFit="1"/>
    </xf>
    <xf numFmtId="0" fontId="40" fillId="0" borderId="11" xfId="0" applyFont="1" applyBorder="1" applyAlignment="1">
      <alignment horizontal="center" shrinkToFit="1"/>
    </xf>
    <xf numFmtId="0" fontId="40" fillId="6" borderId="7" xfId="5" applyFont="1" applyBorder="1" applyAlignment="1">
      <alignment horizontal="center" vertical="center" shrinkToFit="1"/>
    </xf>
    <xf numFmtId="0" fontId="21" fillId="0" borderId="11" xfId="0" applyFont="1" applyBorder="1" applyAlignment="1">
      <alignment horizontal="center" vertical="center" shrinkToFit="1" readingOrder="1"/>
    </xf>
    <xf numFmtId="0" fontId="40" fillId="11" borderId="7" xfId="0" applyFont="1" applyFill="1" applyBorder="1" applyAlignment="1">
      <alignment horizontal="center" vertical="center" shrinkToFit="1"/>
    </xf>
    <xf numFmtId="0" fontId="15" fillId="0" borderId="2" xfId="0" applyNumberFormat="1" applyFont="1" applyBorder="1" applyAlignment="1">
      <alignment horizontal="center" shrinkToFit="1"/>
    </xf>
    <xf numFmtId="0" fontId="23" fillId="0" borderId="2" xfId="0" applyNumberFormat="1" applyFont="1" applyBorder="1" applyAlignment="1">
      <alignment horizontal="center" shrinkToFit="1"/>
    </xf>
    <xf numFmtId="0" fontId="25" fillId="0" borderId="0" xfId="0" applyNumberFormat="1" applyFont="1" applyBorder="1" applyAlignment="1">
      <alignment horizontal="center" shrinkToFit="1"/>
    </xf>
    <xf numFmtId="0" fontId="35" fillId="0" borderId="0" xfId="0" applyNumberFormat="1" applyFont="1" applyBorder="1" applyAlignment="1">
      <alignment horizontal="center" shrinkToFit="1"/>
    </xf>
    <xf numFmtId="0" fontId="38" fillId="0" borderId="0" xfId="0" applyNumberFormat="1" applyFont="1" applyBorder="1" applyAlignment="1">
      <alignment horizontal="center" shrinkToFit="1"/>
    </xf>
    <xf numFmtId="0" fontId="17" fillId="0" borderId="0" xfId="13" applyFont="1" applyFill="1" applyBorder="1" applyAlignment="1">
      <alignment horizontal="center" shrinkToFit="1"/>
      <protection locked="0"/>
    </xf>
    <xf numFmtId="0" fontId="17" fillId="0" borderId="0" xfId="11" applyFont="1" applyFill="1" applyBorder="1" applyAlignment="1">
      <alignment horizontal="center" shrinkToFit="1"/>
      <protection locked="0"/>
    </xf>
    <xf numFmtId="0" fontId="35" fillId="0" borderId="0" xfId="20" applyNumberFormat="1" applyFont="1" applyFill="1" applyBorder="1" applyAlignment="1">
      <alignment horizontal="center" shrinkToFit="1"/>
    </xf>
    <xf numFmtId="0" fontId="17" fillId="0" borderId="0" xfId="15" applyNumberFormat="1" applyFont="1" applyFill="1" applyBorder="1" applyAlignment="1">
      <alignment horizontal="center" vertical="center" shrinkToFit="1"/>
    </xf>
    <xf numFmtId="0" fontId="35" fillId="0" borderId="0" xfId="20" applyNumberFormat="1" applyFont="1" applyFill="1" applyBorder="1" applyAlignment="1">
      <alignment horizontal="center" vertical="center" shrinkToFit="1"/>
    </xf>
    <xf numFmtId="0" fontId="35" fillId="0" borderId="0" xfId="0" applyNumberFormat="1" applyFont="1" applyBorder="1" applyAlignment="1">
      <alignment horizontal="center" vertical="center" shrinkToFit="1"/>
    </xf>
    <xf numFmtId="0" fontId="17" fillId="0" borderId="0" xfId="7" applyNumberFormat="1" applyFont="1" applyFill="1" applyBorder="1" applyAlignment="1">
      <alignment horizontal="center" vertical="center" shrinkToFit="1"/>
    </xf>
    <xf numFmtId="0" fontId="17" fillId="0" borderId="0" xfId="2" applyNumberFormat="1" applyFont="1" applyFill="1" applyBorder="1" applyAlignment="1">
      <alignment horizontal="center" vertical="center" shrinkToFit="1"/>
    </xf>
    <xf numFmtId="0" fontId="17" fillId="0" borderId="0" xfId="0" applyFont="1" applyAlignment="1">
      <alignment horizontal="center" shrinkToFit="1"/>
    </xf>
    <xf numFmtId="0" fontId="25" fillId="0" borderId="0" xfId="0" applyFont="1" applyAlignment="1">
      <alignment horizontal="center" shrinkToFit="1"/>
    </xf>
    <xf numFmtId="14" fontId="17" fillId="0" borderId="0" xfId="0" applyNumberFormat="1" applyFont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 readingOrder="1"/>
    </xf>
    <xf numFmtId="0" fontId="47" fillId="7" borderId="5" xfId="6" applyFont="1" applyBorder="1" applyAlignment="1">
      <alignment horizontal="center" vertical="center" shrinkToFit="1"/>
    </xf>
    <xf numFmtId="14" fontId="47" fillId="7" borderId="5" xfId="6" applyNumberFormat="1" applyFont="1" applyBorder="1" applyAlignment="1">
      <alignment horizontal="center" vertical="center" shrinkToFit="1"/>
    </xf>
    <xf numFmtId="0" fontId="47" fillId="7" borderId="9" xfId="6" applyFont="1" applyBorder="1" applyAlignment="1">
      <alignment horizontal="center" vertical="center" shrinkToFit="1"/>
    </xf>
    <xf numFmtId="0" fontId="29" fillId="12" borderId="2" xfId="4" applyFont="1" applyFill="1" applyBorder="1" applyAlignment="1">
      <alignment horizontal="center" shrinkToFit="1"/>
    </xf>
    <xf numFmtId="0" fontId="14" fillId="11" borderId="2" xfId="0" applyFont="1" applyFill="1" applyBorder="1" applyAlignment="1">
      <alignment horizontal="center" shrinkToFit="1"/>
    </xf>
    <xf numFmtId="0" fontId="42" fillId="0" borderId="2" xfId="0" applyFont="1" applyBorder="1" applyAlignment="1">
      <alignment horizontal="center" vertical="center" shrinkToFit="1"/>
    </xf>
    <xf numFmtId="0" fontId="29" fillId="0" borderId="2" xfId="0" applyFont="1" applyBorder="1" applyAlignment="1" applyProtection="1">
      <alignment horizontal="center" shrinkToFit="1"/>
      <protection locked="0"/>
    </xf>
    <xf numFmtId="0" fontId="0" fillId="0" borderId="2" xfId="0" applyBorder="1" applyAlignment="1">
      <alignment horizontal="center" vertical="center"/>
    </xf>
    <xf numFmtId="22" fontId="14" fillId="0" borderId="2" xfId="0" applyNumberFormat="1" applyFont="1" applyBorder="1" applyAlignment="1">
      <alignment horizontal="center" vertical="center" shrinkToFit="1" readingOrder="1"/>
    </xf>
    <xf numFmtId="14" fontId="40" fillId="0" borderId="2" xfId="0" applyNumberFormat="1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0" fontId="20" fillId="0" borderId="8" xfId="0" applyNumberFormat="1" applyFont="1" applyBorder="1" applyAlignment="1">
      <alignment horizontal="center" vertical="center" shrinkToFit="1" readingOrder="1"/>
    </xf>
    <xf numFmtId="14" fontId="20" fillId="0" borderId="8" xfId="0" applyNumberFormat="1" applyFont="1" applyBorder="1" applyAlignment="1">
      <alignment horizontal="center" vertical="center" shrinkToFit="1" readingOrder="1"/>
    </xf>
    <xf numFmtId="0" fontId="21" fillId="0" borderId="2" xfId="0" applyFont="1" applyBorder="1" applyAlignment="1">
      <alignment horizontal="center" vertical="center" shrinkToFit="1" readingOrder="1"/>
    </xf>
    <xf numFmtId="0" fontId="20" fillId="0" borderId="2" xfId="0" quotePrefix="1" applyFont="1" applyBorder="1" applyAlignment="1">
      <alignment horizontal="center" vertical="center" shrinkToFit="1" readingOrder="1"/>
    </xf>
    <xf numFmtId="0" fontId="14" fillId="0" borderId="12" xfId="0" applyFont="1" applyBorder="1" applyAlignment="1">
      <alignment horizontal="center" vertical="center" shrinkToFit="1"/>
    </xf>
    <xf numFmtId="14" fontId="14" fillId="24" borderId="2" xfId="0" applyNumberFormat="1" applyFont="1" applyFill="1" applyBorder="1" applyAlignment="1">
      <alignment horizontal="center" vertical="center" shrinkToFit="1" readingOrder="1"/>
    </xf>
    <xf numFmtId="0" fontId="14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15" fontId="14" fillId="0" borderId="2" xfId="0" applyNumberFormat="1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 readingOrder="1"/>
    </xf>
    <xf numFmtId="0" fontId="14" fillId="0" borderId="8" xfId="0" applyFont="1" applyBorder="1" applyAlignment="1">
      <alignment horizontal="center" vertical="center" shrinkToFit="1" readingOrder="1"/>
    </xf>
    <xf numFmtId="0" fontId="52" fillId="7" borderId="5" xfId="6" applyFont="1" applyBorder="1" applyAlignment="1">
      <alignment horizontal="center" vertical="center" shrinkToFit="1"/>
    </xf>
    <xf numFmtId="14" fontId="21" fillId="0" borderId="7" xfId="0" applyNumberFormat="1" applyFont="1" applyBorder="1" applyAlignment="1">
      <alignment horizontal="center" vertical="center" shrinkToFit="1" readingOrder="1"/>
    </xf>
    <xf numFmtId="0" fontId="40" fillId="17" borderId="7" xfId="0" applyFont="1" applyFill="1" applyBorder="1" applyAlignment="1">
      <alignment horizontal="center" vertical="center" shrinkToFit="1"/>
    </xf>
    <xf numFmtId="14" fontId="40" fillId="11" borderId="7" xfId="0" applyNumberFormat="1" applyFont="1" applyFill="1" applyBorder="1" applyAlignment="1">
      <alignment horizontal="center" shrinkToFit="1"/>
    </xf>
    <xf numFmtId="0" fontId="40" fillId="0" borderId="7" xfId="0" applyFont="1" applyBorder="1" applyAlignment="1">
      <alignment horizontal="center" vertical="center" shrinkToFit="1" readingOrder="1"/>
    </xf>
    <xf numFmtId="14" fontId="40" fillId="0" borderId="7" xfId="0" quotePrefix="1" applyNumberFormat="1" applyFont="1" applyBorder="1" applyAlignment="1">
      <alignment horizontal="center" vertical="center" shrinkToFit="1"/>
    </xf>
    <xf numFmtId="14" fontId="40" fillId="17" borderId="2" xfId="0" applyNumberFormat="1" applyFont="1" applyFill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 readingOrder="1"/>
    </xf>
    <xf numFmtId="0" fontId="40" fillId="0" borderId="0" xfId="0" applyFont="1" applyAlignment="1">
      <alignment horizontal="center" vertical="center" shrinkToFit="1"/>
    </xf>
    <xf numFmtId="0" fontId="21" fillId="0" borderId="8" xfId="0" applyFont="1" applyBorder="1" applyAlignment="1">
      <alignment horizontal="center" vertical="center" shrinkToFit="1" readingOrder="1"/>
    </xf>
    <xf numFmtId="0" fontId="40" fillId="0" borderId="2" xfId="0" applyFont="1" applyBorder="1" applyAlignment="1">
      <alignment horizontal="center" vertical="center" wrapText="1" shrinkToFit="1"/>
    </xf>
    <xf numFmtId="0" fontId="40" fillId="0" borderId="8" xfId="0" applyFont="1" applyBorder="1" applyAlignment="1">
      <alignment horizontal="center" vertical="center" shrinkToFit="1"/>
    </xf>
    <xf numFmtId="14" fontId="21" fillId="0" borderId="2" xfId="0" applyNumberFormat="1" applyFont="1" applyBorder="1" applyAlignment="1">
      <alignment horizontal="center" shrinkToFit="1"/>
    </xf>
    <xf numFmtId="0" fontId="40" fillId="0" borderId="2" xfId="0" applyNumberFormat="1" applyFont="1" applyBorder="1" applyAlignment="1">
      <alignment horizontal="center" vertical="center" shrinkToFit="1"/>
    </xf>
    <xf numFmtId="0" fontId="53" fillId="17" borderId="2" xfId="19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 shrinkToFit="1"/>
    </xf>
    <xf numFmtId="0" fontId="10" fillId="0" borderId="2" xfId="19" applyBorder="1" applyAlignment="1">
      <alignment horizontal="center" vertical="center" shrinkToFit="1" readingOrder="1"/>
    </xf>
    <xf numFmtId="0" fontId="14" fillId="0" borderId="2" xfId="0" quotePrefix="1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wrapText="1" shrinkToFit="1" readingOrder="1"/>
    </xf>
    <xf numFmtId="0" fontId="25" fillId="0" borderId="2" xfId="0" applyFont="1" applyBorder="1" applyAlignment="1">
      <alignment horizontal="center" vertical="center" shrinkToFit="1" readingOrder="1"/>
    </xf>
    <xf numFmtId="49" fontId="14" fillId="0" borderId="2" xfId="0" applyNumberFormat="1" applyFont="1" applyBorder="1" applyAlignment="1">
      <alignment horizontal="center" vertical="center" wrapText="1" shrinkToFit="1"/>
    </xf>
  </cellXfs>
  <cellStyles count="26">
    <cellStyle name="40% - Colore 2" xfId="21" builtinId="35"/>
    <cellStyle name="App. OK" xfId="10" xr:uid="{00000000-0005-0000-0000-000000000000}"/>
    <cellStyle name="Calcolo" xfId="8" builtinId="22" customBuiltin="1"/>
    <cellStyle name="Cella da controllare" xfId="20" builtinId="23"/>
    <cellStyle name="Collegamento ipertestuale" xfId="19" builtinId="8"/>
    <cellStyle name="Colore 2" xfId="6" builtinId="33"/>
    <cellStyle name="Colore 3" xfId="22" builtinId="37"/>
    <cellStyle name="Colore 6" xfId="15" builtinId="49"/>
    <cellStyle name="Consegnato" xfId="13" xr:uid="{00000000-0005-0000-0000-000004000000}"/>
    <cellStyle name="IN CORSO" xfId="11" xr:uid="{00000000-0005-0000-0000-000006000000}"/>
    <cellStyle name="Input" xfId="1" builtinId="20" customBuiltin="1"/>
    <cellStyle name="Inst. OK_AVV" xfId="9" xr:uid="{00000000-0005-0000-0000-000008000000}"/>
    <cellStyle name="Install./Disp." xfId="14" xr:uid="{00000000-0005-0000-0000-000009000000}"/>
    <cellStyle name="Neutrale" xfId="2" builtinId="28" customBuiltin="1"/>
    <cellStyle name="Neutrale 2" xfId="23" xr:uid="{275FDBFC-8B1F-48D7-8664-05D0DF779AC0}"/>
    <cellStyle name="Normale" xfId="0" builtinId="0" customBuiltin="1"/>
    <cellStyle name="Normale 2" xfId="25" xr:uid="{7985C536-2FA3-42E7-A30A-DF0D8172ED93}"/>
    <cellStyle name="Nota" xfId="7" builtinId="10"/>
    <cellStyle name="Nota 2" xfId="24" xr:uid="{DC739216-266F-4A28-A7EA-A1C332738854}"/>
    <cellStyle name="PROBLEMA" xfId="12" xr:uid="{00000000-0005-0000-0000-00000D000000}"/>
    <cellStyle name="ReadOnlyStyle" xfId="16" xr:uid="{00000000-0005-0000-0000-00000E000000}"/>
    <cellStyle name="Testo descrittivo" xfId="3" builtinId="53" customBuiltin="1"/>
    <cellStyle name="Testo descrittivo 2" xfId="18" xr:uid="{00000000-0005-0000-0000-000010000000}"/>
    <cellStyle name="Valore non valido" xfId="5" builtinId="27" customBuiltin="1"/>
    <cellStyle name="Valore valido" xfId="4" builtinId="26" customBuiltin="1"/>
    <cellStyle name="Valore valido 2" xfId="17" xr:uid="{00000000-0005-0000-0000-000013000000}"/>
  </cellStyles>
  <dxfs count="703">
    <dxf>
      <fill>
        <patternFill>
          <bgColor theme="4" tint="0.39994506668294322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theme="4" tint="0.39994506668294322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>
          <bgColor theme="4" tint="0.39994506668294322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 patternType="solid">
          <fgColor auto="1"/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6" tint="0.59996337778862885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auto="1"/>
          <bgColor theme="0" tint="-0.34998626667073579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auto="1"/>
          <bgColor theme="0" tint="-0.34998626667073579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>
          <bgColor rgb="FF00B0F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5" tint="0.79998168889431442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auto="1"/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auto="1"/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auto="1"/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auto="1"/>
          <bgColor theme="0" tint="-0.34998626667073579"/>
        </patternFill>
      </fill>
    </dxf>
    <dxf>
      <fill>
        <patternFill>
          <bgColor theme="4" tint="0.39994506668294322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auto="1"/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auto="1"/>
          <bgColor theme="0" tint="-0.34998626667073579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theme="4" tint="0.39994506668294322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>
          <bgColor rgb="FF00B0F0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 patternType="solid">
          <fgColor rgb="FFFFEB9C"/>
          <bgColor theme="6" tint="0.59996337778862885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rgb="FF00B0F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rgb="FFFFC0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 patternType="solid">
          <fgColor rgb="FFFFEB9C"/>
          <bgColor theme="6" tint="0.59996337778862885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>
          <bgColor theme="4" tint="0.39994506668294322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>
          <bgColor rgb="FF00B0F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6" tint="0.59996337778862885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>
          <bgColor theme="4" tint="0.39994506668294322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rgb="FFFFC0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6" tint="0.59996337778862885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darkGray">
          <fgColor rgb="FFFFEB9C"/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rgb="FFFFC0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auto="1"/>
          <bgColor theme="0" tint="-0.34998626667073579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auto="1"/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auto="1"/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>
          <bgColor rgb="FF00B0F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 val="0"/>
        <i val="0"/>
        <u val="none"/>
        <color auto="1"/>
      </font>
      <fill>
        <patternFill>
          <bgColor theme="4" tint="0.39994506668294322"/>
        </patternFill>
      </fill>
    </dxf>
    <dxf>
      <fill>
        <patternFill patternType="solid">
          <fgColor rgb="FFFFEB9C"/>
          <bgColor rgb="FFFFC0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EB9C"/>
          <bgColor theme="5" tint="0.79998168889431442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darkGray">
          <fgColor rgb="FFFFFFCC"/>
          <bgColor theme="5" tint="0.79995117038483843"/>
        </patternFill>
      </fill>
    </dxf>
    <dxf>
      <fill>
        <patternFill patternType="solid">
          <fgColor rgb="FFFFEB9C"/>
          <bgColor theme="6" tint="0.59996337778862885"/>
        </patternFill>
      </fill>
    </dxf>
    <dxf>
      <fill>
        <patternFill patternType="solid">
          <fgColor rgb="FFFFEB9C"/>
          <bgColor rgb="FFFFC000"/>
        </patternFill>
      </fill>
    </dxf>
    <dxf>
      <font>
        <color theme="9" tint="-0.499984740745262"/>
      </font>
      <fill>
        <patternFill patternType="darkGray">
          <fgColor rgb="FFFFEB9C"/>
          <bgColor rgb="FFFFFF00"/>
        </patternFill>
      </fill>
    </dxf>
    <dxf>
      <fill>
        <patternFill patternType="solid">
          <fgColor rgb="FFFFEB9C"/>
          <bgColor rgb="FFFFC000"/>
        </patternFill>
      </fill>
    </dxf>
    <dxf>
      <fill>
        <patternFill patternType="solid">
          <fgColor rgb="FFFFEB9C"/>
          <bgColor theme="6" tint="0.59996337778862885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C7CE"/>
      <color rgb="FFEDB202"/>
      <color rgb="FFFFEB9C"/>
      <color rgb="FFF78234"/>
      <color rgb="FFC6EFC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nhares Cruz, Jackson (IG/S-31, extern)" id="{91B53EE8-693F-42CB-9652-C928DAED5C0C}" userId="S::jackson.linhares.cruz@partner.italdesign.it::dcdb8d61-59e7-4fb0-92a4-eb6d90630a6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763" dT="2025-01-21T14:52:46.97" personId="{91B53EE8-693F-42CB-9652-C928DAED5C0C}" id="{066F76F3-61C7-411B-98EB-B9FF908D6A39}">
    <text>Inoltre devo lanciare questo comando con i diritti di admin per abilitare il tracciamento di una centralina:
“netsh int ipv6 set global flowlabel=disabled”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elpdesk.idg.audi.vwg/ServiceRequest/Edit/SR977729/" TargetMode="External"/><Relationship Id="rId21" Type="http://schemas.openxmlformats.org/officeDocument/2006/relationships/hyperlink" Target="https://helpdesk.idg.audi.vwg/ServiceRequest/Edit/SR959157/" TargetMode="External"/><Relationship Id="rId42" Type="http://schemas.openxmlformats.org/officeDocument/2006/relationships/hyperlink" Target="https://helpdesk.idg.audi.vwg/ServiceRequest/Edit/SR1017387/" TargetMode="External"/><Relationship Id="rId47" Type="http://schemas.openxmlformats.org/officeDocument/2006/relationships/hyperlink" Target="https://helpdesk.idg.audi.vwg/ServiceRequest/Edit/SR914550/" TargetMode="External"/><Relationship Id="rId63" Type="http://schemas.openxmlformats.org/officeDocument/2006/relationships/hyperlink" Target="https://helpdesk.idg.audi.vwg/ServiceRequest/Edit/SR945957/" TargetMode="External"/><Relationship Id="rId68" Type="http://schemas.openxmlformats.org/officeDocument/2006/relationships/hyperlink" Target="mailto:Italdesign72940@!" TargetMode="External"/><Relationship Id="rId84" Type="http://schemas.openxmlformats.org/officeDocument/2006/relationships/comments" Target="../comments1.xml"/><Relationship Id="rId16" Type="http://schemas.openxmlformats.org/officeDocument/2006/relationships/hyperlink" Target="https://helpdesk.idg.audi.vwg/ServiceRequest/Edit/SR996157/" TargetMode="External"/><Relationship Id="rId11" Type="http://schemas.openxmlformats.org/officeDocument/2006/relationships/hyperlink" Target="https://helpdesk.idg.audi.vwg/ServiceRequest/Edit/SR977729/" TargetMode="External"/><Relationship Id="rId32" Type="http://schemas.openxmlformats.org/officeDocument/2006/relationships/hyperlink" Target="https://helpdesk.idg.audi.vwg/ServiceRequest/Edit/SR996181/" TargetMode="External"/><Relationship Id="rId37" Type="http://schemas.openxmlformats.org/officeDocument/2006/relationships/hyperlink" Target="https://helpdesk.idg.audi.vwg/ServiceRequest/Edit/SR1017539/" TargetMode="External"/><Relationship Id="rId53" Type="http://schemas.openxmlformats.org/officeDocument/2006/relationships/hyperlink" Target="https://helpdesk.idg.audi.vwg/ServiceRequest/Edit/SR922060/" TargetMode="External"/><Relationship Id="rId58" Type="http://schemas.openxmlformats.org/officeDocument/2006/relationships/hyperlink" Target="https://helpdesk.idg.audi.vwg/ServiceRequest/Edit/SR939169/" TargetMode="External"/><Relationship Id="rId74" Type="http://schemas.openxmlformats.org/officeDocument/2006/relationships/hyperlink" Target="https://volkswagengroup.sharepoint.com/sites/ITServiceDesk/Shared%20Documents/IMAC/New_Richiesta%20DDT.xlsx?web=1" TargetMode="External"/><Relationship Id="rId79" Type="http://schemas.openxmlformats.org/officeDocument/2006/relationships/hyperlink" Target="mailto:SurfacePro659@!" TargetMode="External"/><Relationship Id="rId5" Type="http://schemas.openxmlformats.org/officeDocument/2006/relationships/hyperlink" Target="https://helpdesk.idg.audi.vwg/ServiceRequest/Edit/SR1364122/" TargetMode="External"/><Relationship Id="rId19" Type="http://schemas.openxmlformats.org/officeDocument/2006/relationships/hyperlink" Target="https://helpdesk.idg.audi.vwg/ServiceRequest/Edit/SR977720/" TargetMode="External"/><Relationship Id="rId14" Type="http://schemas.openxmlformats.org/officeDocument/2006/relationships/hyperlink" Target="https://helpdesk.idg.audi.vwg/ServiceRequest/Edit/SR994506/" TargetMode="External"/><Relationship Id="rId22" Type="http://schemas.openxmlformats.org/officeDocument/2006/relationships/hyperlink" Target="https://helpdesk.idg.audi.vwg/ServiceRequest/Edit/SR971932/" TargetMode="External"/><Relationship Id="rId27" Type="http://schemas.openxmlformats.org/officeDocument/2006/relationships/hyperlink" Target="https://helpdesk.idg.audi.vwg/ServiceRequest/Edit/SR987850/" TargetMode="External"/><Relationship Id="rId30" Type="http://schemas.openxmlformats.org/officeDocument/2006/relationships/hyperlink" Target="https://helpdesk.idg.audi.vwg/ServiceRequest/Edit/SR971925/" TargetMode="External"/><Relationship Id="rId35" Type="http://schemas.openxmlformats.org/officeDocument/2006/relationships/hyperlink" Target="https://helpdesk.idg.audi.vwg/ServiceRequest/Edit/SR996135/" TargetMode="External"/><Relationship Id="rId43" Type="http://schemas.openxmlformats.org/officeDocument/2006/relationships/hyperlink" Target="https://helpdesk.idg.audi.vwg/ServiceRequest/Edit/SR1017375/" TargetMode="External"/><Relationship Id="rId48" Type="http://schemas.openxmlformats.org/officeDocument/2006/relationships/hyperlink" Target="https://helpdesk.idg.audi.vwg/ServiceRequest/Edit/SR919842/" TargetMode="External"/><Relationship Id="rId56" Type="http://schemas.openxmlformats.org/officeDocument/2006/relationships/hyperlink" Target="https://helpdesk.idg.audi.vwg/ServiceRequest/Edit/SR939169/" TargetMode="External"/><Relationship Id="rId64" Type="http://schemas.openxmlformats.org/officeDocument/2006/relationships/hyperlink" Target="https://helpdesk.idg.audi.vwg/ServiceRequest/Edit/SR1247994/" TargetMode="External"/><Relationship Id="rId69" Type="http://schemas.openxmlformats.org/officeDocument/2006/relationships/hyperlink" Target="mailto:Italdesign72938@!" TargetMode="External"/><Relationship Id="rId77" Type="http://schemas.openxmlformats.org/officeDocument/2006/relationships/hyperlink" Target="file:///\\idgdsl\DSL\Licenze\Adobe\Inventory_Adobe_2025.xlsx" TargetMode="External"/><Relationship Id="rId8" Type="http://schemas.openxmlformats.org/officeDocument/2006/relationships/hyperlink" Target="https://helpdesk.idg.audi.vwg/ServiceRequest/Edit/SR971925/" TargetMode="External"/><Relationship Id="rId51" Type="http://schemas.openxmlformats.org/officeDocument/2006/relationships/hyperlink" Target="https://helpdesk.idg.audi.vwg/ServiceRequest/Edit/SR932679/" TargetMode="External"/><Relationship Id="rId72" Type="http://schemas.openxmlformats.org/officeDocument/2006/relationships/hyperlink" Target="https://volkswagengroup.sharepoint.com/sites/ITServiceDesk/Shared%20Documents/IMAC/Foglio_ConsegnaMacchina_Office_LENOVO.docx?web=1" TargetMode="External"/><Relationship Id="rId80" Type="http://schemas.openxmlformats.org/officeDocument/2006/relationships/hyperlink" Target="mailto:SurfaceGo808@!" TargetMode="External"/><Relationship Id="rId85" Type="http://schemas.microsoft.com/office/2017/10/relationships/threadedComment" Target="../threadedComments/threadedComment1.xml"/><Relationship Id="rId3" Type="http://schemas.openxmlformats.org/officeDocument/2006/relationships/hyperlink" Target="https://helpdesk.idg.audi.vwg/ServiceRequest/Edit/SR1372010/" TargetMode="External"/><Relationship Id="rId12" Type="http://schemas.openxmlformats.org/officeDocument/2006/relationships/hyperlink" Target="https://helpdesk.idg.audi.vwg/ServiceRequest/Edit/SR922054/" TargetMode="External"/><Relationship Id="rId17" Type="http://schemas.openxmlformats.org/officeDocument/2006/relationships/hyperlink" Target="https://helpdesk.idg.audi.vwg/ServiceRequest/Edit/SR996181/" TargetMode="External"/><Relationship Id="rId25" Type="http://schemas.openxmlformats.org/officeDocument/2006/relationships/hyperlink" Target="https://helpdesk.idg.audi.vwg/ServiceRequest/Edit/SR977729/" TargetMode="External"/><Relationship Id="rId33" Type="http://schemas.openxmlformats.org/officeDocument/2006/relationships/hyperlink" Target="https://helpdesk.idg.audi.vwg/ServiceRequest/Edit/SR994506/" TargetMode="External"/><Relationship Id="rId38" Type="http://schemas.openxmlformats.org/officeDocument/2006/relationships/hyperlink" Target="https://helpdesk.idg.audi.vwg/ServiceRequest/Edit/SR1017551/" TargetMode="External"/><Relationship Id="rId46" Type="http://schemas.openxmlformats.org/officeDocument/2006/relationships/hyperlink" Target="https://helpdesk.idg.audi.vwg/ServiceRequest/Edit/SR904787/" TargetMode="External"/><Relationship Id="rId59" Type="http://schemas.openxmlformats.org/officeDocument/2006/relationships/hyperlink" Target="https://helpdesk.idg.audi.vwg/ServiceRequest/Edit/SR916531/" TargetMode="External"/><Relationship Id="rId67" Type="http://schemas.openxmlformats.org/officeDocument/2006/relationships/hyperlink" Target="https://helpdesk.idg.audi.vwg/ServiceRequest/Edit/SR977720/" TargetMode="External"/><Relationship Id="rId20" Type="http://schemas.openxmlformats.org/officeDocument/2006/relationships/hyperlink" Target="https://helpdesk.idg.audi.vwg/ServiceRequest/Edit/SR977720/" TargetMode="External"/><Relationship Id="rId41" Type="http://schemas.openxmlformats.org/officeDocument/2006/relationships/hyperlink" Target="https://helpdesk.idg.audi.vwg/ServiceRequest/Edit/SR1015803/" TargetMode="External"/><Relationship Id="rId54" Type="http://schemas.openxmlformats.org/officeDocument/2006/relationships/hyperlink" Target="https://helpdesk.idg.audi.vwg/ServiceRequest/Edit/SR939169/" TargetMode="External"/><Relationship Id="rId62" Type="http://schemas.openxmlformats.org/officeDocument/2006/relationships/hyperlink" Target="https://helpdesk.idg.audi.vwg/ServiceRequest/Edit/SR946855/" TargetMode="External"/><Relationship Id="rId70" Type="http://schemas.openxmlformats.org/officeDocument/2006/relationships/hyperlink" Target="file:///\\audi.vwg\IDG\StgArea01\giugiaro\italdesign\attivita\ServiceDesk\IDENTITY%20MANAGEMENT\LETTERE%20LOGIN" TargetMode="External"/><Relationship Id="rId75" Type="http://schemas.openxmlformats.org/officeDocument/2006/relationships/hyperlink" Target="https://volkswagengroup.sharepoint.com/sites/ITServiceDesk/Shared%20Documents/General/Situazione%20Login.xlsx?web=1" TargetMode="External"/><Relationship Id="rId83" Type="http://schemas.openxmlformats.org/officeDocument/2006/relationships/vmlDrawing" Target="../drawings/vmlDrawing1.vml"/><Relationship Id="rId1" Type="http://schemas.openxmlformats.org/officeDocument/2006/relationships/hyperlink" Target="https://helpdesk.idg.audi.vwg/ServiceRequest/Edit/SR1367856/" TargetMode="External"/><Relationship Id="rId6" Type="http://schemas.openxmlformats.org/officeDocument/2006/relationships/hyperlink" Target="https://helpdesk.idg.audi.vwg/ServiceRequest/Edit/SR1364116/" TargetMode="External"/><Relationship Id="rId15" Type="http://schemas.openxmlformats.org/officeDocument/2006/relationships/hyperlink" Target="https://helpdesk.idg.audi.vwg/ServiceRequest/Edit/SR996135/" TargetMode="External"/><Relationship Id="rId23" Type="http://schemas.openxmlformats.org/officeDocument/2006/relationships/hyperlink" Target="https://helpdesk.idg.audi.vwg/ServiceRequest/Edit/SR977735/" TargetMode="External"/><Relationship Id="rId28" Type="http://schemas.openxmlformats.org/officeDocument/2006/relationships/hyperlink" Target="https://helpdesk.idg.audi.vwg/ServiceRequest/Edit/SR987856/" TargetMode="External"/><Relationship Id="rId36" Type="http://schemas.openxmlformats.org/officeDocument/2006/relationships/hyperlink" Target="https://helpdesk.idg.audi.vwg/ServiceRequest/Edit/SR1009047/" TargetMode="External"/><Relationship Id="rId49" Type="http://schemas.openxmlformats.org/officeDocument/2006/relationships/hyperlink" Target="https://helpdesk.idg.audi.vwg/ServiceRequest/Edit/SR897860/" TargetMode="External"/><Relationship Id="rId57" Type="http://schemas.openxmlformats.org/officeDocument/2006/relationships/hyperlink" Target="https://helpdesk.idg.audi.vwg/ServiceRequest/Edit/SR939169/" TargetMode="External"/><Relationship Id="rId10" Type="http://schemas.openxmlformats.org/officeDocument/2006/relationships/hyperlink" Target="https://helpdesk.idg.audi.vwg/ServiceRequest/Edit/SR977729/" TargetMode="External"/><Relationship Id="rId31" Type="http://schemas.openxmlformats.org/officeDocument/2006/relationships/hyperlink" Target="https://helpdesk.idg.audi.vwg/ServiceRequest/Edit/SR974804/" TargetMode="External"/><Relationship Id="rId44" Type="http://schemas.openxmlformats.org/officeDocument/2006/relationships/hyperlink" Target="https://helpdesk.idg.audi.vwg/ServiceRequest/Edit/SR1017557/" TargetMode="External"/><Relationship Id="rId52" Type="http://schemas.openxmlformats.org/officeDocument/2006/relationships/hyperlink" Target="https://helpdesk.idg.audi.vwg/ServiceRequest/Edit/SR932679/" TargetMode="External"/><Relationship Id="rId60" Type="http://schemas.openxmlformats.org/officeDocument/2006/relationships/hyperlink" Target="https://helpdesk.idg.audi.vwg/ServiceRequest/Edit/SR937951/" TargetMode="External"/><Relationship Id="rId65" Type="http://schemas.openxmlformats.org/officeDocument/2006/relationships/hyperlink" Target="mailto:Italdesign73304@!" TargetMode="External"/><Relationship Id="rId73" Type="http://schemas.openxmlformats.org/officeDocument/2006/relationships/hyperlink" Target="https://volkswagengroup.sharepoint.com/sites/ITServiceDesk/Shared%20Documents/IMAC/FoglioConsegnaMacchina_CAD.docx?web=1" TargetMode="External"/><Relationship Id="rId78" Type="http://schemas.openxmlformats.org/officeDocument/2006/relationships/hyperlink" Target="file:///\\idgdsl\dsl\Licenze\ThinkCell\licenze%20Think-cell%20installate.xlsx" TargetMode="External"/><Relationship Id="rId81" Type="http://schemas.openxmlformats.org/officeDocument/2006/relationships/hyperlink" Target="mailto:Italdesign73304@!" TargetMode="External"/><Relationship Id="rId4" Type="http://schemas.openxmlformats.org/officeDocument/2006/relationships/hyperlink" Target="https://helpdesk.idg.audi.vwg/ServiceRequest/Edit/SR1358908/" TargetMode="External"/><Relationship Id="rId9" Type="http://schemas.openxmlformats.org/officeDocument/2006/relationships/hyperlink" Target="https://helpdesk.idg.audi.vwg/ServiceRequest/Edit/SR974804/" TargetMode="External"/><Relationship Id="rId13" Type="http://schemas.openxmlformats.org/officeDocument/2006/relationships/hyperlink" Target="https://helpdesk.idg.audi.vwg/ServiceRequest/Edit/SR977720/" TargetMode="External"/><Relationship Id="rId18" Type="http://schemas.openxmlformats.org/officeDocument/2006/relationships/hyperlink" Target="https://helpdesk.idg.audi.vwg/ServiceRequest/Edit/SR922054/" TargetMode="External"/><Relationship Id="rId39" Type="http://schemas.openxmlformats.org/officeDocument/2006/relationships/hyperlink" Target="https://helpdesk.idg.audi.vwg/ServiceRequest/Edit/SR1018533/" TargetMode="External"/><Relationship Id="rId34" Type="http://schemas.openxmlformats.org/officeDocument/2006/relationships/hyperlink" Target="https://helpdesk.idg.audi.vwg/ServiceRequest/Edit/SR996157/" TargetMode="External"/><Relationship Id="rId50" Type="http://schemas.openxmlformats.org/officeDocument/2006/relationships/hyperlink" Target="https://helpdesk.idg.audi.vwg/ServiceRequest/Edit/SR932691/" TargetMode="External"/><Relationship Id="rId55" Type="http://schemas.openxmlformats.org/officeDocument/2006/relationships/hyperlink" Target="https://helpdesk.idg.audi.vwg/ServiceRequest/Edit/SR939169/" TargetMode="External"/><Relationship Id="rId76" Type="http://schemas.openxmlformats.org/officeDocument/2006/relationships/hyperlink" Target="file:///C:\Script\PCDocumentPrint_GUI.exe" TargetMode="External"/><Relationship Id="rId7" Type="http://schemas.openxmlformats.org/officeDocument/2006/relationships/hyperlink" Target="https://volkswagengroup.sharepoint.com/" TargetMode="External"/><Relationship Id="rId71" Type="http://schemas.openxmlformats.org/officeDocument/2006/relationships/hyperlink" Target="https://volkswagengroup.sharepoint.com/sites/ITServiceDesk/Shared%20Documents/IMAC/FoglioConsegnaMacchina_Office.docx?web=1" TargetMode="External"/><Relationship Id="rId2" Type="http://schemas.openxmlformats.org/officeDocument/2006/relationships/hyperlink" Target="https://helpdesk.idg.audi.vwg/ServiceRequest/Edit/SR1364110/" TargetMode="External"/><Relationship Id="rId29" Type="http://schemas.openxmlformats.org/officeDocument/2006/relationships/hyperlink" Target="https://helpdesk.idg.audi.vwg/ServiceRequest/Edit/SR989916/" TargetMode="External"/><Relationship Id="rId24" Type="http://schemas.openxmlformats.org/officeDocument/2006/relationships/hyperlink" Target="https://helpdesk.idg.audi.vwg/ServiceRequest/Edit/SR977729/" TargetMode="External"/><Relationship Id="rId40" Type="http://schemas.openxmlformats.org/officeDocument/2006/relationships/hyperlink" Target="https://helpdesk.idg.audi.vwg/ServiceRequest/Edit/SR1015797/" TargetMode="External"/><Relationship Id="rId45" Type="http://schemas.openxmlformats.org/officeDocument/2006/relationships/hyperlink" Target="https://helpdesk.idg.audi.vwg/ServiceRequest/Edit/SR902109/" TargetMode="External"/><Relationship Id="rId66" Type="http://schemas.openxmlformats.org/officeDocument/2006/relationships/hyperlink" Target="mailto:Italdesign73669@!" TargetMode="External"/><Relationship Id="rId61" Type="http://schemas.openxmlformats.org/officeDocument/2006/relationships/hyperlink" Target="https://helpdesk.idg.audi.vwg/ServiceRequest/Edit/SR939049/" TargetMode="External"/><Relationship Id="rId8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tabColor rgb="FF00B050"/>
  </sheetPr>
  <dimension ref="A1:CA3293"/>
  <sheetViews>
    <sheetView tabSelected="1" zoomScale="80" zoomScaleNormal="80" workbookViewId="0">
      <pane ySplit="1" topLeftCell="A2" activePane="bottomLeft" state="frozen"/>
      <selection activeCell="C1" sqref="C1"/>
      <selection pane="bottomLeft" activeCell="B20" sqref="B20"/>
    </sheetView>
  </sheetViews>
  <sheetFormatPr defaultColWidth="9.42578125" defaultRowHeight="18" x14ac:dyDescent="0.4"/>
  <cols>
    <col min="1" max="1" width="15.5703125" style="13" customWidth="1"/>
    <col min="2" max="2" width="111.42578125" style="13" customWidth="1"/>
    <col min="3" max="3" width="28.5703125" style="13" bestFit="1" customWidth="1"/>
    <col min="4" max="4" width="13.5703125" style="13" customWidth="1"/>
    <col min="5" max="5" width="15.5703125" style="13" customWidth="1"/>
    <col min="6" max="6" width="48.85546875" style="14" customWidth="1"/>
    <col min="7" max="7" width="31" style="13" customWidth="1"/>
    <col min="8" max="8" width="25.5703125" style="13" bestFit="1" customWidth="1"/>
    <col min="9" max="9" width="12.5703125" style="12" customWidth="1"/>
    <col min="10" max="10" width="29.42578125" style="13" bestFit="1" customWidth="1"/>
    <col min="11" max="11" width="23.42578125" style="13" customWidth="1"/>
    <col min="12" max="12" width="7.5703125" style="13" customWidth="1"/>
    <col min="13" max="13" width="7.42578125" style="13" customWidth="1"/>
    <col min="14" max="14" width="6.140625" style="13" customWidth="1"/>
    <col min="15" max="15" width="7.5703125" style="13" customWidth="1"/>
    <col min="16" max="16" width="120.42578125" style="320" customWidth="1"/>
    <col min="17" max="17" width="8.140625" style="14" bestFit="1" customWidth="1"/>
    <col min="18" max="18" width="14.42578125" style="14" bestFit="1" customWidth="1"/>
    <col min="19" max="19" width="29.5703125" style="300" bestFit="1" customWidth="1"/>
    <col min="20" max="20" width="27.42578125" style="500" bestFit="1" customWidth="1"/>
    <col min="21" max="16384" width="9.42578125" style="500"/>
  </cols>
  <sheetData>
    <row r="1" spans="1:20" s="375" customFormat="1" x14ac:dyDescent="0.25">
      <c r="A1" s="515" t="s">
        <v>345</v>
      </c>
      <c r="B1" s="515" t="s">
        <v>346</v>
      </c>
      <c r="C1" s="515" t="s">
        <v>347</v>
      </c>
      <c r="D1" s="515" t="s">
        <v>348</v>
      </c>
      <c r="E1" s="515" t="s">
        <v>2</v>
      </c>
      <c r="F1" s="515" t="s">
        <v>349</v>
      </c>
      <c r="G1" s="516" t="s">
        <v>350</v>
      </c>
      <c r="H1" s="515" t="s">
        <v>351</v>
      </c>
      <c r="I1" s="515" t="s">
        <v>352</v>
      </c>
      <c r="J1" s="515" t="s">
        <v>353</v>
      </c>
      <c r="K1" s="516" t="s">
        <v>354</v>
      </c>
      <c r="L1" s="515" t="s">
        <v>355</v>
      </c>
      <c r="M1" s="515" t="s">
        <v>356</v>
      </c>
      <c r="N1" s="515" t="s">
        <v>357</v>
      </c>
      <c r="O1" s="515" t="s">
        <v>358</v>
      </c>
      <c r="P1" s="537" t="s">
        <v>4</v>
      </c>
      <c r="Q1" s="515" t="s">
        <v>335</v>
      </c>
      <c r="R1" s="515" t="s">
        <v>359</v>
      </c>
      <c r="S1" s="517" t="s">
        <v>360</v>
      </c>
      <c r="T1" s="517" t="s">
        <v>12168</v>
      </c>
    </row>
    <row r="2" spans="1:20" x14ac:dyDescent="0.4">
      <c r="A2" s="29" t="s">
        <v>565</v>
      </c>
      <c r="B2" s="29" t="s">
        <v>566</v>
      </c>
      <c r="C2" s="29"/>
      <c r="D2" s="29"/>
      <c r="E2" s="30" t="s">
        <v>567</v>
      </c>
      <c r="F2" s="31" t="s">
        <v>190</v>
      </c>
      <c r="G2" s="30">
        <v>43728</v>
      </c>
      <c r="H2" s="30" t="s">
        <v>568</v>
      </c>
      <c r="I2" s="29">
        <v>69400</v>
      </c>
      <c r="J2" s="29" t="s">
        <v>569</v>
      </c>
      <c r="K2" s="30" t="s">
        <v>570</v>
      </c>
      <c r="L2" s="29" t="s">
        <v>570</v>
      </c>
      <c r="M2" s="29" t="s">
        <v>570</v>
      </c>
      <c r="N2" s="29" t="s">
        <v>570</v>
      </c>
      <c r="O2" s="29"/>
      <c r="P2" s="385"/>
      <c r="Q2" s="179"/>
      <c r="R2" s="179"/>
      <c r="S2" s="179"/>
      <c r="T2" s="500" t="e">
        <f>_xlfn.XLOOKUP(H2,#REF!,#REF!,0,0)</f>
        <v>#REF!</v>
      </c>
    </row>
    <row r="3" spans="1:20" x14ac:dyDescent="0.4">
      <c r="A3" s="29" t="s">
        <v>571</v>
      </c>
      <c r="B3" s="44" t="s">
        <v>572</v>
      </c>
      <c r="C3" s="44"/>
      <c r="D3" s="29"/>
      <c r="E3" s="30" t="s">
        <v>567</v>
      </c>
      <c r="F3" s="31" t="s">
        <v>190</v>
      </c>
      <c r="G3" s="30">
        <v>43728</v>
      </c>
      <c r="H3" s="30" t="s">
        <v>194</v>
      </c>
      <c r="I3" s="29">
        <v>69401</v>
      </c>
      <c r="J3" s="29" t="s">
        <v>573</v>
      </c>
      <c r="K3" s="30" t="s">
        <v>570</v>
      </c>
      <c r="L3" s="29" t="s">
        <v>570</v>
      </c>
      <c r="M3" s="29"/>
      <c r="N3" s="29" t="s">
        <v>570</v>
      </c>
      <c r="O3" s="29"/>
      <c r="P3" s="385"/>
      <c r="Q3" s="179"/>
      <c r="R3" s="179"/>
      <c r="S3" s="179"/>
      <c r="T3" s="500" t="e">
        <f>_xlfn.XLOOKUP(H3,#REF!,#REF!,0,0)</f>
        <v>#REF!</v>
      </c>
    </row>
    <row r="4" spans="1:20" x14ac:dyDescent="0.4">
      <c r="A4" s="33" t="s">
        <v>574</v>
      </c>
      <c r="B4" s="221" t="s">
        <v>575</v>
      </c>
      <c r="C4" s="221"/>
      <c r="D4" s="33"/>
      <c r="E4" s="34" t="s">
        <v>567</v>
      </c>
      <c r="F4" s="35" t="s">
        <v>190</v>
      </c>
      <c r="G4" s="34">
        <v>43728</v>
      </c>
      <c r="H4" s="34" t="s">
        <v>196</v>
      </c>
      <c r="I4" s="33">
        <v>69403</v>
      </c>
      <c r="J4" s="33" t="s">
        <v>576</v>
      </c>
      <c r="K4" s="34" t="s">
        <v>570</v>
      </c>
      <c r="L4" s="33" t="s">
        <v>570</v>
      </c>
      <c r="M4" s="33" t="s">
        <v>570</v>
      </c>
      <c r="N4" s="33" t="s">
        <v>570</v>
      </c>
      <c r="O4" s="33"/>
      <c r="P4" s="386"/>
      <c r="Q4" s="179"/>
      <c r="R4" s="179"/>
      <c r="S4" s="179"/>
      <c r="T4" s="500" t="e">
        <f>_xlfn.XLOOKUP(H4,#REF!,#REF!,0,0)</f>
        <v>#REF!</v>
      </c>
    </row>
    <row r="5" spans="1:20" x14ac:dyDescent="0.4">
      <c r="A5" s="33" t="s">
        <v>577</v>
      </c>
      <c r="B5" s="33" t="s">
        <v>578</v>
      </c>
      <c r="C5" s="33"/>
      <c r="D5" s="33"/>
      <c r="E5" s="34" t="s">
        <v>567</v>
      </c>
      <c r="F5" s="35" t="s">
        <v>190</v>
      </c>
      <c r="G5" s="34">
        <v>43728</v>
      </c>
      <c r="H5" s="34" t="s">
        <v>197</v>
      </c>
      <c r="I5" s="33">
        <v>69406</v>
      </c>
      <c r="J5" s="33" t="s">
        <v>579</v>
      </c>
      <c r="K5" s="34" t="s">
        <v>570</v>
      </c>
      <c r="L5" s="33" t="s">
        <v>570</v>
      </c>
      <c r="M5" s="33"/>
      <c r="N5" s="33" t="s">
        <v>570</v>
      </c>
      <c r="O5" s="33"/>
      <c r="P5" s="386"/>
      <c r="Q5" s="179"/>
      <c r="R5" s="179"/>
      <c r="S5" s="179"/>
      <c r="T5" s="500" t="e">
        <f>_xlfn.XLOOKUP(H5,#REF!,#REF!,0,0)</f>
        <v>#REF!</v>
      </c>
    </row>
    <row r="6" spans="1:20" x14ac:dyDescent="0.4">
      <c r="A6" s="222" t="s">
        <v>580</v>
      </c>
      <c r="B6" s="222" t="s">
        <v>581</v>
      </c>
      <c r="C6" s="222"/>
      <c r="D6" s="222"/>
      <c r="E6" s="223" t="s">
        <v>567</v>
      </c>
      <c r="F6" s="222" t="s">
        <v>190</v>
      </c>
      <c r="G6" s="223">
        <v>43728</v>
      </c>
      <c r="H6" s="223" t="s">
        <v>582</v>
      </c>
      <c r="I6" s="222">
        <v>69407</v>
      </c>
      <c r="J6" s="222" t="s">
        <v>583</v>
      </c>
      <c r="K6" s="223" t="s">
        <v>570</v>
      </c>
      <c r="L6" s="222" t="s">
        <v>570</v>
      </c>
      <c r="M6" s="222"/>
      <c r="N6" s="222" t="s">
        <v>570</v>
      </c>
      <c r="O6" s="222"/>
      <c r="P6" s="387"/>
      <c r="Q6" s="179"/>
      <c r="R6" s="179"/>
      <c r="S6" s="179"/>
      <c r="T6" s="500" t="e">
        <f>_xlfn.XLOOKUP(H6,#REF!,#REF!,0,0)</f>
        <v>#REF!</v>
      </c>
    </row>
    <row r="7" spans="1:20" x14ac:dyDescent="0.4">
      <c r="A7" s="222" t="s">
        <v>584</v>
      </c>
      <c r="B7" s="222" t="s">
        <v>585</v>
      </c>
      <c r="C7" s="222"/>
      <c r="D7" s="222"/>
      <c r="E7" s="223" t="s">
        <v>567</v>
      </c>
      <c r="F7" s="222" t="s">
        <v>190</v>
      </c>
      <c r="G7" s="223">
        <v>43728</v>
      </c>
      <c r="H7" s="223" t="s">
        <v>586</v>
      </c>
      <c r="I7" s="222">
        <v>69408</v>
      </c>
      <c r="J7" s="222" t="s">
        <v>587</v>
      </c>
      <c r="K7" s="223" t="s">
        <v>570</v>
      </c>
      <c r="L7" s="222" t="s">
        <v>570</v>
      </c>
      <c r="M7" s="222"/>
      <c r="N7" s="222" t="s">
        <v>570</v>
      </c>
      <c r="O7" s="222"/>
      <c r="P7" s="387"/>
      <c r="Q7" s="179"/>
      <c r="R7" s="179"/>
      <c r="S7" s="179"/>
      <c r="T7" s="500" t="e">
        <f>_xlfn.XLOOKUP(H7,#REF!,#REF!,0,0)</f>
        <v>#REF!</v>
      </c>
    </row>
    <row r="8" spans="1:20" x14ac:dyDescent="0.4">
      <c r="A8" s="36" t="s">
        <v>588</v>
      </c>
      <c r="B8" s="36" t="s">
        <v>589</v>
      </c>
      <c r="C8" s="36"/>
      <c r="D8" s="36"/>
      <c r="E8" s="37" t="s">
        <v>567</v>
      </c>
      <c r="F8" s="38" t="s">
        <v>190</v>
      </c>
      <c r="G8" s="37">
        <v>43728</v>
      </c>
      <c r="H8" s="37" t="s">
        <v>590</v>
      </c>
      <c r="I8" s="36">
        <v>69409</v>
      </c>
      <c r="J8" s="36" t="s">
        <v>591</v>
      </c>
      <c r="K8" s="223" t="s">
        <v>570</v>
      </c>
      <c r="L8" s="36" t="s">
        <v>570</v>
      </c>
      <c r="M8" s="36"/>
      <c r="N8" s="222" t="s">
        <v>570</v>
      </c>
      <c r="O8" s="36"/>
      <c r="P8" s="388"/>
      <c r="Q8" s="179"/>
      <c r="R8" s="179"/>
      <c r="S8" s="179"/>
      <c r="T8" s="500" t="e">
        <f>_xlfn.XLOOKUP(H8,#REF!,#REF!,0,0)</f>
        <v>#REF!</v>
      </c>
    </row>
    <row r="9" spans="1:20" x14ac:dyDescent="0.4">
      <c r="A9" s="36" t="s">
        <v>592</v>
      </c>
      <c r="B9" s="39" t="s">
        <v>593</v>
      </c>
      <c r="C9" s="39"/>
      <c r="D9" s="36"/>
      <c r="E9" s="37" t="s">
        <v>567</v>
      </c>
      <c r="F9" s="38" t="s">
        <v>190</v>
      </c>
      <c r="G9" s="37">
        <v>43728</v>
      </c>
      <c r="H9" s="37" t="s">
        <v>198</v>
      </c>
      <c r="I9" s="36">
        <v>69410</v>
      </c>
      <c r="J9" s="36" t="s">
        <v>594</v>
      </c>
      <c r="K9" s="223" t="s">
        <v>570</v>
      </c>
      <c r="L9" s="36" t="s">
        <v>570</v>
      </c>
      <c r="M9" s="36" t="s">
        <v>570</v>
      </c>
      <c r="N9" s="222" t="s">
        <v>570</v>
      </c>
      <c r="O9" s="36"/>
      <c r="P9" s="388"/>
      <c r="Q9" s="179"/>
      <c r="R9" s="179"/>
      <c r="S9" s="179"/>
      <c r="T9" s="500" t="e">
        <f>_xlfn.XLOOKUP(H9,#REF!,#REF!,0,0)</f>
        <v>#REF!</v>
      </c>
    </row>
    <row r="10" spans="1:20" x14ac:dyDescent="0.4">
      <c r="A10" s="40"/>
      <c r="B10" s="41" t="s">
        <v>595</v>
      </c>
      <c r="C10" s="41"/>
      <c r="D10" s="40"/>
      <c r="E10" s="42" t="s">
        <v>567</v>
      </c>
      <c r="F10" s="43" t="s">
        <v>190</v>
      </c>
      <c r="G10" s="42">
        <v>43728</v>
      </c>
      <c r="H10" s="42" t="s">
        <v>199</v>
      </c>
      <c r="I10" s="40">
        <v>69411</v>
      </c>
      <c r="J10" s="40"/>
      <c r="K10" s="42" t="s">
        <v>596</v>
      </c>
      <c r="L10" s="40"/>
      <c r="M10" s="40"/>
      <c r="N10" s="40"/>
      <c r="O10" s="40"/>
      <c r="P10" s="389"/>
      <c r="Q10" s="179"/>
      <c r="R10" s="179"/>
      <c r="S10" s="179"/>
      <c r="T10" s="500" t="e">
        <f>_xlfn.XLOOKUP(H10,#REF!,#REF!,0,0)</f>
        <v>#REF!</v>
      </c>
    </row>
    <row r="11" spans="1:20" x14ac:dyDescent="0.4">
      <c r="A11" s="45" t="s">
        <v>597</v>
      </c>
      <c r="B11" s="32" t="s">
        <v>598</v>
      </c>
      <c r="C11" s="32"/>
      <c r="D11" s="45"/>
      <c r="E11" s="201" t="s">
        <v>567</v>
      </c>
      <c r="F11" s="45" t="s">
        <v>190</v>
      </c>
      <c r="G11" s="201">
        <v>43728</v>
      </c>
      <c r="H11" s="201" t="s">
        <v>599</v>
      </c>
      <c r="I11" s="45">
        <v>69412</v>
      </c>
      <c r="J11" s="45" t="s">
        <v>600</v>
      </c>
      <c r="K11" s="201" t="s">
        <v>570</v>
      </c>
      <c r="L11" s="45" t="s">
        <v>570</v>
      </c>
      <c r="M11" s="45"/>
      <c r="N11" s="44" t="s">
        <v>570</v>
      </c>
      <c r="O11" s="44"/>
      <c r="P11" s="390"/>
      <c r="Q11" s="179"/>
      <c r="R11" s="179"/>
      <c r="S11" s="179"/>
      <c r="T11" s="500" t="e">
        <f>_xlfn.XLOOKUP(H11,#REF!,#REF!,0,0)</f>
        <v>#REF!</v>
      </c>
    </row>
    <row r="12" spans="1:20" x14ac:dyDescent="0.4">
      <c r="A12" s="45" t="s">
        <v>601</v>
      </c>
      <c r="B12" s="44" t="s">
        <v>602</v>
      </c>
      <c r="C12" s="44"/>
      <c r="D12" s="29"/>
      <c r="E12" s="30" t="s">
        <v>567</v>
      </c>
      <c r="F12" s="31" t="s">
        <v>190</v>
      </c>
      <c r="G12" s="30">
        <v>43728</v>
      </c>
      <c r="H12" s="30" t="s">
        <v>603</v>
      </c>
      <c r="I12" s="29">
        <v>69413</v>
      </c>
      <c r="J12" s="31" t="s">
        <v>604</v>
      </c>
      <c r="K12" s="30" t="s">
        <v>570</v>
      </c>
      <c r="L12" s="29" t="s">
        <v>570</v>
      </c>
      <c r="M12" s="29" t="s">
        <v>570</v>
      </c>
      <c r="N12" s="32" t="s">
        <v>570</v>
      </c>
      <c r="O12" s="32"/>
      <c r="P12" s="391"/>
      <c r="Q12" s="179"/>
      <c r="R12" s="179"/>
      <c r="S12" s="179"/>
      <c r="T12" s="500" t="e">
        <f>_xlfn.XLOOKUP(H12,#REF!,#REF!,0,0)</f>
        <v>#REF!</v>
      </c>
    </row>
    <row r="13" spans="1:20" x14ac:dyDescent="0.4">
      <c r="A13" s="44" t="s">
        <v>605</v>
      </c>
      <c r="B13" s="44" t="s">
        <v>606</v>
      </c>
      <c r="C13" s="44"/>
      <c r="D13" s="45"/>
      <c r="E13" s="201" t="s">
        <v>567</v>
      </c>
      <c r="F13" s="45" t="s">
        <v>190</v>
      </c>
      <c r="G13" s="201">
        <v>43728</v>
      </c>
      <c r="H13" s="201" t="s">
        <v>607</v>
      </c>
      <c r="I13" s="45">
        <v>69419</v>
      </c>
      <c r="J13" s="45" t="s">
        <v>608</v>
      </c>
      <c r="K13" s="201" t="s">
        <v>570</v>
      </c>
      <c r="L13" s="45" t="s">
        <v>570</v>
      </c>
      <c r="M13" s="45"/>
      <c r="N13" s="45" t="s">
        <v>570</v>
      </c>
      <c r="O13" s="45"/>
      <c r="P13" s="392"/>
      <c r="Q13" s="179"/>
      <c r="R13" s="179"/>
      <c r="S13" s="179"/>
      <c r="T13" s="500" t="e">
        <f>_xlfn.XLOOKUP(H13,#REF!,#REF!,0,0)</f>
        <v>#REF!</v>
      </c>
    </row>
    <row r="14" spans="1:20" x14ac:dyDescent="0.4">
      <c r="A14" s="44" t="s">
        <v>609</v>
      </c>
      <c r="B14" s="44" t="s">
        <v>610</v>
      </c>
      <c r="C14" s="44"/>
      <c r="D14" s="45"/>
      <c r="E14" s="201" t="s">
        <v>567</v>
      </c>
      <c r="F14" s="45" t="s">
        <v>190</v>
      </c>
      <c r="G14" s="201">
        <v>43728</v>
      </c>
      <c r="H14" s="201" t="s">
        <v>611</v>
      </c>
      <c r="I14" s="45">
        <v>69422</v>
      </c>
      <c r="J14" s="45" t="s">
        <v>612</v>
      </c>
      <c r="K14" s="201" t="s">
        <v>364</v>
      </c>
      <c r="L14" s="45" t="s">
        <v>570</v>
      </c>
      <c r="M14" s="45" t="s">
        <v>570</v>
      </c>
      <c r="N14" s="45" t="s">
        <v>570</v>
      </c>
      <c r="O14" s="45"/>
      <c r="P14" s="392"/>
      <c r="Q14" s="179"/>
      <c r="R14" s="179"/>
      <c r="S14" s="179"/>
      <c r="T14" s="500" t="e">
        <f>_xlfn.XLOOKUP(H14,#REF!,#REF!,0,0)</f>
        <v>#REF!</v>
      </c>
    </row>
    <row r="15" spans="1:20" x14ac:dyDescent="0.4">
      <c r="A15" s="45" t="s">
        <v>613</v>
      </c>
      <c r="B15" s="44" t="s">
        <v>614</v>
      </c>
      <c r="C15" s="44"/>
      <c r="D15" s="45"/>
      <c r="E15" s="201" t="s">
        <v>567</v>
      </c>
      <c r="F15" s="45" t="s">
        <v>190</v>
      </c>
      <c r="G15" s="201">
        <v>43728</v>
      </c>
      <c r="H15" s="201" t="s">
        <v>615</v>
      </c>
      <c r="I15" s="45">
        <v>69426</v>
      </c>
      <c r="J15" s="45" t="s">
        <v>616</v>
      </c>
      <c r="K15" s="201" t="s">
        <v>570</v>
      </c>
      <c r="L15" s="45" t="s">
        <v>570</v>
      </c>
      <c r="M15" s="45"/>
      <c r="N15" s="45" t="s">
        <v>570</v>
      </c>
      <c r="O15" s="45"/>
      <c r="P15" s="392"/>
      <c r="Q15" s="179"/>
      <c r="R15" s="179"/>
      <c r="S15" s="179"/>
      <c r="T15" s="500" t="e">
        <f>_xlfn.XLOOKUP(H15,#REF!,#REF!,0,0)</f>
        <v>#REF!</v>
      </c>
    </row>
    <row r="16" spans="1:20" x14ac:dyDescent="0.4">
      <c r="A16" s="40"/>
      <c r="B16" s="41" t="s">
        <v>617</v>
      </c>
      <c r="C16" s="41"/>
      <c r="D16" s="40"/>
      <c r="E16" s="42" t="s">
        <v>567</v>
      </c>
      <c r="F16" s="43" t="s">
        <v>190</v>
      </c>
      <c r="G16" s="42">
        <v>43728</v>
      </c>
      <c r="H16" s="42" t="s">
        <v>618</v>
      </c>
      <c r="I16" s="40">
        <v>69431</v>
      </c>
      <c r="J16" s="40"/>
      <c r="K16" s="42" t="s">
        <v>596</v>
      </c>
      <c r="L16" s="40"/>
      <c r="M16" s="40"/>
      <c r="N16" s="40"/>
      <c r="O16" s="40"/>
      <c r="P16" s="389"/>
      <c r="Q16" s="179"/>
      <c r="R16" s="179"/>
      <c r="S16" s="179"/>
      <c r="T16" s="500" t="e">
        <f>_xlfn.XLOOKUP(H16,#REF!,#REF!,0,0)</f>
        <v>#REF!</v>
      </c>
    </row>
    <row r="17" spans="1:20" x14ac:dyDescent="0.4">
      <c r="A17" s="40"/>
      <c r="B17" s="224"/>
      <c r="C17" s="224"/>
      <c r="D17" s="40"/>
      <c r="E17" s="42" t="s">
        <v>567</v>
      </c>
      <c r="F17" s="43" t="s">
        <v>190</v>
      </c>
      <c r="G17" s="42">
        <v>43728</v>
      </c>
      <c r="H17" s="42" t="s">
        <v>205</v>
      </c>
      <c r="I17" s="40">
        <v>69432</v>
      </c>
      <c r="J17" s="40"/>
      <c r="K17" s="42" t="s">
        <v>596</v>
      </c>
      <c r="L17" s="40"/>
      <c r="M17" s="40"/>
      <c r="N17" s="40"/>
      <c r="O17" s="40"/>
      <c r="P17" s="389"/>
      <c r="Q17" s="179"/>
      <c r="R17" s="179"/>
      <c r="S17" s="179"/>
      <c r="T17" s="500" t="e">
        <f>_xlfn.XLOOKUP(H17,#REF!,#REF!,0,0)</f>
        <v>#REF!</v>
      </c>
    </row>
    <row r="18" spans="1:20" x14ac:dyDescent="0.4">
      <c r="A18" s="40"/>
      <c r="B18" s="41"/>
      <c r="C18" s="41"/>
      <c r="D18" s="40"/>
      <c r="E18" s="42" t="s">
        <v>567</v>
      </c>
      <c r="F18" s="43" t="s">
        <v>190</v>
      </c>
      <c r="G18" s="42">
        <v>43728</v>
      </c>
      <c r="H18" s="42" t="s">
        <v>206</v>
      </c>
      <c r="I18" s="40">
        <v>69433</v>
      </c>
      <c r="J18" s="40"/>
      <c r="K18" s="42" t="s">
        <v>596</v>
      </c>
      <c r="L18" s="40"/>
      <c r="M18" s="40"/>
      <c r="N18" s="40"/>
      <c r="O18" s="40"/>
      <c r="P18" s="389"/>
      <c r="Q18" s="179"/>
      <c r="R18" s="179"/>
      <c r="S18" s="179"/>
      <c r="T18" s="500" t="e">
        <f>_xlfn.XLOOKUP(H18,#REF!,#REF!,0,0)</f>
        <v>#REF!</v>
      </c>
    </row>
    <row r="19" spans="1:20" x14ac:dyDescent="0.4">
      <c r="A19" s="40"/>
      <c r="B19" s="41"/>
      <c r="C19" s="41"/>
      <c r="D19" s="40"/>
      <c r="E19" s="42" t="s">
        <v>567</v>
      </c>
      <c r="F19" s="43" t="s">
        <v>190</v>
      </c>
      <c r="G19" s="42">
        <v>43728</v>
      </c>
      <c r="H19" s="42" t="s">
        <v>207</v>
      </c>
      <c r="I19" s="40">
        <v>69434</v>
      </c>
      <c r="J19" s="40"/>
      <c r="K19" s="42" t="s">
        <v>596</v>
      </c>
      <c r="L19" s="40"/>
      <c r="M19" s="40"/>
      <c r="N19" s="40"/>
      <c r="O19" s="40"/>
      <c r="P19" s="389"/>
      <c r="Q19" s="179"/>
      <c r="R19" s="179"/>
      <c r="S19" s="179"/>
      <c r="T19" s="500" t="e">
        <f>_xlfn.XLOOKUP(H19,#REF!,#REF!,0,0)</f>
        <v>#REF!</v>
      </c>
    </row>
    <row r="20" spans="1:20" x14ac:dyDescent="0.4">
      <c r="A20" s="46"/>
      <c r="B20" s="26"/>
      <c r="C20" s="26"/>
      <c r="D20" s="46"/>
      <c r="E20" s="47" t="s">
        <v>567</v>
      </c>
      <c r="F20" s="48" t="s">
        <v>190</v>
      </c>
      <c r="G20" s="47">
        <v>43728</v>
      </c>
      <c r="H20" s="47" t="s">
        <v>619</v>
      </c>
      <c r="I20" s="46">
        <v>69435</v>
      </c>
      <c r="J20" s="46"/>
      <c r="K20" s="47"/>
      <c r="L20" s="46"/>
      <c r="M20" s="46"/>
      <c r="N20" s="46"/>
      <c r="O20" s="46"/>
      <c r="P20" s="393"/>
      <c r="Q20" s="179"/>
      <c r="R20" s="179"/>
      <c r="S20" s="179"/>
      <c r="T20" s="500" t="e">
        <f>_xlfn.XLOOKUP(H20,#REF!,#REF!,0,0)</f>
        <v>#REF!</v>
      </c>
    </row>
    <row r="21" spans="1:20" x14ac:dyDescent="0.4">
      <c r="A21" s="46"/>
      <c r="B21" s="49"/>
      <c r="C21" s="49"/>
      <c r="D21" s="46"/>
      <c r="E21" s="47" t="s">
        <v>567</v>
      </c>
      <c r="F21" s="48" t="s">
        <v>190</v>
      </c>
      <c r="G21" s="47">
        <v>43728</v>
      </c>
      <c r="H21" s="47" t="s">
        <v>208</v>
      </c>
      <c r="I21" s="46">
        <v>69436</v>
      </c>
      <c r="J21" s="46"/>
      <c r="K21" s="47"/>
      <c r="L21" s="46"/>
      <c r="M21" s="46"/>
      <c r="N21" s="46"/>
      <c r="O21" s="46"/>
      <c r="P21" s="393"/>
      <c r="Q21" s="179"/>
      <c r="R21" s="179"/>
      <c r="S21" s="179"/>
      <c r="T21" s="500" t="e">
        <f>_xlfn.XLOOKUP(H21,#REF!,#REF!,0,0)</f>
        <v>#REF!</v>
      </c>
    </row>
    <row r="22" spans="1:20" x14ac:dyDescent="0.4">
      <c r="A22" s="50"/>
      <c r="B22" s="51" t="s">
        <v>620</v>
      </c>
      <c r="C22" s="51"/>
      <c r="D22" s="50"/>
      <c r="E22" s="52" t="s">
        <v>567</v>
      </c>
      <c r="F22" s="53" t="s">
        <v>190</v>
      </c>
      <c r="G22" s="52">
        <v>43728</v>
      </c>
      <c r="H22" s="52" t="s">
        <v>209</v>
      </c>
      <c r="I22" s="50">
        <v>69437</v>
      </c>
      <c r="J22" s="50"/>
      <c r="K22" s="52"/>
      <c r="L22" s="50" t="s">
        <v>570</v>
      </c>
      <c r="M22" s="50"/>
      <c r="N22" s="50"/>
      <c r="O22" s="50"/>
      <c r="P22" s="394"/>
      <c r="Q22" s="179"/>
      <c r="R22" s="179"/>
      <c r="S22" s="179"/>
      <c r="T22" s="500" t="e">
        <f>_xlfn.XLOOKUP(H22,#REF!,#REF!,0,0)</f>
        <v>#REF!</v>
      </c>
    </row>
    <row r="23" spans="1:20" x14ac:dyDescent="0.4">
      <c r="A23" s="50"/>
      <c r="B23" s="51" t="s">
        <v>621</v>
      </c>
      <c r="C23" s="51"/>
      <c r="D23" s="50"/>
      <c r="E23" s="52" t="s">
        <v>567</v>
      </c>
      <c r="F23" s="53" t="s">
        <v>190</v>
      </c>
      <c r="G23" s="52">
        <v>43728</v>
      </c>
      <c r="H23" s="52" t="s">
        <v>210</v>
      </c>
      <c r="I23" s="50">
        <v>69438</v>
      </c>
      <c r="J23" s="50"/>
      <c r="K23" s="52"/>
      <c r="L23" s="50"/>
      <c r="M23" s="50"/>
      <c r="N23" s="50"/>
      <c r="O23" s="50"/>
      <c r="P23" s="394"/>
      <c r="Q23" s="179"/>
      <c r="R23" s="179"/>
      <c r="S23" s="179"/>
      <c r="T23" s="500" t="e">
        <f>_xlfn.XLOOKUP(H23,#REF!,#REF!,0,0)</f>
        <v>#REF!</v>
      </c>
    </row>
    <row r="24" spans="1:20" x14ac:dyDescent="0.4">
      <c r="A24" s="50"/>
      <c r="B24" s="51" t="s">
        <v>622</v>
      </c>
      <c r="C24" s="51"/>
      <c r="D24" s="50"/>
      <c r="E24" s="52" t="s">
        <v>567</v>
      </c>
      <c r="F24" s="53" t="s">
        <v>190</v>
      </c>
      <c r="G24" s="52">
        <v>43728</v>
      </c>
      <c r="H24" s="52" t="s">
        <v>623</v>
      </c>
      <c r="I24" s="50">
        <v>69439</v>
      </c>
      <c r="J24" s="50"/>
      <c r="K24" s="52"/>
      <c r="L24" s="50"/>
      <c r="M24" s="50"/>
      <c r="N24" s="50"/>
      <c r="O24" s="50"/>
      <c r="P24" s="394"/>
      <c r="Q24" s="179"/>
      <c r="R24" s="179"/>
      <c r="S24" s="179"/>
      <c r="T24" s="500" t="e">
        <f>_xlfn.XLOOKUP(H24,#REF!,#REF!,0,0)</f>
        <v>#REF!</v>
      </c>
    </row>
    <row r="25" spans="1:20" x14ac:dyDescent="0.4">
      <c r="A25" s="46"/>
      <c r="B25" s="49" t="s">
        <v>624</v>
      </c>
      <c r="C25" s="49"/>
      <c r="D25" s="46"/>
      <c r="E25" s="47" t="s">
        <v>567</v>
      </c>
      <c r="F25" s="48" t="s">
        <v>190</v>
      </c>
      <c r="G25" s="47">
        <v>43728</v>
      </c>
      <c r="H25" s="47" t="s">
        <v>625</v>
      </c>
      <c r="I25" s="46">
        <v>69440</v>
      </c>
      <c r="J25" s="46"/>
      <c r="K25" s="47"/>
      <c r="L25" s="46"/>
      <c r="M25" s="46"/>
      <c r="N25" s="46"/>
      <c r="O25" s="46"/>
      <c r="P25" s="393"/>
      <c r="Q25" s="179"/>
      <c r="R25" s="179"/>
      <c r="S25" s="179"/>
      <c r="T25" s="500" t="e">
        <f>_xlfn.XLOOKUP(H25,#REF!,#REF!,0,0)</f>
        <v>#REF!</v>
      </c>
    </row>
    <row r="26" spans="1:20" x14ac:dyDescent="0.4">
      <c r="A26" s="54"/>
      <c r="B26" s="49" t="s">
        <v>624</v>
      </c>
      <c r="C26" s="49"/>
      <c r="D26" s="46"/>
      <c r="E26" s="47" t="s">
        <v>567</v>
      </c>
      <c r="F26" s="48" t="s">
        <v>190</v>
      </c>
      <c r="G26" s="47">
        <v>43728</v>
      </c>
      <c r="H26" s="47" t="s">
        <v>211</v>
      </c>
      <c r="I26" s="46">
        <v>69441</v>
      </c>
      <c r="J26" s="46"/>
      <c r="K26" s="47"/>
      <c r="L26" s="46"/>
      <c r="M26" s="46"/>
      <c r="N26" s="49"/>
      <c r="O26" s="49"/>
      <c r="P26" s="395"/>
      <c r="Q26" s="179"/>
      <c r="R26" s="179"/>
      <c r="S26" s="179"/>
      <c r="T26" s="500" t="e">
        <f>_xlfn.XLOOKUP(H26,#REF!,#REF!,0,0)</f>
        <v>#REF!</v>
      </c>
    </row>
    <row r="27" spans="1:20" x14ac:dyDescent="0.4">
      <c r="A27" s="54"/>
      <c r="B27" s="49" t="s">
        <v>624</v>
      </c>
      <c r="C27" s="49"/>
      <c r="D27" s="46"/>
      <c r="E27" s="47" t="s">
        <v>567</v>
      </c>
      <c r="F27" s="48" t="s">
        <v>190</v>
      </c>
      <c r="G27" s="47">
        <v>43728</v>
      </c>
      <c r="H27" s="47" t="s">
        <v>212</v>
      </c>
      <c r="I27" s="46">
        <v>69442</v>
      </c>
      <c r="J27" s="46"/>
      <c r="K27" s="47"/>
      <c r="L27" s="46"/>
      <c r="M27" s="46"/>
      <c r="N27" s="49"/>
      <c r="O27" s="49"/>
      <c r="P27" s="395"/>
      <c r="Q27" s="179"/>
      <c r="R27" s="179"/>
      <c r="S27" s="179"/>
      <c r="T27" s="500" t="e">
        <f>_xlfn.XLOOKUP(H27,#REF!,#REF!,0,0)</f>
        <v>#REF!</v>
      </c>
    </row>
    <row r="28" spans="1:20" x14ac:dyDescent="0.4">
      <c r="A28" s="54"/>
      <c r="B28" s="49" t="s">
        <v>624</v>
      </c>
      <c r="C28" s="49"/>
      <c r="D28" s="46"/>
      <c r="E28" s="47" t="s">
        <v>567</v>
      </c>
      <c r="F28" s="48" t="s">
        <v>190</v>
      </c>
      <c r="G28" s="47">
        <v>43728</v>
      </c>
      <c r="H28" s="47" t="s">
        <v>213</v>
      </c>
      <c r="I28" s="46">
        <v>69443</v>
      </c>
      <c r="J28" s="46"/>
      <c r="K28" s="47"/>
      <c r="L28" s="46"/>
      <c r="M28" s="46"/>
      <c r="N28" s="49"/>
      <c r="O28" s="49"/>
      <c r="P28" s="395"/>
      <c r="Q28" s="179"/>
      <c r="R28" s="179"/>
      <c r="S28" s="179"/>
      <c r="T28" s="500" t="e">
        <f>_xlfn.XLOOKUP(H28,#REF!,#REF!,0,0)</f>
        <v>#REF!</v>
      </c>
    </row>
    <row r="29" spans="1:20" x14ac:dyDescent="0.4">
      <c r="A29" s="54"/>
      <c r="B29" s="49" t="s">
        <v>624</v>
      </c>
      <c r="C29" s="49"/>
      <c r="D29" s="46"/>
      <c r="E29" s="47" t="s">
        <v>567</v>
      </c>
      <c r="F29" s="48" t="s">
        <v>190</v>
      </c>
      <c r="G29" s="47">
        <v>43728</v>
      </c>
      <c r="H29" s="47" t="s">
        <v>626</v>
      </c>
      <c r="I29" s="46">
        <v>69444</v>
      </c>
      <c r="J29" s="46"/>
      <c r="K29" s="47"/>
      <c r="L29" s="46"/>
      <c r="M29" s="46"/>
      <c r="N29" s="49"/>
      <c r="O29" s="49"/>
      <c r="P29" s="395"/>
      <c r="Q29" s="179"/>
      <c r="R29" s="179"/>
      <c r="S29" s="179"/>
      <c r="T29" s="500" t="e">
        <f>_xlfn.XLOOKUP(H29,#REF!,#REF!,0,0)</f>
        <v>#REF!</v>
      </c>
    </row>
    <row r="30" spans="1:20" x14ac:dyDescent="0.4">
      <c r="A30" s="29" t="s">
        <v>627</v>
      </c>
      <c r="B30" s="29" t="s">
        <v>628</v>
      </c>
      <c r="C30" s="29"/>
      <c r="D30" s="29" t="s">
        <v>629</v>
      </c>
      <c r="E30" s="30" t="s">
        <v>567</v>
      </c>
      <c r="F30" s="31" t="s">
        <v>167</v>
      </c>
      <c r="G30" s="30">
        <v>43563</v>
      </c>
      <c r="H30" s="30" t="s">
        <v>630</v>
      </c>
      <c r="I30" s="29">
        <v>69198</v>
      </c>
      <c r="J30" s="29" t="s">
        <v>631</v>
      </c>
      <c r="K30" s="30" t="s">
        <v>570</v>
      </c>
      <c r="L30" s="29" t="s">
        <v>570</v>
      </c>
      <c r="M30" s="29"/>
      <c r="N30" s="29"/>
      <c r="O30" s="29" t="s">
        <v>570</v>
      </c>
      <c r="P30" s="385"/>
      <c r="Q30" s="179"/>
      <c r="R30" s="179"/>
      <c r="S30" s="179"/>
      <c r="T30" s="500" t="e">
        <f>_xlfn.XLOOKUP(H30,#REF!,#REF!,0,0)</f>
        <v>#REF!</v>
      </c>
    </row>
    <row r="31" spans="1:20" x14ac:dyDescent="0.4">
      <c r="A31" s="55" t="s">
        <v>632</v>
      </c>
      <c r="B31" s="56" t="s">
        <v>633</v>
      </c>
      <c r="C31" s="56"/>
      <c r="D31" s="56"/>
      <c r="E31" s="269" t="s">
        <v>567</v>
      </c>
      <c r="F31" s="56" t="s">
        <v>167</v>
      </c>
      <c r="G31" s="57">
        <v>43633</v>
      </c>
      <c r="H31" s="57" t="s">
        <v>634</v>
      </c>
      <c r="I31" s="56">
        <v>69317</v>
      </c>
      <c r="J31" s="56" t="s">
        <v>635</v>
      </c>
      <c r="K31" s="57" t="s">
        <v>570</v>
      </c>
      <c r="L31" s="56"/>
      <c r="M31" s="56"/>
      <c r="N31" s="56" t="s">
        <v>570</v>
      </c>
      <c r="O31" s="56"/>
      <c r="P31" s="396"/>
      <c r="Q31" s="179"/>
      <c r="R31" s="179"/>
      <c r="S31" s="179"/>
      <c r="T31" s="500" t="e">
        <f>_xlfn.XLOOKUP(H31,#REF!,#REF!,0,0)</f>
        <v>#REF!</v>
      </c>
    </row>
    <row r="32" spans="1:20" x14ac:dyDescent="0.4">
      <c r="A32" s="75" t="s">
        <v>636</v>
      </c>
      <c r="B32" s="222"/>
      <c r="C32" s="222"/>
      <c r="D32" s="222"/>
      <c r="E32" s="78" t="s">
        <v>567</v>
      </c>
      <c r="F32" s="222" t="s">
        <v>167</v>
      </c>
      <c r="G32" s="223">
        <v>43727</v>
      </c>
      <c r="H32" s="223" t="s">
        <v>637</v>
      </c>
      <c r="I32" s="222">
        <v>69447</v>
      </c>
      <c r="J32" s="222" t="s">
        <v>638</v>
      </c>
      <c r="K32" s="223" t="s">
        <v>570</v>
      </c>
      <c r="L32" s="222"/>
      <c r="M32" s="222"/>
      <c r="N32" s="222" t="s">
        <v>570</v>
      </c>
      <c r="O32" s="222"/>
      <c r="P32" s="387"/>
      <c r="Q32" s="179"/>
      <c r="R32" s="179"/>
      <c r="S32" s="179"/>
      <c r="T32" s="500" t="e">
        <f>_xlfn.XLOOKUP(H32,#REF!,#REF!,0,0)</f>
        <v>#REF!</v>
      </c>
    </row>
    <row r="33" spans="1:20" x14ac:dyDescent="0.4">
      <c r="A33" s="58" t="s">
        <v>639</v>
      </c>
      <c r="B33" s="58" t="s">
        <v>640</v>
      </c>
      <c r="C33" s="58"/>
      <c r="D33" s="58"/>
      <c r="E33" s="270" t="s">
        <v>567</v>
      </c>
      <c r="F33" s="207" t="s">
        <v>167</v>
      </c>
      <c r="G33" s="59">
        <v>43727</v>
      </c>
      <c r="H33" s="59" t="s">
        <v>214</v>
      </c>
      <c r="I33" s="58">
        <v>69456</v>
      </c>
      <c r="J33" s="58" t="s">
        <v>641</v>
      </c>
      <c r="K33" s="59" t="s">
        <v>570</v>
      </c>
      <c r="L33" s="58" t="s">
        <v>570</v>
      </c>
      <c r="M33" s="58"/>
      <c r="N33" s="58" t="s">
        <v>570</v>
      </c>
      <c r="O33" s="58"/>
      <c r="P33" s="397"/>
      <c r="Q33" s="179"/>
      <c r="R33" s="179"/>
      <c r="S33" s="179"/>
      <c r="T33" s="500" t="e">
        <f>_xlfn.XLOOKUP(H33,#REF!,#REF!,0,0)</f>
        <v>#REF!</v>
      </c>
    </row>
    <row r="34" spans="1:20" x14ac:dyDescent="0.4">
      <c r="A34" s="60" t="s">
        <v>642</v>
      </c>
      <c r="B34" s="61" t="s">
        <v>643</v>
      </c>
      <c r="C34" s="61"/>
      <c r="D34" s="62"/>
      <c r="E34" s="271" t="s">
        <v>567</v>
      </c>
      <c r="F34" s="208" t="s">
        <v>167</v>
      </c>
      <c r="G34" s="63">
        <v>43727</v>
      </c>
      <c r="H34" s="63" t="s">
        <v>644</v>
      </c>
      <c r="I34" s="61">
        <v>69462</v>
      </c>
      <c r="J34" s="62" t="s">
        <v>645</v>
      </c>
      <c r="K34" s="202" t="s">
        <v>570</v>
      </c>
      <c r="L34" s="62"/>
      <c r="M34" s="62"/>
      <c r="N34" s="64" t="s">
        <v>570</v>
      </c>
      <c r="O34" s="62"/>
      <c r="P34" s="398"/>
      <c r="Q34" s="179"/>
      <c r="R34" s="179"/>
      <c r="S34" s="179"/>
      <c r="T34" s="500" t="e">
        <f>_xlfn.XLOOKUP(H34,#REF!,#REF!,0,0)</f>
        <v>#REF!</v>
      </c>
    </row>
    <row r="35" spans="1:20" x14ac:dyDescent="0.4">
      <c r="A35" s="58" t="s">
        <v>646</v>
      </c>
      <c r="B35" s="29"/>
      <c r="C35" s="29"/>
      <c r="D35" s="65"/>
      <c r="E35" s="272" t="s">
        <v>567</v>
      </c>
      <c r="F35" s="209" t="s">
        <v>167</v>
      </c>
      <c r="G35" s="30">
        <v>43727</v>
      </c>
      <c r="H35" s="30" t="s">
        <v>215</v>
      </c>
      <c r="I35" s="29">
        <v>69463</v>
      </c>
      <c r="J35" s="65" t="s">
        <v>647</v>
      </c>
      <c r="K35" s="203" t="s">
        <v>570</v>
      </c>
      <c r="L35" s="65"/>
      <c r="M35" s="65"/>
      <c r="N35" s="65" t="s">
        <v>570</v>
      </c>
      <c r="O35" s="65"/>
      <c r="P35" s="399"/>
      <c r="Q35" s="179"/>
      <c r="R35" s="179"/>
      <c r="S35" s="179"/>
      <c r="T35" s="500" t="e">
        <f>_xlfn.XLOOKUP(H35,#REF!,#REF!,0,0)</f>
        <v>#REF!</v>
      </c>
    </row>
    <row r="36" spans="1:20" x14ac:dyDescent="0.4">
      <c r="A36" s="58" t="s">
        <v>648</v>
      </c>
      <c r="B36" s="29"/>
      <c r="C36" s="29"/>
      <c r="D36" s="65"/>
      <c r="E36" s="272" t="s">
        <v>567</v>
      </c>
      <c r="F36" s="209" t="s">
        <v>167</v>
      </c>
      <c r="G36" s="30">
        <v>43727</v>
      </c>
      <c r="H36" s="30" t="s">
        <v>216</v>
      </c>
      <c r="I36" s="29">
        <v>69464</v>
      </c>
      <c r="J36" s="65" t="s">
        <v>649</v>
      </c>
      <c r="K36" s="203" t="s">
        <v>570</v>
      </c>
      <c r="L36" s="65"/>
      <c r="M36" s="65"/>
      <c r="N36" s="65" t="s">
        <v>570</v>
      </c>
      <c r="O36" s="65"/>
      <c r="P36" s="399"/>
      <c r="Q36" s="179"/>
      <c r="R36" s="179"/>
      <c r="S36" s="179"/>
      <c r="T36" s="500" t="e">
        <f>_xlfn.XLOOKUP(H36,#REF!,#REF!,0,0)</f>
        <v>#REF!</v>
      </c>
    </row>
    <row r="37" spans="1:20" x14ac:dyDescent="0.4">
      <c r="A37" s="222" t="s">
        <v>650</v>
      </c>
      <c r="B37" s="222"/>
      <c r="C37" s="222"/>
      <c r="D37" s="222"/>
      <c r="E37" s="78" t="s">
        <v>567</v>
      </c>
      <c r="F37" s="222" t="s">
        <v>167</v>
      </c>
      <c r="G37" s="223">
        <v>43727</v>
      </c>
      <c r="H37" s="223" t="s">
        <v>651</v>
      </c>
      <c r="I37" s="222">
        <v>69465</v>
      </c>
      <c r="J37" s="222" t="s">
        <v>652</v>
      </c>
      <c r="K37" s="223" t="s">
        <v>570</v>
      </c>
      <c r="L37" s="222"/>
      <c r="M37" s="222"/>
      <c r="N37" s="222" t="s">
        <v>570</v>
      </c>
      <c r="O37" s="222"/>
      <c r="P37" s="387"/>
      <c r="Q37" s="179"/>
      <c r="R37" s="179"/>
      <c r="S37" s="179"/>
      <c r="T37" s="500" t="e">
        <f>_xlfn.XLOOKUP(H37,#REF!,#REF!,0,0)</f>
        <v>#REF!</v>
      </c>
    </row>
    <row r="38" spans="1:20" x14ac:dyDescent="0.4">
      <c r="A38" s="222" t="s">
        <v>653</v>
      </c>
      <c r="B38" s="222" t="s">
        <v>654</v>
      </c>
      <c r="C38" s="222"/>
      <c r="D38" s="222"/>
      <c r="E38" s="78" t="s">
        <v>567</v>
      </c>
      <c r="F38" s="222" t="s">
        <v>167</v>
      </c>
      <c r="G38" s="223">
        <v>43727</v>
      </c>
      <c r="H38" s="223" t="s">
        <v>655</v>
      </c>
      <c r="I38" s="222">
        <v>69466</v>
      </c>
      <c r="J38" s="222" t="s">
        <v>656</v>
      </c>
      <c r="K38" s="223" t="s">
        <v>570</v>
      </c>
      <c r="L38" s="222"/>
      <c r="M38" s="222"/>
      <c r="N38" s="222" t="s">
        <v>570</v>
      </c>
      <c r="O38" s="222"/>
      <c r="P38" s="387"/>
      <c r="Q38" s="179"/>
      <c r="R38" s="179"/>
      <c r="S38" s="179"/>
      <c r="T38" s="500" t="e">
        <f>_xlfn.XLOOKUP(H38,#REF!,#REF!,0,0)</f>
        <v>#REF!</v>
      </c>
    </row>
    <row r="39" spans="1:20" x14ac:dyDescent="0.4">
      <c r="A39" s="36" t="s">
        <v>657</v>
      </c>
      <c r="B39" s="36"/>
      <c r="C39" s="36"/>
      <c r="D39" s="36"/>
      <c r="E39" s="37" t="s">
        <v>567</v>
      </c>
      <c r="F39" s="38" t="s">
        <v>167</v>
      </c>
      <c r="G39" s="37">
        <v>43727</v>
      </c>
      <c r="H39" s="37" t="s">
        <v>658</v>
      </c>
      <c r="I39" s="36">
        <v>69467</v>
      </c>
      <c r="J39" s="36" t="s">
        <v>659</v>
      </c>
      <c r="K39" s="223" t="s">
        <v>570</v>
      </c>
      <c r="L39" s="36"/>
      <c r="M39" s="36"/>
      <c r="N39" s="222" t="s">
        <v>570</v>
      </c>
      <c r="O39" s="36"/>
      <c r="P39" s="388"/>
      <c r="Q39" s="179"/>
      <c r="R39" s="179"/>
      <c r="S39" s="179"/>
      <c r="T39" s="500" t="e">
        <f>_xlfn.XLOOKUP(H39,#REF!,#REF!,0,0)</f>
        <v>#REF!</v>
      </c>
    </row>
    <row r="40" spans="1:20" x14ac:dyDescent="0.4">
      <c r="A40" s="36" t="s">
        <v>660</v>
      </c>
      <c r="B40" s="36" t="s">
        <v>624</v>
      </c>
      <c r="C40" s="36"/>
      <c r="D40" s="36"/>
      <c r="E40" s="273" t="s">
        <v>567</v>
      </c>
      <c r="F40" s="210" t="s">
        <v>167</v>
      </c>
      <c r="G40" s="37">
        <v>43727</v>
      </c>
      <c r="H40" s="37" t="s">
        <v>217</v>
      </c>
      <c r="I40" s="36">
        <v>69468</v>
      </c>
      <c r="J40" s="36" t="s">
        <v>661</v>
      </c>
      <c r="K40" s="223" t="s">
        <v>570</v>
      </c>
      <c r="L40" s="36"/>
      <c r="M40" s="36"/>
      <c r="N40" s="222" t="s">
        <v>570</v>
      </c>
      <c r="O40" s="36"/>
      <c r="P40" s="388"/>
      <c r="Q40" s="179"/>
      <c r="R40" s="179"/>
      <c r="S40" s="179"/>
      <c r="T40" s="500" t="e">
        <f>_xlfn.XLOOKUP(H40,#REF!,#REF!,0,0)</f>
        <v>#REF!</v>
      </c>
    </row>
    <row r="41" spans="1:20" x14ac:dyDescent="0.4">
      <c r="A41" s="29"/>
      <c r="B41" s="29" t="s">
        <v>624</v>
      </c>
      <c r="C41" s="29"/>
      <c r="D41" s="65"/>
      <c r="E41" s="272" t="s">
        <v>567</v>
      </c>
      <c r="F41" s="209" t="s">
        <v>167</v>
      </c>
      <c r="G41" s="30">
        <v>43727</v>
      </c>
      <c r="H41" s="30" t="s">
        <v>662</v>
      </c>
      <c r="I41" s="29">
        <v>69469</v>
      </c>
      <c r="J41" s="65" t="s">
        <v>663</v>
      </c>
      <c r="K41" s="223" t="s">
        <v>570</v>
      </c>
      <c r="L41" s="65"/>
      <c r="M41" s="65"/>
      <c r="N41" s="65"/>
      <c r="O41" s="65"/>
      <c r="P41" s="399"/>
      <c r="Q41" s="179"/>
      <c r="R41" s="179"/>
      <c r="S41" s="179"/>
      <c r="T41" s="500" t="e">
        <f>_xlfn.XLOOKUP(H41,#REF!,#REF!,0,0)</f>
        <v>#REF!</v>
      </c>
    </row>
    <row r="42" spans="1:20" x14ac:dyDescent="0.4">
      <c r="A42" s="29"/>
      <c r="B42" s="29" t="s">
        <v>624</v>
      </c>
      <c r="C42" s="29"/>
      <c r="D42" s="65"/>
      <c r="E42" s="272" t="s">
        <v>567</v>
      </c>
      <c r="F42" s="209" t="s">
        <v>167</v>
      </c>
      <c r="G42" s="30">
        <v>43727</v>
      </c>
      <c r="H42" s="30" t="s">
        <v>664</v>
      </c>
      <c r="I42" s="29">
        <v>69470</v>
      </c>
      <c r="J42" s="65" t="s">
        <v>665</v>
      </c>
      <c r="K42" s="223" t="s">
        <v>570</v>
      </c>
      <c r="L42" s="65"/>
      <c r="M42" s="65"/>
      <c r="N42" s="65"/>
      <c r="O42" s="65"/>
      <c r="P42" s="399"/>
      <c r="Q42" s="179"/>
      <c r="R42" s="179"/>
      <c r="S42" s="179"/>
      <c r="T42" s="500" t="e">
        <f>_xlfn.XLOOKUP(H42,#REF!,#REF!,0,0)</f>
        <v>#REF!</v>
      </c>
    </row>
    <row r="43" spans="1:20" x14ac:dyDescent="0.4">
      <c r="A43" s="29"/>
      <c r="B43" s="29" t="s">
        <v>624</v>
      </c>
      <c r="C43" s="29"/>
      <c r="D43" s="65"/>
      <c r="E43" s="272" t="s">
        <v>567</v>
      </c>
      <c r="F43" s="209" t="s">
        <v>167</v>
      </c>
      <c r="G43" s="30">
        <v>43727</v>
      </c>
      <c r="H43" s="30" t="s">
        <v>666</v>
      </c>
      <c r="I43" s="29">
        <v>69471</v>
      </c>
      <c r="J43" s="65" t="s">
        <v>667</v>
      </c>
      <c r="K43" s="223" t="s">
        <v>570</v>
      </c>
      <c r="L43" s="65"/>
      <c r="M43" s="65"/>
      <c r="N43" s="65"/>
      <c r="O43" s="65"/>
      <c r="P43" s="399"/>
      <c r="Q43" s="179"/>
      <c r="R43" s="179"/>
      <c r="S43" s="179"/>
      <c r="T43" s="500" t="e">
        <f>_xlfn.XLOOKUP(H43,#REF!,#REF!,0,0)</f>
        <v>#REF!</v>
      </c>
    </row>
    <row r="44" spans="1:20" x14ac:dyDescent="0.4">
      <c r="A44" s="29"/>
      <c r="B44" s="29" t="s">
        <v>624</v>
      </c>
      <c r="C44" s="29"/>
      <c r="D44" s="65"/>
      <c r="E44" s="272" t="s">
        <v>567</v>
      </c>
      <c r="F44" s="209" t="s">
        <v>167</v>
      </c>
      <c r="G44" s="30">
        <v>43727</v>
      </c>
      <c r="H44" s="30" t="s">
        <v>326</v>
      </c>
      <c r="I44" s="29">
        <v>69472</v>
      </c>
      <c r="J44" s="65" t="s">
        <v>668</v>
      </c>
      <c r="K44" s="223" t="s">
        <v>570</v>
      </c>
      <c r="L44" s="65"/>
      <c r="M44" s="65"/>
      <c r="N44" s="65"/>
      <c r="O44" s="65"/>
      <c r="P44" s="399"/>
      <c r="Q44" s="179"/>
      <c r="R44" s="179"/>
      <c r="S44" s="179"/>
      <c r="T44" s="500" t="e">
        <f>_xlfn.XLOOKUP(H44,#REF!,#REF!,0,0)</f>
        <v>#REF!</v>
      </c>
    </row>
    <row r="45" spans="1:20" x14ac:dyDescent="0.4">
      <c r="A45" s="67"/>
      <c r="B45" s="66" t="s">
        <v>669</v>
      </c>
      <c r="C45" s="66"/>
      <c r="D45" s="67"/>
      <c r="E45" s="225" t="s">
        <v>10</v>
      </c>
      <c r="F45" s="67" t="s">
        <v>670</v>
      </c>
      <c r="G45" s="225">
        <v>43271</v>
      </c>
      <c r="H45" s="225" t="s">
        <v>671</v>
      </c>
      <c r="I45" s="67">
        <v>68484</v>
      </c>
      <c r="J45" s="67" t="s">
        <v>672</v>
      </c>
      <c r="K45" s="225"/>
      <c r="L45" s="67"/>
      <c r="M45" s="67"/>
      <c r="N45" s="67"/>
      <c r="O45" s="67"/>
      <c r="P45" s="400" t="s">
        <v>673</v>
      </c>
      <c r="Q45" s="179"/>
      <c r="R45" s="179"/>
      <c r="S45" s="179"/>
      <c r="T45" s="500" t="e">
        <f>_xlfn.XLOOKUP(H45,#REF!,#REF!,0,0)</f>
        <v>#REF!</v>
      </c>
    </row>
    <row r="46" spans="1:20" x14ac:dyDescent="0.4">
      <c r="A46" s="67"/>
      <c r="B46" s="66" t="s">
        <v>674</v>
      </c>
      <c r="C46" s="66"/>
      <c r="D46" s="67"/>
      <c r="E46" s="225" t="s">
        <v>10</v>
      </c>
      <c r="F46" s="67" t="s">
        <v>670</v>
      </c>
      <c r="G46" s="225"/>
      <c r="H46" s="225" t="s">
        <v>675</v>
      </c>
      <c r="I46" s="266">
        <v>68456</v>
      </c>
      <c r="J46" s="67"/>
      <c r="K46" s="225"/>
      <c r="L46" s="67"/>
      <c r="M46" s="67"/>
      <c r="N46" s="67"/>
      <c r="O46" s="67"/>
      <c r="P46" s="400" t="s">
        <v>676</v>
      </c>
      <c r="Q46" s="179"/>
      <c r="R46" s="179"/>
      <c r="S46" s="179"/>
      <c r="T46" s="500" t="e">
        <f>_xlfn.XLOOKUP(H46,#REF!,#REF!,0,0)</f>
        <v>#REF!</v>
      </c>
    </row>
    <row r="47" spans="1:20" x14ac:dyDescent="0.4">
      <c r="A47" s="67"/>
      <c r="B47" s="67" t="s">
        <v>677</v>
      </c>
      <c r="C47" s="67"/>
      <c r="D47" s="67"/>
      <c r="E47" s="225" t="s">
        <v>10</v>
      </c>
      <c r="F47" s="67" t="s">
        <v>670</v>
      </c>
      <c r="G47" s="225"/>
      <c r="H47" s="225" t="s">
        <v>678</v>
      </c>
      <c r="I47" s="266">
        <v>68452</v>
      </c>
      <c r="J47" s="67"/>
      <c r="K47" s="225"/>
      <c r="L47" s="67"/>
      <c r="M47" s="67"/>
      <c r="N47" s="67"/>
      <c r="O47" s="67"/>
      <c r="P47" s="400" t="s">
        <v>673</v>
      </c>
      <c r="Q47" s="179"/>
      <c r="R47" s="179"/>
      <c r="S47" s="179"/>
      <c r="T47" s="500" t="e">
        <f>_xlfn.XLOOKUP(H47,#REF!,#REF!,0,0)</f>
        <v>#REF!</v>
      </c>
    </row>
    <row r="48" spans="1:20" x14ac:dyDescent="0.4">
      <c r="A48" s="26"/>
      <c r="B48" s="67" t="s">
        <v>679</v>
      </c>
      <c r="C48" s="67"/>
      <c r="D48" s="26"/>
      <c r="E48" s="27"/>
      <c r="F48" s="179"/>
      <c r="G48" s="27"/>
      <c r="H48" s="27"/>
      <c r="I48" s="26"/>
      <c r="J48" s="26"/>
      <c r="K48" s="27"/>
      <c r="L48" s="26"/>
      <c r="M48" s="26"/>
      <c r="N48" s="26"/>
      <c r="O48" s="26"/>
      <c r="P48" s="400" t="s">
        <v>673</v>
      </c>
      <c r="Q48" s="179"/>
      <c r="R48" s="179"/>
      <c r="S48" s="179"/>
      <c r="T48" s="500" t="e">
        <f>_xlfn.XLOOKUP(H48,#REF!,#REF!,0,0)</f>
        <v>#REF!</v>
      </c>
    </row>
    <row r="49" spans="1:20" x14ac:dyDescent="0.4">
      <c r="A49" s="68"/>
      <c r="B49" s="68" t="s">
        <v>680</v>
      </c>
      <c r="C49" s="68"/>
      <c r="D49" s="68" t="s">
        <v>681</v>
      </c>
      <c r="E49" s="69" t="s">
        <v>10</v>
      </c>
      <c r="F49" s="180" t="s">
        <v>682</v>
      </c>
      <c r="G49" s="69">
        <v>43679</v>
      </c>
      <c r="H49" s="69" t="s">
        <v>683</v>
      </c>
      <c r="I49" s="68">
        <v>69360</v>
      </c>
      <c r="J49" s="68" t="s">
        <v>684</v>
      </c>
      <c r="K49" s="69" t="s">
        <v>364</v>
      </c>
      <c r="L49" s="68"/>
      <c r="M49" s="68" t="s">
        <v>364</v>
      </c>
      <c r="N49" s="68"/>
      <c r="O49" s="68" t="s">
        <v>364</v>
      </c>
      <c r="P49" s="401"/>
      <c r="Q49" s="179"/>
      <c r="R49" s="179"/>
      <c r="S49" s="179"/>
      <c r="T49" s="500" t="e">
        <f>_xlfn.XLOOKUP(H49,#REF!,#REF!,0,0)</f>
        <v>#REF!</v>
      </c>
    </row>
    <row r="50" spans="1:20" x14ac:dyDescent="0.4">
      <c r="A50" s="68"/>
      <c r="B50" s="68" t="s">
        <v>685</v>
      </c>
      <c r="C50" s="68"/>
      <c r="D50" s="68" t="s">
        <v>681</v>
      </c>
      <c r="E50" s="69" t="s">
        <v>10</v>
      </c>
      <c r="F50" s="180" t="s">
        <v>682</v>
      </c>
      <c r="G50" s="69">
        <v>43679</v>
      </c>
      <c r="H50" s="69" t="s">
        <v>686</v>
      </c>
      <c r="I50" s="68">
        <v>69361</v>
      </c>
      <c r="J50" s="68" t="s">
        <v>687</v>
      </c>
      <c r="K50" s="69" t="s">
        <v>364</v>
      </c>
      <c r="L50" s="68"/>
      <c r="M50" s="68" t="s">
        <v>364</v>
      </c>
      <c r="N50" s="68"/>
      <c r="O50" s="68" t="s">
        <v>364</v>
      </c>
      <c r="P50" s="401"/>
      <c r="Q50" s="179"/>
      <c r="R50" s="179"/>
      <c r="S50" s="179"/>
      <c r="T50" s="500" t="e">
        <f>_xlfn.XLOOKUP(H50,#REF!,#REF!,0,0)</f>
        <v>#REF!</v>
      </c>
    </row>
    <row r="51" spans="1:20" x14ac:dyDescent="0.4">
      <c r="A51" s="68"/>
      <c r="B51" s="68" t="s">
        <v>688</v>
      </c>
      <c r="C51" s="68"/>
      <c r="D51" s="68" t="s">
        <v>681</v>
      </c>
      <c r="E51" s="69" t="s">
        <v>10</v>
      </c>
      <c r="F51" s="180" t="s">
        <v>682</v>
      </c>
      <c r="G51" s="69">
        <v>43679</v>
      </c>
      <c r="H51" s="69" t="s">
        <v>689</v>
      </c>
      <c r="I51" s="68">
        <v>69362</v>
      </c>
      <c r="J51" s="68" t="s">
        <v>690</v>
      </c>
      <c r="K51" s="69" t="s">
        <v>364</v>
      </c>
      <c r="L51" s="68"/>
      <c r="M51" s="68" t="s">
        <v>364</v>
      </c>
      <c r="N51" s="68"/>
      <c r="O51" s="68" t="s">
        <v>364</v>
      </c>
      <c r="P51" s="401"/>
      <c r="Q51" s="179"/>
      <c r="R51" s="179"/>
      <c r="S51" s="179"/>
      <c r="T51" s="500" t="e">
        <f>_xlfn.XLOOKUP(H51,#REF!,#REF!,0,0)</f>
        <v>#REF!</v>
      </c>
    </row>
    <row r="52" spans="1:20" x14ac:dyDescent="0.4">
      <c r="A52" s="70" t="s">
        <v>613</v>
      </c>
      <c r="B52" s="226" t="s">
        <v>691</v>
      </c>
      <c r="C52" s="226"/>
      <c r="D52" s="70"/>
      <c r="E52" s="204" t="s">
        <v>567</v>
      </c>
      <c r="F52" s="70" t="s">
        <v>190</v>
      </c>
      <c r="G52" s="204">
        <v>43728</v>
      </c>
      <c r="H52" s="204" t="s">
        <v>615</v>
      </c>
      <c r="I52" s="70">
        <v>69426</v>
      </c>
      <c r="J52" s="70" t="s">
        <v>616</v>
      </c>
      <c r="K52" s="204" t="s">
        <v>570</v>
      </c>
      <c r="L52" s="70" t="s">
        <v>570</v>
      </c>
      <c r="M52" s="70" t="s">
        <v>570</v>
      </c>
      <c r="N52" s="70"/>
      <c r="O52" s="70" t="s">
        <v>364</v>
      </c>
      <c r="P52" s="402"/>
      <c r="Q52" s="179"/>
      <c r="R52" s="179"/>
      <c r="S52" s="179"/>
      <c r="T52" s="500" t="e">
        <f>_xlfn.XLOOKUP(H52,#REF!,#REF!,0,0)</f>
        <v>#REF!</v>
      </c>
    </row>
    <row r="53" spans="1:20" x14ac:dyDescent="0.4">
      <c r="A53" s="60" t="s">
        <v>692</v>
      </c>
      <c r="B53" s="221" t="s">
        <v>585</v>
      </c>
      <c r="C53" s="221"/>
      <c r="D53" s="33" t="s">
        <v>693</v>
      </c>
      <c r="E53" s="34" t="s">
        <v>567</v>
      </c>
      <c r="F53" s="35" t="s">
        <v>190</v>
      </c>
      <c r="G53" s="34">
        <v>43728</v>
      </c>
      <c r="H53" s="34" t="s">
        <v>618</v>
      </c>
      <c r="I53" s="33">
        <v>69431</v>
      </c>
      <c r="J53" s="33" t="s">
        <v>694</v>
      </c>
      <c r="K53" s="34" t="s">
        <v>570</v>
      </c>
      <c r="L53" s="33" t="s">
        <v>570</v>
      </c>
      <c r="M53" s="70" t="s">
        <v>570</v>
      </c>
      <c r="N53" s="33"/>
      <c r="O53" s="70" t="s">
        <v>364</v>
      </c>
      <c r="P53" s="403">
        <v>43846.625</v>
      </c>
      <c r="Q53" s="179"/>
      <c r="R53" s="179"/>
      <c r="S53" s="179"/>
      <c r="T53" s="500" t="e">
        <f>_xlfn.XLOOKUP(H53,#REF!,#REF!,0,0)</f>
        <v>#REF!</v>
      </c>
    </row>
    <row r="54" spans="1:20" x14ac:dyDescent="0.4">
      <c r="A54" s="58" t="s">
        <v>695</v>
      </c>
      <c r="B54" s="58" t="s">
        <v>589</v>
      </c>
      <c r="C54" s="58"/>
      <c r="D54" s="58"/>
      <c r="E54" s="59" t="s">
        <v>567</v>
      </c>
      <c r="F54" s="178" t="s">
        <v>190</v>
      </c>
      <c r="G54" s="59">
        <v>43728</v>
      </c>
      <c r="H54" s="59" t="s">
        <v>208</v>
      </c>
      <c r="I54" s="58">
        <v>69436</v>
      </c>
      <c r="J54" s="58" t="s">
        <v>696</v>
      </c>
      <c r="K54" s="59" t="s">
        <v>570</v>
      </c>
      <c r="L54" s="58"/>
      <c r="M54" s="58" t="s">
        <v>570</v>
      </c>
      <c r="N54" s="58"/>
      <c r="O54" s="58" t="s">
        <v>570</v>
      </c>
      <c r="P54" s="397"/>
      <c r="Q54" s="179"/>
      <c r="R54" s="179"/>
      <c r="S54" s="179"/>
      <c r="T54" s="500" t="e">
        <f>_xlfn.XLOOKUP(H54,#REF!,#REF!,0,0)</f>
        <v>#REF!</v>
      </c>
    </row>
    <row r="55" spans="1:20" x14ac:dyDescent="0.4">
      <c r="A55" s="71" t="s">
        <v>697</v>
      </c>
      <c r="B55" s="71" t="s">
        <v>581</v>
      </c>
      <c r="C55" s="71"/>
      <c r="D55" s="71" t="s">
        <v>693</v>
      </c>
      <c r="E55" s="23" t="s">
        <v>567</v>
      </c>
      <c r="F55" s="121" t="s">
        <v>190</v>
      </c>
      <c r="G55" s="23">
        <v>43728</v>
      </c>
      <c r="H55" s="23" t="s">
        <v>209</v>
      </c>
      <c r="I55" s="71">
        <v>69437</v>
      </c>
      <c r="J55" s="71" t="s">
        <v>698</v>
      </c>
      <c r="K55" s="23" t="s">
        <v>364</v>
      </c>
      <c r="L55" s="71" t="s">
        <v>364</v>
      </c>
      <c r="M55" s="71" t="s">
        <v>364</v>
      </c>
      <c r="N55" s="71" t="s">
        <v>364</v>
      </c>
      <c r="O55" s="71" t="s">
        <v>364</v>
      </c>
      <c r="P55" s="404">
        <v>43846.4375</v>
      </c>
      <c r="Q55" s="179"/>
      <c r="R55" s="179"/>
      <c r="S55" s="179"/>
      <c r="T55" s="500" t="e">
        <f>_xlfn.XLOOKUP(H55,#REF!,#REF!,0,0)</f>
        <v>#REF!</v>
      </c>
    </row>
    <row r="56" spans="1:20" x14ac:dyDescent="0.4">
      <c r="A56" s="60" t="s">
        <v>699</v>
      </c>
      <c r="B56" s="227" t="s">
        <v>700</v>
      </c>
      <c r="C56" s="227"/>
      <c r="D56" s="60" t="s">
        <v>693</v>
      </c>
      <c r="E56" s="72" t="s">
        <v>567</v>
      </c>
      <c r="F56" s="181" t="s">
        <v>190</v>
      </c>
      <c r="G56" s="72">
        <v>43728</v>
      </c>
      <c r="H56" s="72" t="s">
        <v>623</v>
      </c>
      <c r="I56" s="60">
        <v>69439</v>
      </c>
      <c r="J56" s="60" t="s">
        <v>701</v>
      </c>
      <c r="K56" s="72" t="s">
        <v>570</v>
      </c>
      <c r="L56" s="60" t="s">
        <v>570</v>
      </c>
      <c r="M56" s="60" t="s">
        <v>570</v>
      </c>
      <c r="N56" s="60"/>
      <c r="O56" s="60" t="s">
        <v>570</v>
      </c>
      <c r="P56" s="405">
        <v>43847.427083333336</v>
      </c>
      <c r="Q56" s="179"/>
      <c r="R56" s="179"/>
      <c r="S56" s="179"/>
      <c r="T56" s="500" t="e">
        <f>_xlfn.XLOOKUP(H56,#REF!,#REF!,0,0)</f>
        <v>#REF!</v>
      </c>
    </row>
    <row r="57" spans="1:20" x14ac:dyDescent="0.4">
      <c r="A57" s="73" t="s">
        <v>702</v>
      </c>
      <c r="B57" s="73" t="s">
        <v>703</v>
      </c>
      <c r="C57" s="73"/>
      <c r="D57" s="73" t="s">
        <v>704</v>
      </c>
      <c r="E57" s="74" t="s">
        <v>567</v>
      </c>
      <c r="F57" s="182" t="s">
        <v>190</v>
      </c>
      <c r="G57" s="74">
        <v>43728</v>
      </c>
      <c r="H57" s="74" t="s">
        <v>625</v>
      </c>
      <c r="I57" s="73">
        <v>69440</v>
      </c>
      <c r="J57" s="73" t="s">
        <v>705</v>
      </c>
      <c r="K57" s="74" t="s">
        <v>570</v>
      </c>
      <c r="L57" s="73" t="s">
        <v>570</v>
      </c>
      <c r="M57" s="73" t="s">
        <v>570</v>
      </c>
      <c r="N57" s="73"/>
      <c r="O57" s="73" t="s">
        <v>570</v>
      </c>
      <c r="P57" s="405">
        <v>43847.416666666664</v>
      </c>
      <c r="Q57" s="179"/>
      <c r="R57" s="179"/>
      <c r="S57" s="179"/>
      <c r="T57" s="500" t="e">
        <f>_xlfn.XLOOKUP(H57,#REF!,#REF!,0,0)</f>
        <v>#REF!</v>
      </c>
    </row>
    <row r="58" spans="1:20" x14ac:dyDescent="0.4">
      <c r="A58" s="222"/>
      <c r="B58" s="222" t="s">
        <v>706</v>
      </c>
      <c r="C58" s="222"/>
      <c r="D58" s="75"/>
      <c r="E58" s="223" t="s">
        <v>567</v>
      </c>
      <c r="F58" s="222" t="s">
        <v>190</v>
      </c>
      <c r="G58" s="223">
        <v>43728</v>
      </c>
      <c r="H58" s="223" t="s">
        <v>211</v>
      </c>
      <c r="I58" s="222">
        <v>69441</v>
      </c>
      <c r="J58" s="222" t="s">
        <v>707</v>
      </c>
      <c r="K58" s="223" t="s">
        <v>570</v>
      </c>
      <c r="L58" s="222" t="s">
        <v>570</v>
      </c>
      <c r="M58" s="75" t="s">
        <v>570</v>
      </c>
      <c r="N58" s="75"/>
      <c r="O58" s="75" t="s">
        <v>364</v>
      </c>
      <c r="P58" s="406"/>
      <c r="Q58" s="179"/>
      <c r="R58" s="179"/>
      <c r="S58" s="179"/>
      <c r="T58" s="500" t="e">
        <f>_xlfn.XLOOKUP(H58,#REF!,#REF!,0,0)</f>
        <v>#REF!</v>
      </c>
    </row>
    <row r="59" spans="1:20" x14ac:dyDescent="0.4">
      <c r="A59" s="228" t="s">
        <v>708</v>
      </c>
      <c r="B59" s="228" t="s">
        <v>709</v>
      </c>
      <c r="C59" s="228"/>
      <c r="D59" s="228"/>
      <c r="E59" s="230" t="s">
        <v>567</v>
      </c>
      <c r="F59" s="229" t="s">
        <v>190</v>
      </c>
      <c r="G59" s="230">
        <v>43728</v>
      </c>
      <c r="H59" s="230" t="s">
        <v>212</v>
      </c>
      <c r="I59" s="229">
        <v>69442</v>
      </c>
      <c r="J59" s="229" t="s">
        <v>710</v>
      </c>
      <c r="K59" s="230" t="s">
        <v>570</v>
      </c>
      <c r="L59" s="229" t="s">
        <v>570</v>
      </c>
      <c r="M59" s="228" t="s">
        <v>570</v>
      </c>
      <c r="N59" s="228"/>
      <c r="O59" s="228" t="s">
        <v>570</v>
      </c>
      <c r="P59" s="407" t="s">
        <v>711</v>
      </c>
      <c r="Q59" s="179"/>
      <c r="R59" s="179"/>
      <c r="S59" s="179"/>
      <c r="T59" s="500" t="e">
        <f>_xlfn.XLOOKUP(H59,#REF!,#REF!,0,0)</f>
        <v>#REF!</v>
      </c>
    </row>
    <row r="60" spans="1:20" x14ac:dyDescent="0.4">
      <c r="A60" s="231" t="s">
        <v>712</v>
      </c>
      <c r="B60" s="231" t="s">
        <v>713</v>
      </c>
      <c r="C60" s="231"/>
      <c r="D60" s="231"/>
      <c r="E60" s="233" t="s">
        <v>567</v>
      </c>
      <c r="F60" s="232" t="s">
        <v>190</v>
      </c>
      <c r="G60" s="233">
        <v>43728</v>
      </c>
      <c r="H60" s="233" t="s">
        <v>213</v>
      </c>
      <c r="I60" s="232">
        <v>69443</v>
      </c>
      <c r="J60" s="232" t="s">
        <v>714</v>
      </c>
      <c r="K60" s="233" t="s">
        <v>570</v>
      </c>
      <c r="L60" s="232" t="s">
        <v>432</v>
      </c>
      <c r="M60" s="231" t="s">
        <v>570</v>
      </c>
      <c r="N60" s="231"/>
      <c r="O60" s="231" t="s">
        <v>570</v>
      </c>
      <c r="P60" s="408" t="s">
        <v>715</v>
      </c>
      <c r="Q60" s="179"/>
      <c r="R60" s="179"/>
      <c r="S60" s="179"/>
      <c r="T60" s="500" t="e">
        <f>_xlfn.XLOOKUP(H60,#REF!,#REF!,0,0)</f>
        <v>#REF!</v>
      </c>
    </row>
    <row r="61" spans="1:20" x14ac:dyDescent="0.4">
      <c r="A61" s="142" t="s">
        <v>716</v>
      </c>
      <c r="B61" s="142" t="s">
        <v>717</v>
      </c>
      <c r="C61" s="142"/>
      <c r="D61" s="129" t="s">
        <v>718</v>
      </c>
      <c r="E61" s="130" t="s">
        <v>567</v>
      </c>
      <c r="F61" s="129" t="s">
        <v>190</v>
      </c>
      <c r="G61" s="130">
        <v>43819</v>
      </c>
      <c r="H61" s="130" t="s">
        <v>228</v>
      </c>
      <c r="I61" s="129">
        <v>69621</v>
      </c>
      <c r="J61" s="129" t="s">
        <v>719</v>
      </c>
      <c r="K61" s="130" t="s">
        <v>570</v>
      </c>
      <c r="L61" s="129" t="s">
        <v>570</v>
      </c>
      <c r="M61" s="129" t="s">
        <v>570</v>
      </c>
      <c r="N61" s="129" t="s">
        <v>570</v>
      </c>
      <c r="O61" s="129" t="s">
        <v>570</v>
      </c>
      <c r="P61" s="409"/>
      <c r="Q61" s="179"/>
      <c r="R61" s="179"/>
      <c r="S61" s="179"/>
      <c r="T61" s="500" t="e">
        <f>_xlfn.XLOOKUP(H61,#REF!,#REF!,0,0)</f>
        <v>#REF!</v>
      </c>
    </row>
    <row r="62" spans="1:20" x14ac:dyDescent="0.4">
      <c r="A62" s="234" t="s">
        <v>720</v>
      </c>
      <c r="B62" s="152" t="s">
        <v>721</v>
      </c>
      <c r="C62" s="152"/>
      <c r="D62" s="76" t="s">
        <v>704</v>
      </c>
      <c r="E62" s="274" t="s">
        <v>567</v>
      </c>
      <c r="F62" s="153" t="s">
        <v>190</v>
      </c>
      <c r="G62" s="77">
        <v>43819</v>
      </c>
      <c r="H62" s="267" t="s">
        <v>722</v>
      </c>
      <c r="I62" s="76">
        <v>69623</v>
      </c>
      <c r="J62" s="76" t="s">
        <v>723</v>
      </c>
      <c r="K62" s="77" t="s">
        <v>570</v>
      </c>
      <c r="L62" s="76" t="s">
        <v>570</v>
      </c>
      <c r="M62" s="76" t="s">
        <v>570</v>
      </c>
      <c r="N62" s="76" t="s">
        <v>570</v>
      </c>
      <c r="O62" s="76"/>
      <c r="P62" s="410">
        <v>43846</v>
      </c>
      <c r="Q62" s="179"/>
      <c r="R62" s="179"/>
      <c r="S62" s="179"/>
      <c r="T62" s="500" t="e">
        <f>_xlfn.XLOOKUP(H62,#REF!,#REF!,0,0)</f>
        <v>#REF!</v>
      </c>
    </row>
    <row r="63" spans="1:20" x14ac:dyDescent="0.4">
      <c r="A63" s="33" t="s">
        <v>724</v>
      </c>
      <c r="B63" s="33"/>
      <c r="C63" s="33"/>
      <c r="D63" s="33" t="s">
        <v>704</v>
      </c>
      <c r="E63" s="236" t="s">
        <v>567</v>
      </c>
      <c r="F63" s="235" t="s">
        <v>190</v>
      </c>
      <c r="G63" s="236">
        <v>43819</v>
      </c>
      <c r="H63" s="236" t="s">
        <v>227</v>
      </c>
      <c r="I63" s="33">
        <v>69620</v>
      </c>
      <c r="J63" s="33" t="s">
        <v>725</v>
      </c>
      <c r="K63" s="34"/>
      <c r="L63" s="33" t="s">
        <v>596</v>
      </c>
      <c r="M63" s="33" t="s">
        <v>570</v>
      </c>
      <c r="N63" s="33"/>
      <c r="O63" s="33"/>
      <c r="P63" s="411">
        <v>43847</v>
      </c>
      <c r="Q63" s="179"/>
      <c r="R63" s="179"/>
      <c r="S63" s="179"/>
      <c r="T63" s="500" t="e">
        <f>_xlfn.XLOOKUP(H63,#REF!,#REF!,0,0)</f>
        <v>#REF!</v>
      </c>
    </row>
    <row r="64" spans="1:20" x14ac:dyDescent="0.4">
      <c r="A64" s="75" t="s">
        <v>726</v>
      </c>
      <c r="B64" s="75" t="s">
        <v>595</v>
      </c>
      <c r="C64" s="75"/>
      <c r="D64" s="75"/>
      <c r="E64" s="78" t="s">
        <v>567</v>
      </c>
      <c r="F64" s="75" t="s">
        <v>167</v>
      </c>
      <c r="G64" s="78"/>
      <c r="H64" s="78" t="s">
        <v>128</v>
      </c>
      <c r="I64" s="75">
        <v>68256</v>
      </c>
      <c r="J64" s="75"/>
      <c r="K64" s="78" t="s">
        <v>570</v>
      </c>
      <c r="L64" s="75" t="s">
        <v>570</v>
      </c>
      <c r="M64" s="75"/>
      <c r="N64" s="75"/>
      <c r="O64" s="75"/>
      <c r="P64" s="406" t="s">
        <v>727</v>
      </c>
      <c r="Q64" s="179"/>
      <c r="R64" s="179"/>
      <c r="S64" s="179"/>
      <c r="T64" s="500" t="e">
        <f>_xlfn.XLOOKUP(H64,#REF!,#REF!,0,0)</f>
        <v>#REF!</v>
      </c>
    </row>
    <row r="65" spans="1:20" x14ac:dyDescent="0.4">
      <c r="A65" s="75" t="s">
        <v>728</v>
      </c>
      <c r="B65" s="75" t="s">
        <v>729</v>
      </c>
      <c r="C65" s="75"/>
      <c r="D65" s="75"/>
      <c r="E65" s="78" t="s">
        <v>567</v>
      </c>
      <c r="F65" s="75" t="s">
        <v>167</v>
      </c>
      <c r="G65" s="78"/>
      <c r="H65" s="78" t="s">
        <v>148</v>
      </c>
      <c r="I65" s="75">
        <v>68798</v>
      </c>
      <c r="J65" s="75"/>
      <c r="K65" s="78" t="s">
        <v>570</v>
      </c>
      <c r="L65" s="75"/>
      <c r="M65" s="75"/>
      <c r="N65" s="75"/>
      <c r="O65" s="75"/>
      <c r="P65" s="406"/>
      <c r="Q65" s="179"/>
      <c r="R65" s="179"/>
      <c r="S65" s="179"/>
      <c r="T65" s="500" t="e">
        <f>_xlfn.XLOOKUP(H65,#REF!,#REF!,0,0)</f>
        <v>#REF!</v>
      </c>
    </row>
    <row r="66" spans="1:20" x14ac:dyDescent="0.4">
      <c r="A66" s="75" t="s">
        <v>627</v>
      </c>
      <c r="B66" s="75" t="s">
        <v>628</v>
      </c>
      <c r="C66" s="75"/>
      <c r="D66" s="75" t="s">
        <v>704</v>
      </c>
      <c r="E66" s="78" t="s">
        <v>567</v>
      </c>
      <c r="F66" s="75" t="s">
        <v>167</v>
      </c>
      <c r="G66" s="78">
        <v>43563</v>
      </c>
      <c r="H66" s="78" t="s">
        <v>630</v>
      </c>
      <c r="I66" s="75">
        <v>69198</v>
      </c>
      <c r="J66" s="75" t="s">
        <v>631</v>
      </c>
      <c r="K66" s="78" t="s">
        <v>570</v>
      </c>
      <c r="L66" s="75" t="s">
        <v>570</v>
      </c>
      <c r="M66" s="75"/>
      <c r="N66" s="75" t="s">
        <v>570</v>
      </c>
      <c r="O66" s="75" t="s">
        <v>570</v>
      </c>
      <c r="P66" s="406"/>
      <c r="Q66" s="179"/>
      <c r="R66" s="179"/>
      <c r="S66" s="179"/>
      <c r="T66" s="500" t="e">
        <f>_xlfn.XLOOKUP(H66,#REF!,#REF!,0,0)</f>
        <v>#REF!</v>
      </c>
    </row>
    <row r="67" spans="1:20" x14ac:dyDescent="0.4">
      <c r="A67" s="75" t="s">
        <v>636</v>
      </c>
      <c r="B67" s="75" t="s">
        <v>730</v>
      </c>
      <c r="C67" s="75"/>
      <c r="D67" s="75" t="s">
        <v>718</v>
      </c>
      <c r="E67" s="78" t="s">
        <v>567</v>
      </c>
      <c r="F67" s="75" t="s">
        <v>167</v>
      </c>
      <c r="G67" s="78">
        <v>43727</v>
      </c>
      <c r="H67" s="78" t="s">
        <v>637</v>
      </c>
      <c r="I67" s="75">
        <v>69447</v>
      </c>
      <c r="J67" s="75" t="s">
        <v>638</v>
      </c>
      <c r="K67" s="78" t="s">
        <v>570</v>
      </c>
      <c r="L67" s="75" t="s">
        <v>570</v>
      </c>
      <c r="M67" s="75" t="s">
        <v>570</v>
      </c>
      <c r="N67" s="75"/>
      <c r="O67" s="75" t="s">
        <v>570</v>
      </c>
      <c r="P67" s="406"/>
      <c r="Q67" s="179"/>
      <c r="R67" s="179"/>
      <c r="S67" s="179"/>
      <c r="T67" s="500" t="e">
        <f>_xlfn.XLOOKUP(H67,#REF!,#REF!,0,0)</f>
        <v>#REF!</v>
      </c>
    </row>
    <row r="68" spans="1:20" x14ac:dyDescent="0.4">
      <c r="A68" s="79" t="s">
        <v>639</v>
      </c>
      <c r="B68" s="79" t="s">
        <v>731</v>
      </c>
      <c r="C68" s="79"/>
      <c r="D68" s="79" t="s">
        <v>704</v>
      </c>
      <c r="E68" s="80" t="s">
        <v>567</v>
      </c>
      <c r="F68" s="79" t="s">
        <v>167</v>
      </c>
      <c r="G68" s="80">
        <v>43727</v>
      </c>
      <c r="H68" s="80" t="s">
        <v>214</v>
      </c>
      <c r="I68" s="79">
        <v>69456</v>
      </c>
      <c r="J68" s="79" t="s">
        <v>641</v>
      </c>
      <c r="K68" s="80" t="s">
        <v>570</v>
      </c>
      <c r="L68" s="79" t="s">
        <v>570</v>
      </c>
      <c r="M68" s="79" t="s">
        <v>570</v>
      </c>
      <c r="N68" s="79"/>
      <c r="O68" s="79" t="s">
        <v>570</v>
      </c>
      <c r="P68" s="412" t="s">
        <v>732</v>
      </c>
      <c r="Q68" s="179"/>
      <c r="R68" s="179"/>
      <c r="S68" s="179"/>
      <c r="T68" s="500" t="e">
        <f>_xlfn.XLOOKUP(H68,#REF!,#REF!,0,0)</f>
        <v>#REF!</v>
      </c>
    </row>
    <row r="69" spans="1:20" x14ac:dyDescent="0.4">
      <c r="A69" s="81" t="s">
        <v>642</v>
      </c>
      <c r="B69" s="81" t="s">
        <v>733</v>
      </c>
      <c r="C69" s="81"/>
      <c r="D69" s="81" t="s">
        <v>693</v>
      </c>
      <c r="E69" s="82" t="s">
        <v>567</v>
      </c>
      <c r="F69" s="183" t="s">
        <v>167</v>
      </c>
      <c r="G69" s="82">
        <v>43727</v>
      </c>
      <c r="H69" s="82" t="s">
        <v>644</v>
      </c>
      <c r="I69" s="81">
        <v>69462</v>
      </c>
      <c r="J69" s="81" t="s">
        <v>645</v>
      </c>
      <c r="K69" s="82" t="s">
        <v>570</v>
      </c>
      <c r="L69" s="81" t="s">
        <v>570</v>
      </c>
      <c r="M69" s="81" t="s">
        <v>570</v>
      </c>
      <c r="N69" s="81"/>
      <c r="O69" s="81" t="s">
        <v>570</v>
      </c>
      <c r="P69" s="413" t="s">
        <v>734</v>
      </c>
      <c r="Q69" s="179"/>
      <c r="R69" s="179"/>
      <c r="S69" s="179"/>
      <c r="T69" s="500" t="e">
        <f>_xlfn.XLOOKUP(H69,#REF!,#REF!,0,0)</f>
        <v>#REF!</v>
      </c>
    </row>
    <row r="70" spans="1:20" x14ac:dyDescent="0.4">
      <c r="A70" s="75" t="s">
        <v>646</v>
      </c>
      <c r="B70" s="75" t="s">
        <v>735</v>
      </c>
      <c r="C70" s="75"/>
      <c r="D70" s="75"/>
      <c r="E70" s="78" t="s">
        <v>567</v>
      </c>
      <c r="F70" s="75" t="s">
        <v>167</v>
      </c>
      <c r="G70" s="78">
        <v>43727</v>
      </c>
      <c r="H70" s="78" t="s">
        <v>215</v>
      </c>
      <c r="I70" s="75">
        <v>69463</v>
      </c>
      <c r="J70" s="75" t="s">
        <v>647</v>
      </c>
      <c r="K70" s="78" t="s">
        <v>570</v>
      </c>
      <c r="L70" s="75" t="s">
        <v>570</v>
      </c>
      <c r="M70" s="75" t="s">
        <v>570</v>
      </c>
      <c r="N70" s="75"/>
      <c r="O70" s="75" t="s">
        <v>570</v>
      </c>
      <c r="P70" s="406"/>
      <c r="Q70" s="179"/>
      <c r="R70" s="179"/>
      <c r="S70" s="179"/>
      <c r="T70" s="500" t="e">
        <f>_xlfn.XLOOKUP(H70,#REF!,#REF!,0,0)</f>
        <v>#REF!</v>
      </c>
    </row>
    <row r="71" spans="1:20" x14ac:dyDescent="0.4">
      <c r="A71" s="75" t="s">
        <v>648</v>
      </c>
      <c r="B71" s="75" t="s">
        <v>736</v>
      </c>
      <c r="C71" s="75"/>
      <c r="D71" s="75" t="s">
        <v>693</v>
      </c>
      <c r="E71" s="78" t="s">
        <v>567</v>
      </c>
      <c r="F71" s="75" t="s">
        <v>167</v>
      </c>
      <c r="G71" s="78">
        <v>43727</v>
      </c>
      <c r="H71" s="78" t="s">
        <v>216</v>
      </c>
      <c r="I71" s="75">
        <v>69464</v>
      </c>
      <c r="J71" s="75" t="s">
        <v>649</v>
      </c>
      <c r="K71" s="78" t="s">
        <v>570</v>
      </c>
      <c r="L71" s="75" t="s">
        <v>570</v>
      </c>
      <c r="M71" s="75" t="s">
        <v>570</v>
      </c>
      <c r="N71" s="75"/>
      <c r="O71" s="75" t="s">
        <v>570</v>
      </c>
      <c r="P71" s="406" t="s">
        <v>737</v>
      </c>
      <c r="Q71" s="179"/>
      <c r="R71" s="179"/>
      <c r="S71" s="179"/>
      <c r="T71" s="500" t="e">
        <f>_xlfn.XLOOKUP(H71,#REF!,#REF!,0,0)</f>
        <v>#REF!</v>
      </c>
    </row>
    <row r="72" spans="1:20" x14ac:dyDescent="0.4">
      <c r="A72" s="75" t="s">
        <v>650</v>
      </c>
      <c r="B72" s="75" t="s">
        <v>738</v>
      </c>
      <c r="C72" s="75"/>
      <c r="D72" s="75"/>
      <c r="E72" s="78" t="s">
        <v>567</v>
      </c>
      <c r="F72" s="75" t="s">
        <v>167</v>
      </c>
      <c r="G72" s="78">
        <v>43727</v>
      </c>
      <c r="H72" s="78" t="s">
        <v>651</v>
      </c>
      <c r="I72" s="75">
        <v>69465</v>
      </c>
      <c r="J72" s="75" t="s">
        <v>652</v>
      </c>
      <c r="K72" s="78" t="s">
        <v>570</v>
      </c>
      <c r="L72" s="75" t="s">
        <v>570</v>
      </c>
      <c r="M72" s="75" t="s">
        <v>570</v>
      </c>
      <c r="N72" s="75"/>
      <c r="O72" s="75" t="s">
        <v>570</v>
      </c>
      <c r="P72" s="414"/>
      <c r="Q72" s="179"/>
      <c r="R72" s="179"/>
      <c r="S72" s="179"/>
      <c r="T72" s="500" t="e">
        <f>_xlfn.XLOOKUP(H72,#REF!,#REF!,0,0)</f>
        <v>#REF!</v>
      </c>
    </row>
    <row r="73" spans="1:20" x14ac:dyDescent="0.4">
      <c r="A73" s="79" t="s">
        <v>653</v>
      </c>
      <c r="B73" s="79" t="s">
        <v>739</v>
      </c>
      <c r="C73" s="79"/>
      <c r="D73" s="79"/>
      <c r="E73" s="80" t="s">
        <v>567</v>
      </c>
      <c r="F73" s="79" t="s">
        <v>167</v>
      </c>
      <c r="G73" s="80">
        <v>43727</v>
      </c>
      <c r="H73" s="80" t="s">
        <v>655</v>
      </c>
      <c r="I73" s="79">
        <v>69466</v>
      </c>
      <c r="J73" s="79" t="s">
        <v>656</v>
      </c>
      <c r="K73" s="80" t="s">
        <v>570</v>
      </c>
      <c r="L73" s="79" t="s">
        <v>570</v>
      </c>
      <c r="M73" s="79" t="s">
        <v>570</v>
      </c>
      <c r="N73" s="79"/>
      <c r="O73" s="79" t="s">
        <v>570</v>
      </c>
      <c r="P73" s="415" t="s">
        <v>740</v>
      </c>
      <c r="Q73" s="179"/>
      <c r="R73" s="179"/>
      <c r="S73" s="179"/>
      <c r="T73" s="500" t="e">
        <f>_xlfn.XLOOKUP(H73,#REF!,#REF!,0,0)</f>
        <v>#REF!</v>
      </c>
    </row>
    <row r="74" spans="1:20" x14ac:dyDescent="0.4">
      <c r="A74" s="83" t="s">
        <v>657</v>
      </c>
      <c r="B74" s="83" t="s">
        <v>741</v>
      </c>
      <c r="C74" s="83"/>
      <c r="D74" s="83" t="s">
        <v>693</v>
      </c>
      <c r="E74" s="84" t="s">
        <v>567</v>
      </c>
      <c r="F74" s="184" t="s">
        <v>167</v>
      </c>
      <c r="G74" s="84">
        <v>43727</v>
      </c>
      <c r="H74" s="84" t="s">
        <v>658</v>
      </c>
      <c r="I74" s="83">
        <v>69467</v>
      </c>
      <c r="J74" s="83" t="s">
        <v>659</v>
      </c>
      <c r="K74" s="84" t="s">
        <v>570</v>
      </c>
      <c r="L74" s="83" t="s">
        <v>570</v>
      </c>
      <c r="M74" s="83" t="s">
        <v>570</v>
      </c>
      <c r="N74" s="83" t="s">
        <v>570</v>
      </c>
      <c r="O74" s="83" t="s">
        <v>570</v>
      </c>
      <c r="P74" s="416">
        <v>43846.416666666664</v>
      </c>
      <c r="Q74" s="179"/>
      <c r="R74" s="179"/>
      <c r="S74" s="179"/>
      <c r="T74" s="500" t="e">
        <f>_xlfn.XLOOKUP(H74,#REF!,#REF!,0,0)</f>
        <v>#REF!</v>
      </c>
    </row>
    <row r="75" spans="1:20" x14ac:dyDescent="0.4">
      <c r="A75" s="75"/>
      <c r="B75" s="75" t="s">
        <v>742</v>
      </c>
      <c r="C75" s="75"/>
      <c r="D75" s="75"/>
      <c r="E75" s="78" t="s">
        <v>567</v>
      </c>
      <c r="F75" s="75" t="s">
        <v>167</v>
      </c>
      <c r="G75" s="78">
        <v>43727</v>
      </c>
      <c r="H75" s="78" t="s">
        <v>662</v>
      </c>
      <c r="I75" s="75">
        <v>69469</v>
      </c>
      <c r="J75" s="75" t="s">
        <v>663</v>
      </c>
      <c r="K75" s="78" t="s">
        <v>570</v>
      </c>
      <c r="L75" s="75"/>
      <c r="M75" s="75"/>
      <c r="N75" s="75"/>
      <c r="O75" s="75"/>
      <c r="P75" s="406"/>
      <c r="Q75" s="179"/>
      <c r="R75" s="179"/>
      <c r="S75" s="179"/>
      <c r="T75" s="500" t="e">
        <f>_xlfn.XLOOKUP(H75,#REF!,#REF!,0,0)</f>
        <v>#REF!</v>
      </c>
    </row>
    <row r="76" spans="1:20" x14ac:dyDescent="0.4">
      <c r="A76" s="75"/>
      <c r="B76" s="75" t="s">
        <v>743</v>
      </c>
      <c r="C76" s="75"/>
      <c r="D76" s="75"/>
      <c r="E76" s="78" t="s">
        <v>567</v>
      </c>
      <c r="F76" s="75" t="s">
        <v>167</v>
      </c>
      <c r="G76" s="78">
        <v>43727</v>
      </c>
      <c r="H76" s="78" t="s">
        <v>664</v>
      </c>
      <c r="I76" s="75">
        <v>69470</v>
      </c>
      <c r="J76" s="75" t="s">
        <v>665</v>
      </c>
      <c r="K76" s="78" t="s">
        <v>570</v>
      </c>
      <c r="L76" s="75"/>
      <c r="M76" s="75"/>
      <c r="N76" s="75"/>
      <c r="O76" s="75"/>
      <c r="P76" s="406" t="s">
        <v>740</v>
      </c>
      <c r="Q76" s="179"/>
      <c r="R76" s="179"/>
      <c r="S76" s="179"/>
      <c r="T76" s="500" t="e">
        <f>_xlfn.XLOOKUP(H76,#REF!,#REF!,0,0)</f>
        <v>#REF!</v>
      </c>
    </row>
    <row r="77" spans="1:20" x14ac:dyDescent="0.4">
      <c r="A77" s="75"/>
      <c r="B77" s="75" t="s">
        <v>669</v>
      </c>
      <c r="C77" s="75"/>
      <c r="D77" s="75"/>
      <c r="E77" s="78" t="s">
        <v>567</v>
      </c>
      <c r="F77" s="75" t="s">
        <v>167</v>
      </c>
      <c r="G77" s="78">
        <v>43727</v>
      </c>
      <c r="H77" s="78" t="s">
        <v>666</v>
      </c>
      <c r="I77" s="75">
        <v>69471</v>
      </c>
      <c r="J77" s="75" t="s">
        <v>667</v>
      </c>
      <c r="K77" s="78" t="s">
        <v>570</v>
      </c>
      <c r="L77" s="75"/>
      <c r="M77" s="75"/>
      <c r="N77" s="75"/>
      <c r="O77" s="75"/>
      <c r="P77" s="406" t="s">
        <v>740</v>
      </c>
      <c r="Q77" s="179"/>
      <c r="R77" s="179"/>
      <c r="S77" s="179"/>
      <c r="T77" s="500" t="e">
        <f>_xlfn.XLOOKUP(H77,#REF!,#REF!,0,0)</f>
        <v>#REF!</v>
      </c>
    </row>
    <row r="78" spans="1:20" x14ac:dyDescent="0.4">
      <c r="A78" s="75"/>
      <c r="B78" s="75"/>
      <c r="C78" s="75"/>
      <c r="D78" s="75"/>
      <c r="E78" s="78" t="s">
        <v>567</v>
      </c>
      <c r="F78" s="75" t="s">
        <v>167</v>
      </c>
      <c r="G78" s="78">
        <v>43727</v>
      </c>
      <c r="H78" s="78" t="s">
        <v>326</v>
      </c>
      <c r="I78" s="75">
        <v>69472</v>
      </c>
      <c r="J78" s="75" t="s">
        <v>668</v>
      </c>
      <c r="K78" s="78" t="s">
        <v>570</v>
      </c>
      <c r="L78" s="75"/>
      <c r="M78" s="75"/>
      <c r="N78" s="75"/>
      <c r="O78" s="75"/>
      <c r="P78" s="406"/>
      <c r="Q78" s="179"/>
      <c r="R78" s="179"/>
      <c r="S78" s="179"/>
      <c r="T78" s="500" t="e">
        <f>_xlfn.XLOOKUP(H78,#REF!,#REF!,0,0)</f>
        <v>#REF!</v>
      </c>
    </row>
    <row r="79" spans="1:20" x14ac:dyDescent="0.4">
      <c r="A79" s="85"/>
      <c r="B79" s="86" t="s">
        <v>744</v>
      </c>
      <c r="C79" s="86"/>
      <c r="D79" s="85"/>
      <c r="E79" s="87" t="s">
        <v>10</v>
      </c>
      <c r="F79" s="185" t="s">
        <v>0</v>
      </c>
      <c r="G79" s="87">
        <v>43809</v>
      </c>
      <c r="H79" s="87" t="s">
        <v>745</v>
      </c>
      <c r="I79" s="85">
        <v>69596</v>
      </c>
      <c r="J79" s="88" t="s">
        <v>746</v>
      </c>
      <c r="K79" s="87"/>
      <c r="L79" s="85"/>
      <c r="M79" s="85"/>
      <c r="N79" s="85"/>
      <c r="O79" s="85"/>
      <c r="P79" s="417"/>
      <c r="Q79" s="179"/>
      <c r="R79" s="179"/>
      <c r="S79" s="179"/>
      <c r="T79" s="500" t="e">
        <f>_xlfn.XLOOKUP(H79,#REF!,#REF!,0,0)</f>
        <v>#REF!</v>
      </c>
    </row>
    <row r="80" spans="1:20" x14ac:dyDescent="0.4">
      <c r="A80" s="40"/>
      <c r="B80" s="89" t="s">
        <v>747</v>
      </c>
      <c r="C80" s="89"/>
      <c r="D80" s="40"/>
      <c r="E80" s="275" t="s">
        <v>10</v>
      </c>
      <c r="F80" s="211" t="s">
        <v>0</v>
      </c>
      <c r="G80" s="42">
        <v>43809</v>
      </c>
      <c r="H80" s="42" t="s">
        <v>748</v>
      </c>
      <c r="I80" s="40">
        <v>69597</v>
      </c>
      <c r="J80" s="88" t="s">
        <v>749</v>
      </c>
      <c r="K80" s="42"/>
      <c r="L80" s="40"/>
      <c r="M80" s="40"/>
      <c r="N80" s="40"/>
      <c r="O80" s="40"/>
      <c r="P80" s="389"/>
      <c r="Q80" s="179"/>
      <c r="R80" s="179"/>
      <c r="S80" s="179"/>
      <c r="T80" s="500" t="e">
        <f>_xlfn.XLOOKUP(H80,#REF!,#REF!,0,0)</f>
        <v>#REF!</v>
      </c>
    </row>
    <row r="81" spans="1:20" x14ac:dyDescent="0.4">
      <c r="A81" s="90"/>
      <c r="B81" s="90" t="s">
        <v>750</v>
      </c>
      <c r="C81" s="90"/>
      <c r="D81" s="90"/>
      <c r="E81" s="91" t="s">
        <v>10</v>
      </c>
      <c r="F81" s="90" t="s">
        <v>0</v>
      </c>
      <c r="G81" s="91">
        <v>43809</v>
      </c>
      <c r="H81" s="91" t="s">
        <v>751</v>
      </c>
      <c r="I81" s="90">
        <v>69598</v>
      </c>
      <c r="J81" s="90" t="s">
        <v>752</v>
      </c>
      <c r="K81" s="91"/>
      <c r="L81" s="90"/>
      <c r="M81" s="90"/>
      <c r="N81" s="90"/>
      <c r="O81" s="90"/>
      <c r="P81" s="418"/>
      <c r="Q81" s="179"/>
      <c r="R81" s="179"/>
      <c r="S81" s="179"/>
      <c r="T81" s="500" t="e">
        <f>_xlfn.XLOOKUP(H81,#REF!,#REF!,0,0)</f>
        <v>#REF!</v>
      </c>
    </row>
    <row r="82" spans="1:20" x14ac:dyDescent="0.4">
      <c r="A82" s="67"/>
      <c r="B82" s="66" t="s">
        <v>669</v>
      </c>
      <c r="C82" s="66"/>
      <c r="D82" s="67"/>
      <c r="E82" s="225" t="s">
        <v>10</v>
      </c>
      <c r="F82" s="67" t="s">
        <v>670</v>
      </c>
      <c r="G82" s="225">
        <v>43271</v>
      </c>
      <c r="H82" s="225" t="s">
        <v>671</v>
      </c>
      <c r="I82" s="67">
        <v>68484</v>
      </c>
      <c r="J82" s="67" t="s">
        <v>672</v>
      </c>
      <c r="K82" s="225"/>
      <c r="L82" s="67"/>
      <c r="M82" s="67"/>
      <c r="N82" s="67"/>
      <c r="O82" s="67"/>
      <c r="P82" s="400" t="s">
        <v>673</v>
      </c>
      <c r="Q82" s="179"/>
      <c r="R82" s="179"/>
      <c r="S82" s="179"/>
      <c r="T82" s="500" t="e">
        <f>_xlfn.XLOOKUP(H82,#REF!,#REF!,0,0)</f>
        <v>#REF!</v>
      </c>
    </row>
    <row r="83" spans="1:20" s="301" customFormat="1" x14ac:dyDescent="0.4">
      <c r="A83" s="98" t="s">
        <v>753</v>
      </c>
      <c r="B83" s="98" t="s">
        <v>754</v>
      </c>
      <c r="C83" s="98"/>
      <c r="D83" s="98"/>
      <c r="E83" s="100"/>
      <c r="F83" s="98" t="s">
        <v>567</v>
      </c>
      <c r="G83" s="100" t="s">
        <v>755</v>
      </c>
      <c r="H83" s="100">
        <v>43243</v>
      </c>
      <c r="I83" s="98" t="s">
        <v>756</v>
      </c>
      <c r="J83" s="98">
        <v>68255</v>
      </c>
      <c r="K83" s="100" t="s">
        <v>757</v>
      </c>
      <c r="L83" s="98"/>
      <c r="M83" s="98"/>
      <c r="N83" s="98"/>
      <c r="O83" s="98"/>
      <c r="P83" s="419"/>
      <c r="Q83" s="169"/>
      <c r="R83" s="169"/>
      <c r="S83" s="169"/>
      <c r="T83" s="512" t="e">
        <f>_xlfn.XLOOKUP(H83,#REF!,#REF!,0,0)</f>
        <v>#REF!</v>
      </c>
    </row>
    <row r="84" spans="1:20" s="301" customFormat="1" x14ac:dyDescent="0.4">
      <c r="A84" s="232" t="s">
        <v>753</v>
      </c>
      <c r="B84" s="232" t="s">
        <v>758</v>
      </c>
      <c r="C84" s="232"/>
      <c r="D84" s="232"/>
      <c r="E84" s="233"/>
      <c r="F84" s="232" t="s">
        <v>567</v>
      </c>
      <c r="G84" s="233" t="s">
        <v>755</v>
      </c>
      <c r="H84" s="233">
        <v>43437</v>
      </c>
      <c r="I84" s="232" t="s">
        <v>759</v>
      </c>
      <c r="J84" s="232">
        <v>68939</v>
      </c>
      <c r="K84" s="233" t="s">
        <v>760</v>
      </c>
      <c r="L84" s="232" t="s">
        <v>570</v>
      </c>
      <c r="M84" s="232" t="s">
        <v>570</v>
      </c>
      <c r="N84" s="232" t="s">
        <v>570</v>
      </c>
      <c r="O84" s="232"/>
      <c r="P84" s="420"/>
      <c r="Q84" s="169"/>
      <c r="R84" s="169"/>
      <c r="S84" s="169"/>
      <c r="T84" s="512" t="e">
        <f>_xlfn.XLOOKUP(H84,#REF!,#REF!,0,0)</f>
        <v>#REF!</v>
      </c>
    </row>
    <row r="85" spans="1:20" s="301" customFormat="1" x14ac:dyDescent="0.4">
      <c r="A85" s="66"/>
      <c r="B85" s="66" t="s">
        <v>761</v>
      </c>
      <c r="C85" s="66"/>
      <c r="D85" s="66"/>
      <c r="E85" s="15"/>
      <c r="F85" s="169" t="s">
        <v>567</v>
      </c>
      <c r="G85" s="15" t="s">
        <v>49</v>
      </c>
      <c r="H85" s="15">
        <v>42212</v>
      </c>
      <c r="I85" s="66" t="s">
        <v>762</v>
      </c>
      <c r="J85" s="66">
        <v>60260</v>
      </c>
      <c r="K85" s="15" t="s">
        <v>763</v>
      </c>
      <c r="L85" s="66"/>
      <c r="M85" s="66"/>
      <c r="N85" s="66"/>
      <c r="O85" s="66"/>
      <c r="P85" s="421"/>
      <c r="Q85" s="169"/>
      <c r="R85" s="169"/>
      <c r="S85" s="169"/>
      <c r="T85" s="512" t="e">
        <f>_xlfn.XLOOKUP(H85,#REF!,#REF!,0,0)</f>
        <v>#REF!</v>
      </c>
    </row>
    <row r="86" spans="1:20" s="301" customFormat="1" x14ac:dyDescent="0.4">
      <c r="A86" s="66"/>
      <c r="B86" s="66" t="s">
        <v>761</v>
      </c>
      <c r="C86" s="66"/>
      <c r="D86" s="66"/>
      <c r="E86" s="15"/>
      <c r="F86" s="169" t="s">
        <v>567</v>
      </c>
      <c r="G86" s="15" t="s">
        <v>49</v>
      </c>
      <c r="H86" s="15">
        <v>42552</v>
      </c>
      <c r="I86" s="66" t="s">
        <v>764</v>
      </c>
      <c r="J86" s="66">
        <v>64266</v>
      </c>
      <c r="K86" s="15" t="s">
        <v>765</v>
      </c>
      <c r="L86" s="66"/>
      <c r="M86" s="66"/>
      <c r="N86" s="66"/>
      <c r="O86" s="66"/>
      <c r="P86" s="421"/>
      <c r="Q86" s="169"/>
      <c r="R86" s="169"/>
      <c r="S86" s="169"/>
      <c r="T86" s="512" t="e">
        <f>_xlfn.XLOOKUP(H86,#REF!,#REF!,0,0)</f>
        <v>#REF!</v>
      </c>
    </row>
    <row r="87" spans="1:20" s="301" customFormat="1" x14ac:dyDescent="0.4">
      <c r="A87" s="90" t="s">
        <v>753</v>
      </c>
      <c r="B87" s="90" t="s">
        <v>766</v>
      </c>
      <c r="C87" s="90"/>
      <c r="D87" s="90" t="s">
        <v>767</v>
      </c>
      <c r="E87" s="91"/>
      <c r="F87" s="90" t="s">
        <v>567</v>
      </c>
      <c r="G87" s="91" t="s">
        <v>56</v>
      </c>
      <c r="H87" s="91">
        <v>42746</v>
      </c>
      <c r="I87" s="90" t="s">
        <v>768</v>
      </c>
      <c r="J87" s="90">
        <v>64568</v>
      </c>
      <c r="K87" s="91" t="s">
        <v>769</v>
      </c>
      <c r="L87" s="90" t="s">
        <v>570</v>
      </c>
      <c r="M87" s="90" t="s">
        <v>570</v>
      </c>
      <c r="N87" s="90"/>
      <c r="O87" s="90"/>
      <c r="P87" s="418"/>
      <c r="Q87" s="169"/>
      <c r="R87" s="169"/>
      <c r="S87" s="169"/>
      <c r="T87" s="512" t="e">
        <f>_xlfn.XLOOKUP(H87,#REF!,#REF!,0,0)</f>
        <v>#REF!</v>
      </c>
    </row>
    <row r="88" spans="1:20" s="301" customFormat="1" x14ac:dyDescent="0.4">
      <c r="A88" s="90" t="s">
        <v>753</v>
      </c>
      <c r="B88" s="90" t="s">
        <v>770</v>
      </c>
      <c r="C88" s="90"/>
      <c r="D88" s="90" t="s">
        <v>767</v>
      </c>
      <c r="E88" s="91"/>
      <c r="F88" s="90" t="s">
        <v>567</v>
      </c>
      <c r="G88" s="91" t="s">
        <v>56</v>
      </c>
      <c r="H88" s="91">
        <v>42746</v>
      </c>
      <c r="I88" s="90" t="s">
        <v>771</v>
      </c>
      <c r="J88" s="90">
        <v>64575</v>
      </c>
      <c r="K88" s="91" t="s">
        <v>772</v>
      </c>
      <c r="L88" s="90" t="s">
        <v>570</v>
      </c>
      <c r="M88" s="90" t="s">
        <v>570</v>
      </c>
      <c r="N88" s="90"/>
      <c r="O88" s="90"/>
      <c r="P88" s="418"/>
      <c r="Q88" s="169"/>
      <c r="R88" s="169"/>
      <c r="S88" s="169"/>
      <c r="T88" s="512" t="e">
        <f>_xlfn.XLOOKUP(H88,#REF!,#REF!,0,0)</f>
        <v>#REF!</v>
      </c>
    </row>
    <row r="89" spans="1:20" s="301" customFormat="1" x14ac:dyDescent="0.4">
      <c r="A89" s="98" t="s">
        <v>753</v>
      </c>
      <c r="B89" s="98" t="s">
        <v>773</v>
      </c>
      <c r="C89" s="98"/>
      <c r="D89" s="98" t="s">
        <v>774</v>
      </c>
      <c r="E89" s="100"/>
      <c r="F89" s="98" t="s">
        <v>567</v>
      </c>
      <c r="G89" s="100" t="s">
        <v>56</v>
      </c>
      <c r="H89" s="100">
        <v>43144</v>
      </c>
      <c r="I89" s="98" t="s">
        <v>92</v>
      </c>
      <c r="J89" s="98">
        <v>65758</v>
      </c>
      <c r="K89" s="100" t="s">
        <v>775</v>
      </c>
      <c r="L89" s="98"/>
      <c r="M89" s="98"/>
      <c r="N89" s="98"/>
      <c r="O89" s="98"/>
      <c r="P89" s="419"/>
      <c r="Q89" s="169"/>
      <c r="R89" s="169"/>
      <c r="S89" s="169"/>
      <c r="T89" s="512" t="e">
        <f>_xlfn.XLOOKUP(H89,#REF!,#REF!,0,0)</f>
        <v>#REF!</v>
      </c>
    </row>
    <row r="90" spans="1:20" s="301" customFormat="1" x14ac:dyDescent="0.4">
      <c r="A90" s="129" t="s">
        <v>753</v>
      </c>
      <c r="B90" s="129" t="s">
        <v>776</v>
      </c>
      <c r="C90" s="129"/>
      <c r="D90" s="129" t="s">
        <v>767</v>
      </c>
      <c r="E90" s="130" t="s">
        <v>777</v>
      </c>
      <c r="F90" s="129" t="s">
        <v>567</v>
      </c>
      <c r="G90" s="130" t="s">
        <v>140</v>
      </c>
      <c r="H90" s="130">
        <v>43291</v>
      </c>
      <c r="I90" s="129" t="s">
        <v>778</v>
      </c>
      <c r="J90" s="129">
        <v>68419</v>
      </c>
      <c r="K90" s="130" t="s">
        <v>779</v>
      </c>
      <c r="L90" s="129" t="s">
        <v>570</v>
      </c>
      <c r="M90" s="129" t="s">
        <v>570</v>
      </c>
      <c r="N90" s="129" t="s">
        <v>570</v>
      </c>
      <c r="O90" s="129" t="s">
        <v>570</v>
      </c>
      <c r="P90" s="409" t="s">
        <v>570</v>
      </c>
      <c r="Q90" s="169"/>
      <c r="R90" s="169"/>
      <c r="S90" s="169"/>
      <c r="T90" s="512" t="e">
        <f>_xlfn.XLOOKUP(H90,#REF!,#REF!,0,0)</f>
        <v>#REF!</v>
      </c>
    </row>
    <row r="91" spans="1:20" s="501" customFormat="1" x14ac:dyDescent="0.4">
      <c r="A91" s="92"/>
      <c r="B91" s="92"/>
      <c r="C91" s="92"/>
      <c r="D91" s="92"/>
      <c r="E91" s="93"/>
      <c r="F91" s="186"/>
      <c r="G91" s="93"/>
      <c r="H91" s="93"/>
      <c r="I91" s="92" t="s">
        <v>780</v>
      </c>
      <c r="J91" s="92">
        <v>58912</v>
      </c>
      <c r="K91" s="93"/>
      <c r="L91" s="92"/>
      <c r="M91" s="92"/>
      <c r="N91" s="92"/>
      <c r="O91" s="92"/>
      <c r="P91" s="422"/>
      <c r="Q91" s="498"/>
      <c r="R91" s="498"/>
      <c r="S91" s="498"/>
      <c r="T91" s="512" t="e">
        <f>_xlfn.XLOOKUP(H91,#REF!,#REF!,0,0)</f>
        <v>#REF!</v>
      </c>
    </row>
    <row r="92" spans="1:20" s="301" customFormat="1" x14ac:dyDescent="0.4">
      <c r="A92" s="92"/>
      <c r="B92" s="92"/>
      <c r="C92" s="92"/>
      <c r="D92" s="92"/>
      <c r="E92" s="93"/>
      <c r="F92" s="186" t="s">
        <v>567</v>
      </c>
      <c r="G92" s="93" t="s">
        <v>40</v>
      </c>
      <c r="H92" s="93">
        <v>41765</v>
      </c>
      <c r="I92" s="92" t="s">
        <v>781</v>
      </c>
      <c r="J92" s="92">
        <v>58920</v>
      </c>
      <c r="K92" s="93" t="s">
        <v>782</v>
      </c>
      <c r="L92" s="92"/>
      <c r="M92" s="92"/>
      <c r="N92" s="92"/>
      <c r="O92" s="92"/>
      <c r="P92" s="422"/>
      <c r="Q92" s="169"/>
      <c r="R92" s="169"/>
      <c r="S92" s="169"/>
      <c r="T92" s="512" t="e">
        <f>_xlfn.XLOOKUP(H92,#REF!,#REF!,0,0)</f>
        <v>#REF!</v>
      </c>
    </row>
    <row r="93" spans="1:20" s="301" customFormat="1" x14ac:dyDescent="0.4">
      <c r="A93" s="92"/>
      <c r="B93" s="92"/>
      <c r="C93" s="92"/>
      <c r="D93" s="92"/>
      <c r="E93" s="93"/>
      <c r="F93" s="186" t="s">
        <v>567</v>
      </c>
      <c r="G93" s="93" t="s">
        <v>35</v>
      </c>
      <c r="H93" s="93">
        <v>41841</v>
      </c>
      <c r="I93" s="92" t="s">
        <v>783</v>
      </c>
      <c r="J93" s="92">
        <v>59073</v>
      </c>
      <c r="K93" s="93" t="s">
        <v>784</v>
      </c>
      <c r="L93" s="92"/>
      <c r="M93" s="92"/>
      <c r="N93" s="92"/>
      <c r="O93" s="92"/>
      <c r="P93" s="422"/>
      <c r="Q93" s="169"/>
      <c r="R93" s="169"/>
      <c r="S93" s="169"/>
      <c r="T93" s="512" t="e">
        <f>_xlfn.XLOOKUP(H93,#REF!,#REF!,0,0)</f>
        <v>#REF!</v>
      </c>
    </row>
    <row r="94" spans="1:20" s="301" customFormat="1" x14ac:dyDescent="0.4">
      <c r="A94" s="92"/>
      <c r="B94" s="92"/>
      <c r="C94" s="92"/>
      <c r="D94" s="92"/>
      <c r="E94" s="93"/>
      <c r="F94" s="186" t="s">
        <v>567</v>
      </c>
      <c r="G94" s="93" t="s">
        <v>785</v>
      </c>
      <c r="H94" s="93">
        <v>42068</v>
      </c>
      <c r="I94" s="92" t="s">
        <v>786</v>
      </c>
      <c r="J94" s="92">
        <v>59930</v>
      </c>
      <c r="K94" s="93" t="s">
        <v>787</v>
      </c>
      <c r="L94" s="92"/>
      <c r="M94" s="92"/>
      <c r="N94" s="92"/>
      <c r="O94" s="92"/>
      <c r="P94" s="422"/>
      <c r="Q94" s="169"/>
      <c r="R94" s="169"/>
      <c r="S94" s="169"/>
      <c r="T94" s="512" t="e">
        <f>_xlfn.XLOOKUP(H94,#REF!,#REF!,0,0)</f>
        <v>#REF!</v>
      </c>
    </row>
    <row r="95" spans="1:20" x14ac:dyDescent="0.4">
      <c r="A95" s="90"/>
      <c r="B95" s="94" t="s">
        <v>680</v>
      </c>
      <c r="C95" s="94"/>
      <c r="D95" s="90" t="s">
        <v>788</v>
      </c>
      <c r="E95" s="91">
        <v>42901</v>
      </c>
      <c r="F95" s="90" t="s">
        <v>567</v>
      </c>
      <c r="G95" s="91" t="s">
        <v>789</v>
      </c>
      <c r="H95" s="91">
        <v>42887</v>
      </c>
      <c r="I95" s="90" t="s">
        <v>790</v>
      </c>
      <c r="J95" s="90">
        <v>64935</v>
      </c>
      <c r="K95" s="91" t="s">
        <v>791</v>
      </c>
      <c r="L95" s="90"/>
      <c r="M95" s="90"/>
      <c r="N95" s="90"/>
      <c r="O95" s="90"/>
      <c r="P95" s="418"/>
      <c r="Q95" s="179"/>
      <c r="R95" s="179"/>
      <c r="S95" s="179"/>
      <c r="T95" s="500" t="e">
        <f>_xlfn.XLOOKUP(H95,#REF!,#REF!,0,0)</f>
        <v>#REF!</v>
      </c>
    </row>
    <row r="96" spans="1:20" x14ac:dyDescent="0.4">
      <c r="A96" s="129" t="s">
        <v>570</v>
      </c>
      <c r="B96" s="129" t="s">
        <v>792</v>
      </c>
      <c r="C96" s="129"/>
      <c r="D96" s="129" t="s">
        <v>767</v>
      </c>
      <c r="E96" s="130"/>
      <c r="F96" s="129" t="s">
        <v>567</v>
      </c>
      <c r="G96" s="130" t="s">
        <v>789</v>
      </c>
      <c r="H96" s="130">
        <v>43226</v>
      </c>
      <c r="I96" s="129" t="s">
        <v>793</v>
      </c>
      <c r="J96" s="129">
        <v>65961</v>
      </c>
      <c r="K96" s="130" t="s">
        <v>794</v>
      </c>
      <c r="L96" s="129" t="s">
        <v>570</v>
      </c>
      <c r="M96" s="129" t="s">
        <v>570</v>
      </c>
      <c r="N96" s="129" t="s">
        <v>570</v>
      </c>
      <c r="O96" s="129" t="s">
        <v>570</v>
      </c>
      <c r="P96" s="409" t="s">
        <v>570</v>
      </c>
      <c r="Q96" s="179"/>
      <c r="R96" s="179"/>
      <c r="S96" s="179"/>
      <c r="T96" s="500" t="e">
        <f>_xlfn.XLOOKUP(H96,#REF!,#REF!,0,0)</f>
        <v>#REF!</v>
      </c>
    </row>
    <row r="97" spans="1:20" x14ac:dyDescent="0.4">
      <c r="A97" s="231" t="s">
        <v>753</v>
      </c>
      <c r="B97" s="231" t="s">
        <v>795</v>
      </c>
      <c r="C97" s="231"/>
      <c r="D97" s="231"/>
      <c r="E97" s="237"/>
      <c r="F97" s="231" t="s">
        <v>10</v>
      </c>
      <c r="G97" s="237" t="s">
        <v>670</v>
      </c>
      <c r="H97" s="237">
        <v>43271</v>
      </c>
      <c r="I97" s="231" t="s">
        <v>796</v>
      </c>
      <c r="J97" s="231">
        <v>68469</v>
      </c>
      <c r="K97" s="237" t="s">
        <v>797</v>
      </c>
      <c r="L97" s="231" t="s">
        <v>570</v>
      </c>
      <c r="M97" s="231"/>
      <c r="N97" s="231" t="s">
        <v>570</v>
      </c>
      <c r="O97" s="231"/>
      <c r="P97" s="408"/>
      <c r="Q97" s="179"/>
      <c r="R97" s="179"/>
      <c r="S97" s="179"/>
      <c r="T97" s="500" t="e">
        <f>_xlfn.XLOOKUP(H97,#REF!,#REF!,0,0)</f>
        <v>#REF!</v>
      </c>
    </row>
    <row r="98" spans="1:20" x14ac:dyDescent="0.4">
      <c r="A98" s="75" t="s">
        <v>753</v>
      </c>
      <c r="B98" s="75" t="s">
        <v>798</v>
      </c>
      <c r="C98" s="75"/>
      <c r="D98" s="75"/>
      <c r="E98" s="78"/>
      <c r="F98" s="75" t="s">
        <v>10</v>
      </c>
      <c r="G98" s="78" t="s">
        <v>670</v>
      </c>
      <c r="H98" s="78">
        <v>43271</v>
      </c>
      <c r="I98" s="75" t="s">
        <v>799</v>
      </c>
      <c r="J98" s="75">
        <v>68481</v>
      </c>
      <c r="K98" s="78" t="s">
        <v>800</v>
      </c>
      <c r="L98" s="75" t="s">
        <v>570</v>
      </c>
      <c r="M98" s="75"/>
      <c r="N98" s="75" t="s">
        <v>570</v>
      </c>
      <c r="O98" s="75"/>
      <c r="P98" s="406"/>
      <c r="Q98" s="179"/>
      <c r="R98" s="179"/>
      <c r="S98" s="179"/>
      <c r="T98" s="500" t="e">
        <f>_xlfn.XLOOKUP(H98,#REF!,#REF!,0,0)</f>
        <v>#REF!</v>
      </c>
    </row>
    <row r="99" spans="1:20" x14ac:dyDescent="0.4">
      <c r="A99" s="75" t="s">
        <v>753</v>
      </c>
      <c r="B99" s="75"/>
      <c r="C99" s="75"/>
      <c r="D99" s="75"/>
      <c r="E99" s="78"/>
      <c r="F99" s="75" t="s">
        <v>10</v>
      </c>
      <c r="G99" s="78" t="s">
        <v>670</v>
      </c>
      <c r="H99" s="78">
        <v>43271</v>
      </c>
      <c r="I99" s="75" t="s">
        <v>801</v>
      </c>
      <c r="J99" s="75">
        <v>68482</v>
      </c>
      <c r="K99" s="78" t="s">
        <v>802</v>
      </c>
      <c r="L99" s="75" t="s">
        <v>570</v>
      </c>
      <c r="M99" s="75"/>
      <c r="N99" s="75" t="s">
        <v>570</v>
      </c>
      <c r="O99" s="75"/>
      <c r="P99" s="406"/>
      <c r="Q99" s="179"/>
      <c r="R99" s="179"/>
      <c r="S99" s="179"/>
      <c r="T99" s="500" t="e">
        <f>_xlfn.XLOOKUP(H99,#REF!,#REF!,0,0)</f>
        <v>#REF!</v>
      </c>
    </row>
    <row r="100" spans="1:20" x14ac:dyDescent="0.4">
      <c r="A100" s="75" t="s">
        <v>753</v>
      </c>
      <c r="B100" s="75"/>
      <c r="C100" s="75"/>
      <c r="D100" s="75"/>
      <c r="E100" s="78"/>
      <c r="F100" s="75" t="s">
        <v>10</v>
      </c>
      <c r="G100" s="78" t="s">
        <v>670</v>
      </c>
      <c r="H100" s="78">
        <v>43271</v>
      </c>
      <c r="I100" s="75" t="s">
        <v>803</v>
      </c>
      <c r="J100" s="75">
        <v>68483</v>
      </c>
      <c r="K100" s="78" t="s">
        <v>804</v>
      </c>
      <c r="L100" s="75" t="s">
        <v>570</v>
      </c>
      <c r="M100" s="75"/>
      <c r="N100" s="75" t="s">
        <v>570</v>
      </c>
      <c r="O100" s="75"/>
      <c r="P100" s="406"/>
      <c r="Q100" s="179"/>
      <c r="R100" s="179"/>
      <c r="S100" s="179"/>
      <c r="T100" s="500" t="e">
        <f>_xlfn.XLOOKUP(H100,#REF!,#REF!,0,0)</f>
        <v>#REF!</v>
      </c>
    </row>
    <row r="101" spans="1:20" x14ac:dyDescent="0.4">
      <c r="A101" s="75" t="s">
        <v>753</v>
      </c>
      <c r="B101" s="75"/>
      <c r="C101" s="75"/>
      <c r="D101" s="75"/>
      <c r="E101" s="78"/>
      <c r="F101" s="75" t="s">
        <v>10</v>
      </c>
      <c r="G101" s="78" t="s">
        <v>670</v>
      </c>
      <c r="H101" s="78">
        <v>43271</v>
      </c>
      <c r="I101" s="75" t="s">
        <v>671</v>
      </c>
      <c r="J101" s="75">
        <v>68484</v>
      </c>
      <c r="K101" s="78" t="s">
        <v>805</v>
      </c>
      <c r="L101" s="75" t="s">
        <v>570</v>
      </c>
      <c r="M101" s="75"/>
      <c r="N101" s="75" t="s">
        <v>570</v>
      </c>
      <c r="O101" s="75"/>
      <c r="P101" s="406"/>
      <c r="Q101" s="179"/>
      <c r="R101" s="179"/>
      <c r="S101" s="179"/>
      <c r="T101" s="500" t="e">
        <f>_xlfn.XLOOKUP(H101,#REF!,#REF!,0,0)</f>
        <v>#REF!</v>
      </c>
    </row>
    <row r="102" spans="1:20" x14ac:dyDescent="0.4">
      <c r="A102" s="75" t="s">
        <v>753</v>
      </c>
      <c r="B102" s="75" t="s">
        <v>806</v>
      </c>
      <c r="C102" s="75"/>
      <c r="D102" s="75"/>
      <c r="E102" s="78"/>
      <c r="F102" s="75" t="s">
        <v>10</v>
      </c>
      <c r="G102" s="78" t="s">
        <v>670</v>
      </c>
      <c r="H102" s="78">
        <v>43271</v>
      </c>
      <c r="I102" s="75" t="s">
        <v>807</v>
      </c>
      <c r="J102" s="75">
        <v>68485</v>
      </c>
      <c r="K102" s="78" t="s">
        <v>808</v>
      </c>
      <c r="L102" s="75" t="s">
        <v>570</v>
      </c>
      <c r="M102" s="75"/>
      <c r="N102" s="75" t="s">
        <v>570</v>
      </c>
      <c r="O102" s="75"/>
      <c r="P102" s="406"/>
      <c r="Q102" s="179"/>
      <c r="R102" s="179"/>
      <c r="S102" s="179"/>
      <c r="T102" s="500" t="e">
        <f>_xlfn.XLOOKUP(H102,#REF!,#REF!,0,0)</f>
        <v>#REF!</v>
      </c>
    </row>
    <row r="103" spans="1:20" x14ac:dyDescent="0.4">
      <c r="A103" s="75" t="s">
        <v>753</v>
      </c>
      <c r="B103" s="75" t="s">
        <v>806</v>
      </c>
      <c r="C103" s="75"/>
      <c r="D103" s="75"/>
      <c r="E103" s="78"/>
      <c r="F103" s="75" t="s">
        <v>10</v>
      </c>
      <c r="G103" s="78" t="s">
        <v>670</v>
      </c>
      <c r="H103" s="78">
        <v>43271</v>
      </c>
      <c r="I103" s="75" t="s">
        <v>809</v>
      </c>
      <c r="J103" s="75">
        <v>68486</v>
      </c>
      <c r="K103" s="78" t="s">
        <v>810</v>
      </c>
      <c r="L103" s="75" t="s">
        <v>570</v>
      </c>
      <c r="M103" s="75"/>
      <c r="N103" s="75" t="s">
        <v>570</v>
      </c>
      <c r="O103" s="75"/>
      <c r="P103" s="406"/>
      <c r="Q103" s="179"/>
      <c r="R103" s="179"/>
      <c r="S103" s="179"/>
      <c r="T103" s="500" t="e">
        <f>_xlfn.XLOOKUP(H103,#REF!,#REF!,0,0)</f>
        <v>#REF!</v>
      </c>
    </row>
    <row r="104" spans="1:20" x14ac:dyDescent="0.4">
      <c r="A104" s="75" t="s">
        <v>753</v>
      </c>
      <c r="B104" s="75" t="s">
        <v>806</v>
      </c>
      <c r="C104" s="75"/>
      <c r="D104" s="75"/>
      <c r="E104" s="78"/>
      <c r="F104" s="75" t="s">
        <v>10</v>
      </c>
      <c r="G104" s="78" t="s">
        <v>670</v>
      </c>
      <c r="H104" s="78">
        <v>43271</v>
      </c>
      <c r="I104" s="75" t="s">
        <v>811</v>
      </c>
      <c r="J104" s="75">
        <v>68487</v>
      </c>
      <c r="K104" s="78" t="s">
        <v>812</v>
      </c>
      <c r="L104" s="75" t="s">
        <v>570</v>
      </c>
      <c r="M104" s="75"/>
      <c r="N104" s="75" t="s">
        <v>570</v>
      </c>
      <c r="O104" s="75"/>
      <c r="P104" s="406"/>
      <c r="Q104" s="179"/>
      <c r="R104" s="179"/>
      <c r="S104" s="179"/>
      <c r="T104" s="500" t="e">
        <f>_xlfn.XLOOKUP(H104,#REF!,#REF!,0,0)</f>
        <v>#REF!</v>
      </c>
    </row>
    <row r="105" spans="1:20" x14ac:dyDescent="0.4">
      <c r="A105" s="90" t="s">
        <v>753</v>
      </c>
      <c r="B105" s="90"/>
      <c r="C105" s="90"/>
      <c r="D105" s="90"/>
      <c r="E105" s="91"/>
      <c r="F105" s="90" t="s">
        <v>567</v>
      </c>
      <c r="G105" s="91" t="s">
        <v>813</v>
      </c>
      <c r="H105" s="91">
        <v>43489</v>
      </c>
      <c r="I105" s="90" t="s">
        <v>814</v>
      </c>
      <c r="J105" s="95">
        <v>69082</v>
      </c>
      <c r="K105" s="91" t="s">
        <v>815</v>
      </c>
      <c r="L105" s="90" t="s">
        <v>570</v>
      </c>
      <c r="M105" s="90"/>
      <c r="N105" s="90"/>
      <c r="O105" s="90" t="s">
        <v>570</v>
      </c>
      <c r="P105" s="418"/>
      <c r="Q105" s="179"/>
      <c r="R105" s="179"/>
      <c r="S105" s="179"/>
      <c r="T105" s="500" t="e">
        <f>_xlfn.XLOOKUP(H105,#REF!,#REF!,0,0)</f>
        <v>#REF!</v>
      </c>
    </row>
    <row r="106" spans="1:20" x14ac:dyDescent="0.4">
      <c r="A106" s="90" t="s">
        <v>753</v>
      </c>
      <c r="B106" s="90" t="s">
        <v>816</v>
      </c>
      <c r="C106" s="90"/>
      <c r="D106" s="90"/>
      <c r="E106" s="91"/>
      <c r="F106" s="90" t="s">
        <v>567</v>
      </c>
      <c r="G106" s="91" t="s">
        <v>813</v>
      </c>
      <c r="H106" s="91">
        <v>43489</v>
      </c>
      <c r="I106" s="90" t="s">
        <v>162</v>
      </c>
      <c r="J106" s="95">
        <v>69083</v>
      </c>
      <c r="K106" s="91"/>
      <c r="L106" s="90"/>
      <c r="M106" s="90"/>
      <c r="N106" s="90"/>
      <c r="O106" s="90"/>
      <c r="P106" s="418"/>
      <c r="Q106" s="179"/>
      <c r="R106" s="179"/>
      <c r="S106" s="179"/>
      <c r="T106" s="500" t="e">
        <f>_xlfn.XLOOKUP(H106,#REF!,#REF!,0,0)</f>
        <v>#REF!</v>
      </c>
    </row>
    <row r="107" spans="1:20" s="301" customFormat="1" x14ac:dyDescent="0.4">
      <c r="A107" s="222"/>
      <c r="B107" s="222"/>
      <c r="C107" s="222"/>
      <c r="D107" s="222" t="s">
        <v>817</v>
      </c>
      <c r="E107" s="223" t="s">
        <v>818</v>
      </c>
      <c r="F107" s="222">
        <v>42887</v>
      </c>
      <c r="G107" s="223" t="s">
        <v>819</v>
      </c>
      <c r="H107" s="223">
        <v>64936</v>
      </c>
      <c r="I107" s="222" t="s">
        <v>820</v>
      </c>
      <c r="J107" s="222"/>
      <c r="K107" s="223"/>
      <c r="L107" s="222" t="s">
        <v>570</v>
      </c>
      <c r="M107" s="222"/>
      <c r="N107" s="222" t="s">
        <v>570</v>
      </c>
      <c r="O107" s="222"/>
      <c r="P107" s="421"/>
      <c r="Q107" s="169"/>
      <c r="R107" s="169"/>
      <c r="S107" s="169"/>
      <c r="T107" s="512" t="e">
        <f>_xlfn.XLOOKUP(H107,#REF!,#REF!,0,0)</f>
        <v>#REF!</v>
      </c>
    </row>
    <row r="108" spans="1:20" s="301" customFormat="1" x14ac:dyDescent="0.4">
      <c r="A108" s="222"/>
      <c r="B108" s="222"/>
      <c r="C108" s="222"/>
      <c r="D108" s="222" t="s">
        <v>817</v>
      </c>
      <c r="E108" s="223" t="s">
        <v>818</v>
      </c>
      <c r="F108" s="222">
        <v>42887</v>
      </c>
      <c r="G108" s="223" t="s">
        <v>821</v>
      </c>
      <c r="H108" s="223">
        <v>64937</v>
      </c>
      <c r="I108" s="222" t="s">
        <v>822</v>
      </c>
      <c r="J108" s="222"/>
      <c r="K108" s="223"/>
      <c r="L108" s="222" t="s">
        <v>570</v>
      </c>
      <c r="M108" s="222"/>
      <c r="N108" s="222" t="s">
        <v>570</v>
      </c>
      <c r="O108" s="222"/>
      <c r="P108" s="421"/>
      <c r="Q108" s="169"/>
      <c r="R108" s="169"/>
      <c r="S108" s="169"/>
      <c r="T108" s="512" t="e">
        <f>_xlfn.XLOOKUP(H108,#REF!,#REF!,0,0)</f>
        <v>#REF!</v>
      </c>
    </row>
    <row r="109" spans="1:20" x14ac:dyDescent="0.4">
      <c r="A109" s="129" t="s">
        <v>753</v>
      </c>
      <c r="B109" s="142" t="s">
        <v>823</v>
      </c>
      <c r="C109" s="142"/>
      <c r="D109" s="129" t="s">
        <v>767</v>
      </c>
      <c r="E109" s="130"/>
      <c r="F109" s="129" t="s">
        <v>567</v>
      </c>
      <c r="G109" s="130" t="s">
        <v>824</v>
      </c>
      <c r="H109" s="130">
        <v>43052</v>
      </c>
      <c r="I109" s="129" t="s">
        <v>825</v>
      </c>
      <c r="J109" s="129">
        <v>65482</v>
      </c>
      <c r="K109" s="130" t="s">
        <v>826</v>
      </c>
      <c r="L109" s="129" t="s">
        <v>570</v>
      </c>
      <c r="M109" s="129" t="s">
        <v>570</v>
      </c>
      <c r="N109" s="129" t="s">
        <v>570</v>
      </c>
      <c r="O109" s="129" t="s">
        <v>570</v>
      </c>
      <c r="P109" s="409" t="s">
        <v>570</v>
      </c>
      <c r="Q109" s="179"/>
      <c r="R109" s="179"/>
      <c r="S109" s="179"/>
      <c r="T109" s="500" t="e">
        <f>_xlfn.XLOOKUP(H109,#REF!,#REF!,0,0)</f>
        <v>#REF!</v>
      </c>
    </row>
    <row r="110" spans="1:20" s="301" customFormat="1" x14ac:dyDescent="0.4">
      <c r="A110" s="66"/>
      <c r="B110" s="96" t="s">
        <v>827</v>
      </c>
      <c r="C110" s="96"/>
      <c r="D110" s="96" t="s">
        <v>828</v>
      </c>
      <c r="E110" s="15"/>
      <c r="F110" s="169" t="s">
        <v>567</v>
      </c>
      <c r="G110" s="15" t="s">
        <v>829</v>
      </c>
      <c r="H110" s="15">
        <v>42559</v>
      </c>
      <c r="I110" s="66" t="s">
        <v>830</v>
      </c>
      <c r="J110" s="97">
        <v>63921</v>
      </c>
      <c r="K110" s="15" t="s">
        <v>831</v>
      </c>
      <c r="L110" s="66"/>
      <c r="M110" s="66"/>
      <c r="N110" s="66"/>
      <c r="O110" s="66"/>
      <c r="P110" s="421"/>
      <c r="Q110" s="169"/>
      <c r="R110" s="169"/>
      <c r="S110" s="169"/>
      <c r="T110" s="512" t="e">
        <f>_xlfn.XLOOKUP(H110,#REF!,#REF!,0,0)</f>
        <v>#REF!</v>
      </c>
    </row>
    <row r="111" spans="1:20" s="301" customFormat="1" x14ac:dyDescent="0.4">
      <c r="A111" s="66"/>
      <c r="B111" s="96" t="s">
        <v>832</v>
      </c>
      <c r="C111" s="96"/>
      <c r="D111" s="96" t="s">
        <v>828</v>
      </c>
      <c r="E111" s="15"/>
      <c r="F111" s="169" t="s">
        <v>567</v>
      </c>
      <c r="G111" s="15" t="s">
        <v>829</v>
      </c>
      <c r="H111" s="15">
        <v>42559</v>
      </c>
      <c r="I111" s="66" t="s">
        <v>833</v>
      </c>
      <c r="J111" s="97">
        <v>63927</v>
      </c>
      <c r="K111" s="15" t="s">
        <v>834</v>
      </c>
      <c r="L111" s="66"/>
      <c r="M111" s="66"/>
      <c r="N111" s="66"/>
      <c r="O111" s="66"/>
      <c r="P111" s="421"/>
      <c r="Q111" s="169"/>
      <c r="R111" s="169"/>
      <c r="S111" s="169"/>
      <c r="T111" s="512" t="e">
        <f>_xlfn.XLOOKUP(H111,#REF!,#REF!,0,0)</f>
        <v>#REF!</v>
      </c>
    </row>
    <row r="112" spans="1:20" s="301" customFormat="1" x14ac:dyDescent="0.4">
      <c r="A112" s="98" t="s">
        <v>570</v>
      </c>
      <c r="B112" s="99" t="s">
        <v>835</v>
      </c>
      <c r="C112" s="99"/>
      <c r="D112" s="99"/>
      <c r="E112" s="100"/>
      <c r="F112" s="98" t="s">
        <v>567</v>
      </c>
      <c r="G112" s="100" t="s">
        <v>829</v>
      </c>
      <c r="H112" s="100">
        <v>42559</v>
      </c>
      <c r="I112" s="98" t="s">
        <v>836</v>
      </c>
      <c r="J112" s="101">
        <v>63924</v>
      </c>
      <c r="K112" s="100" t="s">
        <v>837</v>
      </c>
      <c r="L112" s="98" t="s">
        <v>570</v>
      </c>
      <c r="M112" s="98" t="s">
        <v>570</v>
      </c>
      <c r="N112" s="102" t="s">
        <v>570</v>
      </c>
      <c r="O112" s="102" t="s">
        <v>570</v>
      </c>
      <c r="P112" s="419"/>
      <c r="Q112" s="188"/>
      <c r="R112" s="188"/>
      <c r="S112" s="188"/>
      <c r="T112" s="512" t="e">
        <f>_xlfn.XLOOKUP(H112,#REF!,#REF!,0,0)</f>
        <v>#REF!</v>
      </c>
    </row>
    <row r="113" spans="1:20" x14ac:dyDescent="0.4">
      <c r="A113" s="66"/>
      <c r="B113" s="96"/>
      <c r="C113" s="96"/>
      <c r="D113" s="96"/>
      <c r="E113" s="276"/>
      <c r="F113" s="187" t="s">
        <v>567</v>
      </c>
      <c r="G113" s="15" t="s">
        <v>838</v>
      </c>
      <c r="H113" s="15">
        <v>41837</v>
      </c>
      <c r="I113" s="521" t="s">
        <v>839</v>
      </c>
      <c r="J113" s="103">
        <v>59046</v>
      </c>
      <c r="K113" s="15" t="s">
        <v>840</v>
      </c>
      <c r="L113" s="66" t="s">
        <v>570</v>
      </c>
      <c r="M113" s="66"/>
      <c r="N113" s="66"/>
      <c r="O113" s="66"/>
      <c r="P113" s="421"/>
      <c r="Q113" s="179"/>
      <c r="R113" s="179"/>
      <c r="S113" s="179"/>
      <c r="T113" s="500" t="e">
        <f>_xlfn.XLOOKUP(H113,#REF!,#REF!,0,0)</f>
        <v>#REF!</v>
      </c>
    </row>
    <row r="114" spans="1:20" x14ac:dyDescent="0.4">
      <c r="A114" s="66"/>
      <c r="B114" s="96"/>
      <c r="C114" s="96"/>
      <c r="D114" s="96"/>
      <c r="E114" s="276"/>
      <c r="F114" s="187" t="s">
        <v>567</v>
      </c>
      <c r="G114" s="104" t="s">
        <v>841</v>
      </c>
      <c r="H114" s="104">
        <v>42397</v>
      </c>
      <c r="I114" s="521" t="s">
        <v>842</v>
      </c>
      <c r="J114" s="103">
        <v>60939</v>
      </c>
      <c r="K114" s="15" t="s">
        <v>843</v>
      </c>
      <c r="L114" s="66" t="s">
        <v>570</v>
      </c>
      <c r="M114" s="66"/>
      <c r="N114" s="66"/>
      <c r="O114" s="66"/>
      <c r="P114" s="421"/>
      <c r="Q114" s="179"/>
      <c r="R114" s="179"/>
      <c r="S114" s="179"/>
      <c r="T114" s="500" t="e">
        <f>_xlfn.XLOOKUP(H114,#REF!,#REF!,0,0)</f>
        <v>#REF!</v>
      </c>
    </row>
    <row r="115" spans="1:20" x14ac:dyDescent="0.4">
      <c r="A115" s="66"/>
      <c r="B115" s="66"/>
      <c r="C115" s="66"/>
      <c r="D115" s="66"/>
      <c r="E115" s="15"/>
      <c r="F115" s="187" t="s">
        <v>567</v>
      </c>
      <c r="G115" s="15" t="s">
        <v>838</v>
      </c>
      <c r="H115" s="15">
        <v>41837</v>
      </c>
      <c r="I115" s="66" t="s">
        <v>844</v>
      </c>
      <c r="J115" s="66">
        <v>59048</v>
      </c>
      <c r="K115" s="15" t="s">
        <v>845</v>
      </c>
      <c r="L115" s="66"/>
      <c r="M115" s="66"/>
      <c r="N115" s="66"/>
      <c r="O115" s="66"/>
      <c r="P115" s="421"/>
      <c r="Q115" s="179"/>
      <c r="R115" s="179"/>
      <c r="S115" s="179"/>
      <c r="T115" s="500" t="e">
        <f>_xlfn.XLOOKUP(H115,#REF!,#REF!,0,0)</f>
        <v>#REF!</v>
      </c>
    </row>
    <row r="116" spans="1:20" x14ac:dyDescent="0.4">
      <c r="A116" s="66"/>
      <c r="B116" s="66"/>
      <c r="C116" s="66"/>
      <c r="D116" s="66"/>
      <c r="E116" s="15"/>
      <c r="F116" s="169" t="s">
        <v>567</v>
      </c>
      <c r="G116" s="15" t="s">
        <v>838</v>
      </c>
      <c r="H116" s="15">
        <v>42256</v>
      </c>
      <c r="I116" s="66" t="s">
        <v>846</v>
      </c>
      <c r="J116" s="66">
        <v>60190</v>
      </c>
      <c r="K116" s="15" t="s">
        <v>847</v>
      </c>
      <c r="L116" s="66"/>
      <c r="M116" s="66"/>
      <c r="N116" s="66"/>
      <c r="O116" s="66"/>
      <c r="P116" s="421"/>
      <c r="Q116" s="179"/>
      <c r="R116" s="179"/>
      <c r="S116" s="179"/>
      <c r="T116" s="500" t="e">
        <f>_xlfn.XLOOKUP(H116,#REF!,#REF!,0,0)</f>
        <v>#REF!</v>
      </c>
    </row>
    <row r="117" spans="1:20" s="301" customFormat="1" x14ac:dyDescent="0.4">
      <c r="A117" s="66"/>
      <c r="B117" s="66"/>
      <c r="C117" s="66"/>
      <c r="D117" s="66"/>
      <c r="E117" s="15"/>
      <c r="F117" s="169" t="s">
        <v>567</v>
      </c>
      <c r="G117" s="15" t="s">
        <v>838</v>
      </c>
      <c r="H117" s="15">
        <v>42256</v>
      </c>
      <c r="I117" s="66" t="s">
        <v>848</v>
      </c>
      <c r="J117" s="66">
        <v>60207</v>
      </c>
      <c r="K117" s="15" t="s">
        <v>849</v>
      </c>
      <c r="L117" s="66"/>
      <c r="M117" s="66"/>
      <c r="N117" s="66"/>
      <c r="O117" s="66"/>
      <c r="P117" s="421"/>
      <c r="Q117" s="169"/>
      <c r="R117" s="169"/>
      <c r="S117" s="169"/>
      <c r="T117" s="512" t="e">
        <f>_xlfn.XLOOKUP(H117,#REF!,#REF!,0,0)</f>
        <v>#REF!</v>
      </c>
    </row>
    <row r="118" spans="1:20" s="301" customFormat="1" x14ac:dyDescent="0.4">
      <c r="A118" s="66"/>
      <c r="B118" s="66"/>
      <c r="C118" s="66"/>
      <c r="D118" s="66"/>
      <c r="E118" s="15"/>
      <c r="F118" s="187" t="s">
        <v>567</v>
      </c>
      <c r="G118" s="104" t="s">
        <v>838</v>
      </c>
      <c r="H118" s="15">
        <v>41837</v>
      </c>
      <c r="I118" s="105" t="s">
        <v>850</v>
      </c>
      <c r="J118" s="105">
        <v>59050</v>
      </c>
      <c r="K118" s="15" t="s">
        <v>851</v>
      </c>
      <c r="L118" s="66"/>
      <c r="M118" s="66"/>
      <c r="N118" s="66"/>
      <c r="O118" s="66"/>
      <c r="P118" s="421"/>
      <c r="Q118" s="169"/>
      <c r="R118" s="169"/>
      <c r="S118" s="169"/>
      <c r="T118" s="512" t="e">
        <f>_xlfn.XLOOKUP(H118,#REF!,#REF!,0,0)</f>
        <v>#REF!</v>
      </c>
    </row>
    <row r="119" spans="1:20" x14ac:dyDescent="0.4">
      <c r="A119" s="83" t="s">
        <v>852</v>
      </c>
      <c r="B119" s="83" t="s">
        <v>853</v>
      </c>
      <c r="C119" s="83"/>
      <c r="D119" s="111" t="s">
        <v>693</v>
      </c>
      <c r="E119" s="125" t="s">
        <v>567</v>
      </c>
      <c r="F119" s="190" t="s">
        <v>190</v>
      </c>
      <c r="G119" s="125">
        <v>43728</v>
      </c>
      <c r="H119" s="125" t="s">
        <v>203</v>
      </c>
      <c r="I119" s="111">
        <v>69425</v>
      </c>
      <c r="J119" s="111" t="s">
        <v>854</v>
      </c>
      <c r="K119" s="125" t="s">
        <v>364</v>
      </c>
      <c r="L119" s="111" t="s">
        <v>364</v>
      </c>
      <c r="M119" s="111" t="s">
        <v>364</v>
      </c>
      <c r="N119" s="111" t="s">
        <v>364</v>
      </c>
      <c r="O119" s="111" t="s">
        <v>364</v>
      </c>
      <c r="P119" s="423" t="s">
        <v>855</v>
      </c>
      <c r="Q119" s="179"/>
      <c r="R119" s="179"/>
      <c r="S119" s="179"/>
      <c r="T119" s="500" t="e">
        <f>_xlfn.XLOOKUP(H119,#REF!,#REF!,0,0)</f>
        <v>#REF!</v>
      </c>
    </row>
    <row r="120" spans="1:20" x14ac:dyDescent="0.4">
      <c r="A120" s="83" t="s">
        <v>856</v>
      </c>
      <c r="B120" s="83" t="s">
        <v>857</v>
      </c>
      <c r="C120" s="83"/>
      <c r="D120" s="111" t="s">
        <v>718</v>
      </c>
      <c r="E120" s="125" t="s">
        <v>567</v>
      </c>
      <c r="F120" s="190" t="s">
        <v>190</v>
      </c>
      <c r="G120" s="125">
        <v>43728</v>
      </c>
      <c r="H120" s="125" t="s">
        <v>202</v>
      </c>
      <c r="I120" s="111">
        <v>69424</v>
      </c>
      <c r="J120" s="111" t="s">
        <v>858</v>
      </c>
      <c r="K120" s="125" t="s">
        <v>364</v>
      </c>
      <c r="L120" s="111" t="s">
        <v>570</v>
      </c>
      <c r="M120" s="111" t="s">
        <v>570</v>
      </c>
      <c r="N120" s="111" t="s">
        <v>570</v>
      </c>
      <c r="O120" s="111" t="s">
        <v>364</v>
      </c>
      <c r="P120" s="423" t="s">
        <v>859</v>
      </c>
      <c r="Q120" s="179"/>
      <c r="R120" s="179"/>
      <c r="S120" s="179"/>
      <c r="T120" s="500" t="e">
        <f>_xlfn.XLOOKUP(H120,#REF!,#REF!,0,0)</f>
        <v>#REF!</v>
      </c>
    </row>
    <row r="121" spans="1:20" x14ac:dyDescent="0.4">
      <c r="A121" s="129" t="s">
        <v>860</v>
      </c>
      <c r="B121" s="129" t="s">
        <v>861</v>
      </c>
      <c r="C121" s="129"/>
      <c r="D121" s="129" t="s">
        <v>693</v>
      </c>
      <c r="E121" s="130" t="s">
        <v>567</v>
      </c>
      <c r="F121" s="129" t="s">
        <v>190</v>
      </c>
      <c r="G121" s="125">
        <v>43728</v>
      </c>
      <c r="H121" s="130" t="s">
        <v>862</v>
      </c>
      <c r="I121" s="129">
        <v>69416</v>
      </c>
      <c r="J121" s="129" t="s">
        <v>863</v>
      </c>
      <c r="K121" s="130" t="s">
        <v>570</v>
      </c>
      <c r="L121" s="129" t="s">
        <v>864</v>
      </c>
      <c r="M121" s="129" t="s">
        <v>570</v>
      </c>
      <c r="N121" s="129" t="s">
        <v>570</v>
      </c>
      <c r="O121" s="129" t="s">
        <v>570</v>
      </c>
      <c r="P121" s="409" t="s">
        <v>865</v>
      </c>
      <c r="Q121" s="179"/>
      <c r="R121" s="179"/>
      <c r="S121" s="179"/>
      <c r="T121" s="500" t="e">
        <f>_xlfn.XLOOKUP(H121,#REF!,#REF!,0,0)</f>
        <v>#REF!</v>
      </c>
    </row>
    <row r="122" spans="1:20" x14ac:dyDescent="0.4">
      <c r="A122" s="129" t="s">
        <v>866</v>
      </c>
      <c r="B122" s="142" t="s">
        <v>867</v>
      </c>
      <c r="C122" s="142"/>
      <c r="D122" s="129" t="s">
        <v>693</v>
      </c>
      <c r="E122" s="130" t="s">
        <v>567</v>
      </c>
      <c r="F122" s="129" t="s">
        <v>190</v>
      </c>
      <c r="G122" s="130">
        <v>43728</v>
      </c>
      <c r="H122" s="130" t="s">
        <v>868</v>
      </c>
      <c r="I122" s="129">
        <v>69415</v>
      </c>
      <c r="J122" s="129" t="s">
        <v>869</v>
      </c>
      <c r="K122" s="130" t="s">
        <v>570</v>
      </c>
      <c r="L122" s="129" t="s">
        <v>570</v>
      </c>
      <c r="M122" s="129" t="s">
        <v>570</v>
      </c>
      <c r="N122" s="129" t="s">
        <v>570</v>
      </c>
      <c r="O122" s="129" t="s">
        <v>570</v>
      </c>
      <c r="P122" s="409" t="s">
        <v>870</v>
      </c>
      <c r="Q122" s="179"/>
      <c r="R122" s="179"/>
      <c r="S122" s="179"/>
      <c r="T122" s="500" t="e">
        <f>_xlfn.XLOOKUP(H122,#REF!,#REF!,0,0)</f>
        <v>#REF!</v>
      </c>
    </row>
    <row r="123" spans="1:20" x14ac:dyDescent="0.4">
      <c r="A123" s="129" t="s">
        <v>871</v>
      </c>
      <c r="B123" s="142" t="s">
        <v>872</v>
      </c>
      <c r="C123" s="142"/>
      <c r="D123" s="129" t="s">
        <v>693</v>
      </c>
      <c r="E123" s="130" t="s">
        <v>567</v>
      </c>
      <c r="F123" s="129" t="s">
        <v>190</v>
      </c>
      <c r="G123" s="130">
        <v>43728</v>
      </c>
      <c r="H123" s="130" t="s">
        <v>189</v>
      </c>
      <c r="I123" s="129">
        <v>69391</v>
      </c>
      <c r="J123" s="129" t="s">
        <v>873</v>
      </c>
      <c r="K123" s="130" t="s">
        <v>364</v>
      </c>
      <c r="L123" s="129" t="s">
        <v>364</v>
      </c>
      <c r="M123" s="129" t="s">
        <v>364</v>
      </c>
      <c r="N123" s="129" t="s">
        <v>364</v>
      </c>
      <c r="O123" s="129" t="s">
        <v>364</v>
      </c>
      <c r="P123" s="409"/>
      <c r="Q123" s="179"/>
      <c r="R123" s="179"/>
      <c r="S123" s="179"/>
      <c r="T123" s="500" t="e">
        <f>_xlfn.XLOOKUP(H123,#REF!,#REF!,0,0)</f>
        <v>#REF!</v>
      </c>
    </row>
    <row r="124" spans="1:20" x14ac:dyDescent="0.4">
      <c r="A124" s="156" t="s">
        <v>874</v>
      </c>
      <c r="B124" s="148" t="s">
        <v>875</v>
      </c>
      <c r="C124" s="148"/>
      <c r="D124" s="28" t="s">
        <v>704</v>
      </c>
      <c r="E124" s="106" t="s">
        <v>567</v>
      </c>
      <c r="F124" s="189" t="s">
        <v>190</v>
      </c>
      <c r="G124" s="106">
        <v>43728</v>
      </c>
      <c r="H124" s="106" t="s">
        <v>876</v>
      </c>
      <c r="I124" s="28">
        <v>69390</v>
      </c>
      <c r="J124" s="28" t="s">
        <v>877</v>
      </c>
      <c r="K124" s="106" t="s">
        <v>864</v>
      </c>
      <c r="L124" s="28" t="s">
        <v>864</v>
      </c>
      <c r="M124" s="28" t="s">
        <v>864</v>
      </c>
      <c r="N124" s="28" t="s">
        <v>864</v>
      </c>
      <c r="O124" s="28" t="s">
        <v>864</v>
      </c>
      <c r="P124" s="424" t="s">
        <v>878</v>
      </c>
      <c r="Q124" s="179"/>
      <c r="R124" s="179"/>
      <c r="S124" s="179"/>
      <c r="T124" s="500" t="e">
        <f>_xlfn.XLOOKUP(H124,#REF!,#REF!,0,0)</f>
        <v>#REF!</v>
      </c>
    </row>
    <row r="125" spans="1:20" x14ac:dyDescent="0.4">
      <c r="A125" s="238" t="s">
        <v>879</v>
      </c>
      <c r="B125" s="239" t="s">
        <v>880</v>
      </c>
      <c r="C125" s="239"/>
      <c r="D125" s="238" t="s">
        <v>718</v>
      </c>
      <c r="E125" s="240" t="s">
        <v>567</v>
      </c>
      <c r="F125" s="238" t="s">
        <v>190</v>
      </c>
      <c r="G125" s="240">
        <v>43728</v>
      </c>
      <c r="H125" s="240" t="s">
        <v>200</v>
      </c>
      <c r="I125" s="238">
        <v>69417</v>
      </c>
      <c r="J125" s="238" t="s">
        <v>881</v>
      </c>
      <c r="K125" s="240" t="s">
        <v>570</v>
      </c>
      <c r="L125" s="238" t="s">
        <v>570</v>
      </c>
      <c r="M125" s="238" t="s">
        <v>882</v>
      </c>
      <c r="N125" s="238" t="s">
        <v>570</v>
      </c>
      <c r="O125" s="238" t="s">
        <v>570</v>
      </c>
      <c r="P125" s="425" t="s">
        <v>883</v>
      </c>
      <c r="Q125" s="179"/>
      <c r="R125" s="179"/>
      <c r="S125" s="179"/>
      <c r="T125" s="500" t="e">
        <f>_xlfn.XLOOKUP(H125,#REF!,#REF!,0,0)</f>
        <v>#REF!</v>
      </c>
    </row>
    <row r="126" spans="1:20" x14ac:dyDescent="0.4">
      <c r="A126" s="118" t="s">
        <v>884</v>
      </c>
      <c r="B126" s="118" t="s">
        <v>885</v>
      </c>
      <c r="C126" s="118"/>
      <c r="D126" s="118" t="s">
        <v>704</v>
      </c>
      <c r="E126" s="119" t="s">
        <v>567</v>
      </c>
      <c r="F126" s="120" t="s">
        <v>190</v>
      </c>
      <c r="G126" s="125">
        <v>43728</v>
      </c>
      <c r="H126" s="119" t="s">
        <v>201</v>
      </c>
      <c r="I126" s="118">
        <v>69423</v>
      </c>
      <c r="J126" s="118" t="s">
        <v>886</v>
      </c>
      <c r="K126" s="119" t="s">
        <v>364</v>
      </c>
      <c r="L126" s="118" t="s">
        <v>570</v>
      </c>
      <c r="M126" s="118" t="s">
        <v>570</v>
      </c>
      <c r="N126" s="118" t="s">
        <v>570</v>
      </c>
      <c r="O126" s="118" t="s">
        <v>364</v>
      </c>
      <c r="P126" s="426">
        <v>43768</v>
      </c>
      <c r="Q126" s="179"/>
      <c r="R126" s="179"/>
      <c r="S126" s="179"/>
      <c r="T126" s="500" t="e">
        <f>_xlfn.XLOOKUP(H126,#REF!,#REF!,0,0)</f>
        <v>#REF!</v>
      </c>
    </row>
    <row r="127" spans="1:20" x14ac:dyDescent="0.4">
      <c r="A127" s="110" t="s">
        <v>887</v>
      </c>
      <c r="B127" s="107" t="s">
        <v>888</v>
      </c>
      <c r="C127" s="107"/>
      <c r="D127" s="118" t="s">
        <v>704</v>
      </c>
      <c r="E127" s="205" t="s">
        <v>567</v>
      </c>
      <c r="F127" s="109" t="s">
        <v>190</v>
      </c>
      <c r="G127" s="125">
        <v>43728</v>
      </c>
      <c r="H127" s="205" t="s">
        <v>889</v>
      </c>
      <c r="I127" s="109">
        <v>69421</v>
      </c>
      <c r="J127" s="109" t="s">
        <v>890</v>
      </c>
      <c r="K127" s="205" t="s">
        <v>570</v>
      </c>
      <c r="L127" s="109" t="s">
        <v>891</v>
      </c>
      <c r="M127" s="109" t="s">
        <v>570</v>
      </c>
      <c r="N127" s="109" t="s">
        <v>570</v>
      </c>
      <c r="O127" s="109" t="s">
        <v>570</v>
      </c>
      <c r="P127" s="427">
        <v>43768</v>
      </c>
      <c r="Q127" s="179"/>
      <c r="R127" s="179"/>
      <c r="S127" s="179"/>
      <c r="T127" s="500" t="e">
        <f>_xlfn.XLOOKUP(H127,#REF!,#REF!,0,0)</f>
        <v>#REF!</v>
      </c>
    </row>
    <row r="128" spans="1:20" x14ac:dyDescent="0.4">
      <c r="A128" s="129" t="s">
        <v>892</v>
      </c>
      <c r="B128" s="142" t="s">
        <v>893</v>
      </c>
      <c r="C128" s="142"/>
      <c r="D128" s="129" t="s">
        <v>693</v>
      </c>
      <c r="E128" s="130" t="s">
        <v>567</v>
      </c>
      <c r="F128" s="129" t="s">
        <v>190</v>
      </c>
      <c r="G128" s="125">
        <v>43728</v>
      </c>
      <c r="H128" s="130" t="s">
        <v>191</v>
      </c>
      <c r="I128" s="129">
        <v>69392</v>
      </c>
      <c r="J128" s="129" t="s">
        <v>894</v>
      </c>
      <c r="K128" s="130" t="s">
        <v>570</v>
      </c>
      <c r="L128" s="129" t="s">
        <v>570</v>
      </c>
      <c r="M128" s="142" t="s">
        <v>570</v>
      </c>
      <c r="N128" s="142" t="s">
        <v>570</v>
      </c>
      <c r="O128" s="142" t="s">
        <v>570</v>
      </c>
      <c r="P128" s="428" t="s">
        <v>895</v>
      </c>
      <c r="Q128" s="179"/>
      <c r="R128" s="179"/>
      <c r="S128" s="179"/>
      <c r="T128" s="500" t="e">
        <f>_xlfn.XLOOKUP(H128,#REF!,#REF!,0,0)</f>
        <v>#REF!</v>
      </c>
    </row>
    <row r="129" spans="1:20" x14ac:dyDescent="0.4">
      <c r="A129" s="110" t="s">
        <v>896</v>
      </c>
      <c r="B129" s="107" t="s">
        <v>897</v>
      </c>
      <c r="C129" s="107"/>
      <c r="D129" s="76" t="s">
        <v>704</v>
      </c>
      <c r="E129" s="77" t="s">
        <v>567</v>
      </c>
      <c r="F129" s="108" t="s">
        <v>190</v>
      </c>
      <c r="G129" s="77">
        <v>43728</v>
      </c>
      <c r="H129" s="77" t="s">
        <v>330</v>
      </c>
      <c r="I129" s="76">
        <v>69414</v>
      </c>
      <c r="J129" s="108" t="s">
        <v>898</v>
      </c>
      <c r="K129" s="77" t="s">
        <v>570</v>
      </c>
      <c r="L129" s="76" t="s">
        <v>570</v>
      </c>
      <c r="M129" s="76" t="s">
        <v>570</v>
      </c>
      <c r="N129" s="76" t="s">
        <v>570</v>
      </c>
      <c r="O129" s="76" t="s">
        <v>570</v>
      </c>
      <c r="P129" s="429"/>
      <c r="Q129" s="179"/>
      <c r="R129" s="179"/>
      <c r="S129" s="179"/>
      <c r="T129" s="500" t="e">
        <f>_xlfn.XLOOKUP(H129,#REF!,#REF!,0,0)</f>
        <v>#REF!</v>
      </c>
    </row>
    <row r="130" spans="1:20" x14ac:dyDescent="0.4">
      <c r="A130" s="109" t="s">
        <v>899</v>
      </c>
      <c r="B130" s="110" t="s">
        <v>900</v>
      </c>
      <c r="C130" s="110"/>
      <c r="D130" s="109" t="s">
        <v>704</v>
      </c>
      <c r="E130" s="205" t="s">
        <v>567</v>
      </c>
      <c r="F130" s="109" t="s">
        <v>190</v>
      </c>
      <c r="G130" s="205">
        <v>43728</v>
      </c>
      <c r="H130" s="205" t="s">
        <v>901</v>
      </c>
      <c r="I130" s="109">
        <v>69428</v>
      </c>
      <c r="J130" s="109" t="s">
        <v>902</v>
      </c>
      <c r="K130" s="205" t="s">
        <v>570</v>
      </c>
      <c r="L130" s="109" t="s">
        <v>570</v>
      </c>
      <c r="M130" s="109" t="s">
        <v>570</v>
      </c>
      <c r="N130" s="109" t="s">
        <v>570</v>
      </c>
      <c r="O130" s="109" t="s">
        <v>364</v>
      </c>
      <c r="P130" s="430" t="s">
        <v>903</v>
      </c>
      <c r="Q130" s="179"/>
      <c r="R130" s="179"/>
      <c r="S130" s="179"/>
      <c r="T130" s="500" t="e">
        <f>_xlfn.XLOOKUP(H130,#REF!,#REF!,0,0)</f>
        <v>#REF!</v>
      </c>
    </row>
    <row r="131" spans="1:20" x14ac:dyDescent="0.4">
      <c r="A131" s="111" t="s">
        <v>904</v>
      </c>
      <c r="B131" s="83" t="s">
        <v>905</v>
      </c>
      <c r="C131" s="83"/>
      <c r="D131" s="111" t="s">
        <v>693</v>
      </c>
      <c r="E131" s="125" t="s">
        <v>567</v>
      </c>
      <c r="F131" s="190" t="s">
        <v>190</v>
      </c>
      <c r="G131" s="125">
        <v>43728</v>
      </c>
      <c r="H131" s="125" t="s">
        <v>906</v>
      </c>
      <c r="I131" s="111">
        <v>69427</v>
      </c>
      <c r="J131" s="111" t="s">
        <v>907</v>
      </c>
      <c r="K131" s="125" t="s">
        <v>570</v>
      </c>
      <c r="L131" s="111" t="s">
        <v>570</v>
      </c>
      <c r="M131" s="111" t="s">
        <v>570</v>
      </c>
      <c r="N131" s="111" t="s">
        <v>570</v>
      </c>
      <c r="O131" s="111" t="s">
        <v>570</v>
      </c>
      <c r="P131" s="423"/>
      <c r="Q131" s="179"/>
      <c r="R131" s="179"/>
      <c r="S131" s="179"/>
      <c r="T131" s="500" t="e">
        <f>_xlfn.XLOOKUP(H131,#REF!,#REF!,0,0)</f>
        <v>#REF!</v>
      </c>
    </row>
    <row r="132" spans="1:20" x14ac:dyDescent="0.4">
      <c r="A132" s="111" t="s">
        <v>908</v>
      </c>
      <c r="B132" s="83" t="s">
        <v>909</v>
      </c>
      <c r="C132" s="83"/>
      <c r="D132" s="111" t="s">
        <v>704</v>
      </c>
      <c r="E132" s="125" t="s">
        <v>567</v>
      </c>
      <c r="F132" s="190" t="s">
        <v>910</v>
      </c>
      <c r="G132" s="125">
        <v>43728</v>
      </c>
      <c r="H132" s="125" t="s">
        <v>195</v>
      </c>
      <c r="I132" s="111">
        <v>69402</v>
      </c>
      <c r="J132" s="111" t="s">
        <v>911</v>
      </c>
      <c r="K132" s="125" t="s">
        <v>570</v>
      </c>
      <c r="L132" s="111" t="s">
        <v>570</v>
      </c>
      <c r="M132" s="111" t="s">
        <v>570</v>
      </c>
      <c r="N132" s="111" t="s">
        <v>570</v>
      </c>
      <c r="O132" s="111" t="s">
        <v>570</v>
      </c>
      <c r="P132" s="431">
        <v>43790</v>
      </c>
      <c r="Q132" s="179"/>
      <c r="R132" s="179"/>
      <c r="S132" s="179"/>
      <c r="T132" s="500" t="e">
        <f>_xlfn.XLOOKUP(H132,#REF!,#REF!,0,0)</f>
        <v>#REF!</v>
      </c>
    </row>
    <row r="133" spans="1:20" x14ac:dyDescent="0.4">
      <c r="A133" s="129" t="s">
        <v>912</v>
      </c>
      <c r="B133" s="129" t="s">
        <v>913</v>
      </c>
      <c r="C133" s="129"/>
      <c r="D133" s="129" t="s">
        <v>718</v>
      </c>
      <c r="E133" s="130" t="s">
        <v>567</v>
      </c>
      <c r="F133" s="129" t="s">
        <v>190</v>
      </c>
      <c r="G133" s="130">
        <v>43728</v>
      </c>
      <c r="H133" s="130" t="s">
        <v>192</v>
      </c>
      <c r="I133" s="129">
        <v>69393</v>
      </c>
      <c r="J133" s="129" t="s">
        <v>914</v>
      </c>
      <c r="K133" s="130" t="s">
        <v>570</v>
      </c>
      <c r="L133" s="129" t="s">
        <v>570</v>
      </c>
      <c r="M133" s="129" t="s">
        <v>570</v>
      </c>
      <c r="N133" s="129" t="s">
        <v>570</v>
      </c>
      <c r="O133" s="142" t="s">
        <v>570</v>
      </c>
      <c r="P133" s="409"/>
      <c r="Q133" s="179"/>
      <c r="R133" s="179"/>
      <c r="S133" s="179"/>
      <c r="T133" s="500" t="e">
        <f>_xlfn.XLOOKUP(H133,#REF!,#REF!,0,0)</f>
        <v>#REF!</v>
      </c>
    </row>
    <row r="134" spans="1:20" x14ac:dyDescent="0.4">
      <c r="A134" s="76" t="s">
        <v>915</v>
      </c>
      <c r="B134" s="107" t="s">
        <v>916</v>
      </c>
      <c r="C134" s="107"/>
      <c r="D134" s="76"/>
      <c r="E134" s="77" t="s">
        <v>567</v>
      </c>
      <c r="F134" s="108" t="s">
        <v>190</v>
      </c>
      <c r="G134" s="77">
        <v>43728</v>
      </c>
      <c r="H134" s="77" t="s">
        <v>917</v>
      </c>
      <c r="I134" s="76">
        <v>69404</v>
      </c>
      <c r="J134" s="76" t="s">
        <v>918</v>
      </c>
      <c r="K134" s="77" t="s">
        <v>570</v>
      </c>
      <c r="L134" s="76" t="s">
        <v>570</v>
      </c>
      <c r="M134" s="76" t="s">
        <v>570</v>
      </c>
      <c r="N134" s="76"/>
      <c r="O134" s="76" t="s">
        <v>570</v>
      </c>
      <c r="P134" s="429" t="s">
        <v>919</v>
      </c>
      <c r="Q134" s="179"/>
      <c r="R134" s="179"/>
      <c r="S134" s="179"/>
      <c r="T134" s="500" t="e">
        <f>_xlfn.XLOOKUP(H134,#REF!,#REF!,0,0)</f>
        <v>#REF!</v>
      </c>
    </row>
    <row r="135" spans="1:20" x14ac:dyDescent="0.4">
      <c r="A135" s="129" t="s">
        <v>920</v>
      </c>
      <c r="B135" s="142" t="s">
        <v>921</v>
      </c>
      <c r="C135" s="142"/>
      <c r="D135" s="129" t="s">
        <v>718</v>
      </c>
      <c r="E135" s="130" t="s">
        <v>567</v>
      </c>
      <c r="F135" s="129" t="s">
        <v>190</v>
      </c>
      <c r="G135" s="130">
        <v>43728</v>
      </c>
      <c r="H135" s="130" t="s">
        <v>204</v>
      </c>
      <c r="I135" s="129">
        <v>69430</v>
      </c>
      <c r="J135" s="129" t="s">
        <v>922</v>
      </c>
      <c r="K135" s="130" t="s">
        <v>570</v>
      </c>
      <c r="L135" s="129" t="s">
        <v>570</v>
      </c>
      <c r="M135" s="129" t="s">
        <v>570</v>
      </c>
      <c r="N135" s="129" t="s">
        <v>570</v>
      </c>
      <c r="O135" s="129" t="s">
        <v>570</v>
      </c>
      <c r="P135" s="429" t="s">
        <v>923</v>
      </c>
      <c r="Q135" s="179"/>
      <c r="R135" s="179"/>
      <c r="S135" s="179"/>
      <c r="T135" s="500" t="e">
        <f>_xlfn.XLOOKUP(H135,#REF!,#REF!,0,0)</f>
        <v>#REF!</v>
      </c>
    </row>
    <row r="136" spans="1:20" x14ac:dyDescent="0.4">
      <c r="A136" s="83" t="s">
        <v>924</v>
      </c>
      <c r="B136" s="83" t="s">
        <v>925</v>
      </c>
      <c r="C136" s="83"/>
      <c r="D136" s="111" t="s">
        <v>693</v>
      </c>
      <c r="E136" s="125" t="s">
        <v>567</v>
      </c>
      <c r="F136" s="190" t="s">
        <v>190</v>
      </c>
      <c r="G136" s="125">
        <v>43728</v>
      </c>
      <c r="H136" s="125" t="s">
        <v>926</v>
      </c>
      <c r="I136" s="111">
        <v>69420</v>
      </c>
      <c r="J136" s="111" t="s">
        <v>927</v>
      </c>
      <c r="K136" s="125" t="s">
        <v>570</v>
      </c>
      <c r="L136" s="111" t="s">
        <v>570</v>
      </c>
      <c r="M136" s="111" t="s">
        <v>570</v>
      </c>
      <c r="N136" s="111" t="s">
        <v>570</v>
      </c>
      <c r="O136" s="111" t="s">
        <v>570</v>
      </c>
      <c r="P136" s="423"/>
      <c r="Q136" s="179"/>
      <c r="R136" s="179"/>
      <c r="S136" s="179"/>
      <c r="T136" s="500" t="e">
        <f>_xlfn.XLOOKUP(H136,#REF!,#REF!,0,0)</f>
        <v>#REF!</v>
      </c>
    </row>
    <row r="137" spans="1:20" x14ac:dyDescent="0.4">
      <c r="A137" s="111" t="s">
        <v>928</v>
      </c>
      <c r="B137" s="83" t="s">
        <v>929</v>
      </c>
      <c r="C137" s="83"/>
      <c r="D137" s="111" t="s">
        <v>693</v>
      </c>
      <c r="E137" s="125" t="s">
        <v>567</v>
      </c>
      <c r="F137" s="190" t="s">
        <v>190</v>
      </c>
      <c r="G137" s="125">
        <v>43728</v>
      </c>
      <c r="H137" s="125" t="s">
        <v>930</v>
      </c>
      <c r="I137" s="111">
        <v>69429</v>
      </c>
      <c r="J137" s="111" t="s">
        <v>931</v>
      </c>
      <c r="K137" s="125" t="s">
        <v>570</v>
      </c>
      <c r="L137" s="111" t="s">
        <v>570</v>
      </c>
      <c r="M137" s="111" t="s">
        <v>570</v>
      </c>
      <c r="N137" s="111" t="s">
        <v>570</v>
      </c>
      <c r="O137" s="111" t="s">
        <v>570</v>
      </c>
      <c r="P137" s="423"/>
      <c r="Q137" s="179"/>
      <c r="R137" s="179"/>
      <c r="S137" s="179"/>
      <c r="T137" s="500" t="e">
        <f>_xlfn.XLOOKUP(H137,#REF!,#REF!,0,0)</f>
        <v>#REF!</v>
      </c>
    </row>
    <row r="138" spans="1:20" x14ac:dyDescent="0.4">
      <c r="A138" s="76" t="s">
        <v>932</v>
      </c>
      <c r="B138" s="107" t="s">
        <v>933</v>
      </c>
      <c r="C138" s="107"/>
      <c r="D138" s="76" t="s">
        <v>704</v>
      </c>
      <c r="E138" s="77" t="s">
        <v>567</v>
      </c>
      <c r="F138" s="108" t="s">
        <v>190</v>
      </c>
      <c r="G138" s="77">
        <v>43728</v>
      </c>
      <c r="H138" s="77" t="s">
        <v>934</v>
      </c>
      <c r="I138" s="76">
        <v>69405</v>
      </c>
      <c r="J138" s="76" t="s">
        <v>935</v>
      </c>
      <c r="K138" s="77" t="s">
        <v>570</v>
      </c>
      <c r="L138" s="76" t="s">
        <v>570</v>
      </c>
      <c r="M138" s="76" t="s">
        <v>570</v>
      </c>
      <c r="N138" s="76" t="s">
        <v>570</v>
      </c>
      <c r="O138" s="76" t="s">
        <v>570</v>
      </c>
      <c r="P138" s="429"/>
      <c r="Q138" s="179"/>
      <c r="R138" s="179"/>
      <c r="S138" s="179"/>
      <c r="T138" s="500" t="e">
        <f>_xlfn.XLOOKUP(H138,#REF!,#REF!,0,0)</f>
        <v>#REF!</v>
      </c>
    </row>
    <row r="139" spans="1:20" x14ac:dyDescent="0.4">
      <c r="A139" s="76" t="s">
        <v>936</v>
      </c>
      <c r="B139" s="107" t="s">
        <v>937</v>
      </c>
      <c r="C139" s="107"/>
      <c r="D139" s="76" t="s">
        <v>704</v>
      </c>
      <c r="E139" s="77" t="s">
        <v>567</v>
      </c>
      <c r="F139" s="108" t="s">
        <v>190</v>
      </c>
      <c r="G139" s="77">
        <v>43728</v>
      </c>
      <c r="H139" s="77" t="s">
        <v>193</v>
      </c>
      <c r="I139" s="76">
        <v>69394</v>
      </c>
      <c r="J139" s="76" t="s">
        <v>938</v>
      </c>
      <c r="K139" s="77" t="s">
        <v>570</v>
      </c>
      <c r="L139" s="76" t="s">
        <v>570</v>
      </c>
      <c r="M139" s="76" t="s">
        <v>570</v>
      </c>
      <c r="N139" s="76" t="s">
        <v>570</v>
      </c>
      <c r="O139" s="107" t="s">
        <v>570</v>
      </c>
      <c r="P139" s="429"/>
      <c r="Q139" s="179"/>
      <c r="R139" s="179"/>
      <c r="S139" s="179"/>
      <c r="T139" s="500" t="e">
        <f>_xlfn.XLOOKUP(H139,#REF!,#REF!,0,0)</f>
        <v>#REF!</v>
      </c>
    </row>
    <row r="140" spans="1:20" x14ac:dyDescent="0.4">
      <c r="A140" s="112" t="s">
        <v>565</v>
      </c>
      <c r="B140" s="113" t="s">
        <v>593</v>
      </c>
      <c r="C140" s="113"/>
      <c r="D140" s="114" t="s">
        <v>939</v>
      </c>
      <c r="E140" s="115" t="s">
        <v>567</v>
      </c>
      <c r="F140" s="116" t="s">
        <v>190</v>
      </c>
      <c r="G140" s="115">
        <v>43728</v>
      </c>
      <c r="H140" s="115" t="s">
        <v>568</v>
      </c>
      <c r="I140" s="112">
        <v>69400</v>
      </c>
      <c r="J140" s="112" t="s">
        <v>569</v>
      </c>
      <c r="K140" s="115" t="s">
        <v>570</v>
      </c>
      <c r="L140" s="112" t="s">
        <v>570</v>
      </c>
      <c r="M140" s="112" t="s">
        <v>570</v>
      </c>
      <c r="N140" s="112" t="s">
        <v>570</v>
      </c>
      <c r="O140" s="117" t="s">
        <v>570</v>
      </c>
      <c r="P140" s="432">
        <v>43815</v>
      </c>
      <c r="Q140" s="179"/>
      <c r="R140" s="179"/>
      <c r="S140" s="179"/>
      <c r="T140" s="500" t="e">
        <f>_xlfn.XLOOKUP(H140,#REF!,#REF!,0,0)</f>
        <v>#REF!</v>
      </c>
    </row>
    <row r="141" spans="1:20" x14ac:dyDescent="0.4">
      <c r="A141" s="76" t="s">
        <v>574</v>
      </c>
      <c r="B141" s="107" t="s">
        <v>598</v>
      </c>
      <c r="C141" s="107"/>
      <c r="D141" s="76"/>
      <c r="E141" s="77" t="s">
        <v>567</v>
      </c>
      <c r="F141" s="108" t="s">
        <v>190</v>
      </c>
      <c r="G141" s="77">
        <v>43728</v>
      </c>
      <c r="H141" s="77" t="s">
        <v>196</v>
      </c>
      <c r="I141" s="76">
        <v>69403</v>
      </c>
      <c r="J141" s="76" t="s">
        <v>576</v>
      </c>
      <c r="K141" s="77" t="s">
        <v>570</v>
      </c>
      <c r="L141" s="76" t="s">
        <v>570</v>
      </c>
      <c r="M141" s="76" t="s">
        <v>570</v>
      </c>
      <c r="N141" s="76" t="s">
        <v>570</v>
      </c>
      <c r="O141" s="76" t="s">
        <v>570</v>
      </c>
      <c r="P141" s="410">
        <v>43815</v>
      </c>
      <c r="Q141" s="179"/>
      <c r="R141" s="179"/>
      <c r="S141" s="179"/>
      <c r="T141" s="500" t="e">
        <f>_xlfn.XLOOKUP(H141,#REF!,#REF!,0,0)</f>
        <v>#REF!</v>
      </c>
    </row>
    <row r="142" spans="1:20" x14ac:dyDescent="0.4">
      <c r="A142" s="76" t="s">
        <v>577</v>
      </c>
      <c r="B142" s="76" t="s">
        <v>578</v>
      </c>
      <c r="C142" s="76"/>
      <c r="D142" s="76" t="s">
        <v>704</v>
      </c>
      <c r="E142" s="77" t="s">
        <v>567</v>
      </c>
      <c r="F142" s="108" t="s">
        <v>190</v>
      </c>
      <c r="G142" s="77">
        <v>43728</v>
      </c>
      <c r="H142" s="77" t="s">
        <v>197</v>
      </c>
      <c r="I142" s="76">
        <v>69406</v>
      </c>
      <c r="J142" s="76" t="s">
        <v>579</v>
      </c>
      <c r="K142" s="77" t="s">
        <v>570</v>
      </c>
      <c r="L142" s="76" t="s">
        <v>570</v>
      </c>
      <c r="M142" s="76" t="s">
        <v>570</v>
      </c>
      <c r="N142" s="76" t="s">
        <v>570</v>
      </c>
      <c r="O142" s="76" t="s">
        <v>570</v>
      </c>
      <c r="P142" s="429" t="s">
        <v>940</v>
      </c>
      <c r="Q142" s="179"/>
      <c r="R142" s="179"/>
      <c r="S142" s="179"/>
      <c r="T142" s="500" t="e">
        <f>_xlfn.XLOOKUP(H142,#REF!,#REF!,0,0)</f>
        <v>#REF!</v>
      </c>
    </row>
    <row r="143" spans="1:20" x14ac:dyDescent="0.4">
      <c r="A143" s="83" t="s">
        <v>609</v>
      </c>
      <c r="B143" s="83" t="s">
        <v>610</v>
      </c>
      <c r="C143" s="83"/>
      <c r="D143" s="111" t="s">
        <v>693</v>
      </c>
      <c r="E143" s="125" t="s">
        <v>567</v>
      </c>
      <c r="F143" s="190" t="s">
        <v>190</v>
      </c>
      <c r="G143" s="125">
        <v>43728</v>
      </c>
      <c r="H143" s="125" t="s">
        <v>611</v>
      </c>
      <c r="I143" s="111">
        <v>69422</v>
      </c>
      <c r="J143" s="111" t="s">
        <v>612</v>
      </c>
      <c r="K143" s="125" t="s">
        <v>364</v>
      </c>
      <c r="L143" s="111" t="s">
        <v>364</v>
      </c>
      <c r="M143" s="111" t="s">
        <v>364</v>
      </c>
      <c r="N143" s="111" t="s">
        <v>364</v>
      </c>
      <c r="O143" s="111" t="s">
        <v>364</v>
      </c>
      <c r="P143" s="423"/>
      <c r="Q143" s="179"/>
      <c r="R143" s="179"/>
      <c r="S143" s="179"/>
      <c r="T143" s="500" t="e">
        <f>_xlfn.XLOOKUP(H143,#REF!,#REF!,0,0)</f>
        <v>#REF!</v>
      </c>
    </row>
    <row r="144" spans="1:20" x14ac:dyDescent="0.4">
      <c r="A144" s="156" t="s">
        <v>580</v>
      </c>
      <c r="B144" s="110" t="s">
        <v>941</v>
      </c>
      <c r="C144" s="110"/>
      <c r="D144" s="156" t="s">
        <v>704</v>
      </c>
      <c r="E144" s="158" t="s">
        <v>567</v>
      </c>
      <c r="F144" s="156" t="s">
        <v>190</v>
      </c>
      <c r="G144" s="125">
        <v>43728</v>
      </c>
      <c r="H144" s="158" t="s">
        <v>582</v>
      </c>
      <c r="I144" s="156">
        <v>69407</v>
      </c>
      <c r="J144" s="156" t="s">
        <v>583</v>
      </c>
      <c r="K144" s="158" t="s">
        <v>570</v>
      </c>
      <c r="L144" s="156" t="s">
        <v>570</v>
      </c>
      <c r="M144" s="156" t="s">
        <v>570</v>
      </c>
      <c r="N144" s="156" t="s">
        <v>570</v>
      </c>
      <c r="O144" s="156" t="s">
        <v>570</v>
      </c>
      <c r="P144" s="433" t="s">
        <v>942</v>
      </c>
      <c r="Q144" s="179"/>
      <c r="R144" s="179"/>
      <c r="S144" s="179"/>
      <c r="T144" s="500" t="e">
        <f>_xlfn.XLOOKUP(H144,#REF!,#REF!,0,0)</f>
        <v>#REF!</v>
      </c>
    </row>
    <row r="145" spans="1:20" x14ac:dyDescent="0.4">
      <c r="A145" s="156" t="s">
        <v>584</v>
      </c>
      <c r="B145" s="114" t="s">
        <v>614</v>
      </c>
      <c r="C145" s="114"/>
      <c r="D145" s="156" t="s">
        <v>704</v>
      </c>
      <c r="E145" s="158" t="s">
        <v>567</v>
      </c>
      <c r="F145" s="156" t="s">
        <v>190</v>
      </c>
      <c r="G145" s="125">
        <v>43728</v>
      </c>
      <c r="H145" s="158" t="s">
        <v>586</v>
      </c>
      <c r="I145" s="156">
        <v>69408</v>
      </c>
      <c r="J145" s="156" t="s">
        <v>587</v>
      </c>
      <c r="K145" s="158" t="s">
        <v>570</v>
      </c>
      <c r="L145" s="156" t="s">
        <v>570</v>
      </c>
      <c r="M145" s="156" t="s">
        <v>570</v>
      </c>
      <c r="N145" s="156" t="s">
        <v>570</v>
      </c>
      <c r="O145" s="156" t="s">
        <v>570</v>
      </c>
      <c r="P145" s="433" t="s">
        <v>711</v>
      </c>
      <c r="Q145" s="179"/>
      <c r="R145" s="179"/>
      <c r="S145" s="179"/>
      <c r="T145" s="500" t="e">
        <f>_xlfn.XLOOKUP(H145,#REF!,#REF!,0,0)</f>
        <v>#REF!</v>
      </c>
    </row>
    <row r="146" spans="1:20" x14ac:dyDescent="0.4">
      <c r="A146" s="76" t="s">
        <v>943</v>
      </c>
      <c r="B146" s="152" t="s">
        <v>944</v>
      </c>
      <c r="C146" s="152"/>
      <c r="D146" s="76" t="s">
        <v>704</v>
      </c>
      <c r="E146" s="77" t="s">
        <v>567</v>
      </c>
      <c r="F146" s="108" t="s">
        <v>190</v>
      </c>
      <c r="G146" s="77">
        <v>43728</v>
      </c>
      <c r="H146" s="77" t="s">
        <v>205</v>
      </c>
      <c r="I146" s="76">
        <v>69432</v>
      </c>
      <c r="J146" s="76" t="s">
        <v>945</v>
      </c>
      <c r="K146" s="77" t="s">
        <v>570</v>
      </c>
      <c r="L146" s="76" t="s">
        <v>570</v>
      </c>
      <c r="M146" s="109" t="s">
        <v>570</v>
      </c>
      <c r="N146" s="156" t="s">
        <v>570</v>
      </c>
      <c r="O146" s="109" t="s">
        <v>364</v>
      </c>
      <c r="P146" s="429" t="s">
        <v>946</v>
      </c>
      <c r="Q146" s="179"/>
      <c r="R146" s="179"/>
      <c r="S146" s="179"/>
      <c r="T146" s="500" t="e">
        <f>_xlfn.XLOOKUP(H146,#REF!,#REF!,0,0)</f>
        <v>#REF!</v>
      </c>
    </row>
    <row r="147" spans="1:20" x14ac:dyDescent="0.4">
      <c r="A147" s="76" t="s">
        <v>947</v>
      </c>
      <c r="B147" s="107" t="s">
        <v>948</v>
      </c>
      <c r="C147" s="107"/>
      <c r="D147" s="76" t="s">
        <v>704</v>
      </c>
      <c r="E147" s="77" t="s">
        <v>567</v>
      </c>
      <c r="F147" s="108" t="s">
        <v>190</v>
      </c>
      <c r="G147" s="77">
        <v>43728</v>
      </c>
      <c r="H147" s="77" t="s">
        <v>206</v>
      </c>
      <c r="I147" s="76">
        <v>69433</v>
      </c>
      <c r="J147" s="76" t="s">
        <v>949</v>
      </c>
      <c r="K147" s="77" t="s">
        <v>570</v>
      </c>
      <c r="L147" s="76" t="s">
        <v>570</v>
      </c>
      <c r="M147" s="109" t="s">
        <v>570</v>
      </c>
      <c r="N147" s="156" t="s">
        <v>570</v>
      </c>
      <c r="O147" s="109" t="s">
        <v>364</v>
      </c>
      <c r="P147" s="429" t="s">
        <v>950</v>
      </c>
      <c r="Q147" s="179"/>
      <c r="R147" s="179"/>
      <c r="S147" s="179"/>
      <c r="T147" s="500" t="e">
        <f>_xlfn.XLOOKUP(H147,#REF!,#REF!,0,0)</f>
        <v>#REF!</v>
      </c>
    </row>
    <row r="148" spans="1:20" x14ac:dyDescent="0.4">
      <c r="A148" s="76" t="s">
        <v>951</v>
      </c>
      <c r="B148" s="76" t="s">
        <v>952</v>
      </c>
      <c r="C148" s="76"/>
      <c r="D148" s="76" t="s">
        <v>704</v>
      </c>
      <c r="E148" s="77" t="s">
        <v>567</v>
      </c>
      <c r="F148" s="108" t="s">
        <v>190</v>
      </c>
      <c r="G148" s="77">
        <v>43728</v>
      </c>
      <c r="H148" s="77" t="s">
        <v>207</v>
      </c>
      <c r="I148" s="76">
        <v>69434</v>
      </c>
      <c r="J148" s="76" t="s">
        <v>953</v>
      </c>
      <c r="K148" s="77" t="s">
        <v>570</v>
      </c>
      <c r="L148" s="76" t="s">
        <v>570</v>
      </c>
      <c r="M148" s="109" t="s">
        <v>570</v>
      </c>
      <c r="N148" s="156" t="s">
        <v>570</v>
      </c>
      <c r="O148" s="109" t="s">
        <v>364</v>
      </c>
      <c r="P148" s="433" t="s">
        <v>954</v>
      </c>
      <c r="Q148" s="179"/>
      <c r="R148" s="179"/>
      <c r="S148" s="179"/>
      <c r="T148" s="500" t="e">
        <f>_xlfn.XLOOKUP(H148,#REF!,#REF!,0,0)</f>
        <v>#REF!</v>
      </c>
    </row>
    <row r="149" spans="1:20" x14ac:dyDescent="0.4">
      <c r="A149" s="76" t="s">
        <v>597</v>
      </c>
      <c r="B149" s="76" t="s">
        <v>955</v>
      </c>
      <c r="C149" s="76"/>
      <c r="D149" s="76" t="s">
        <v>704</v>
      </c>
      <c r="E149" s="77" t="s">
        <v>567</v>
      </c>
      <c r="F149" s="108" t="s">
        <v>190</v>
      </c>
      <c r="G149" s="77">
        <v>43728</v>
      </c>
      <c r="H149" s="77" t="s">
        <v>599</v>
      </c>
      <c r="I149" s="76">
        <v>69412</v>
      </c>
      <c r="J149" s="77" t="s">
        <v>600</v>
      </c>
      <c r="K149" s="77" t="s">
        <v>570</v>
      </c>
      <c r="L149" s="77" t="s">
        <v>570</v>
      </c>
      <c r="M149" s="77" t="s">
        <v>570</v>
      </c>
      <c r="N149" s="77"/>
      <c r="O149" s="77" t="s">
        <v>570</v>
      </c>
      <c r="P149" s="434" t="s">
        <v>956</v>
      </c>
      <c r="Q149" s="179"/>
      <c r="R149" s="179"/>
      <c r="S149" s="179"/>
      <c r="T149" s="500" t="e">
        <f>_xlfn.XLOOKUP(H149,#REF!,#REF!,0,0)</f>
        <v>#REF!</v>
      </c>
    </row>
    <row r="150" spans="1:20" x14ac:dyDescent="0.4">
      <c r="A150" s="76" t="s">
        <v>601</v>
      </c>
      <c r="B150" s="76" t="s">
        <v>957</v>
      </c>
      <c r="C150" s="76"/>
      <c r="D150" s="76" t="s">
        <v>704</v>
      </c>
      <c r="E150" s="77" t="s">
        <v>567</v>
      </c>
      <c r="F150" s="108" t="s">
        <v>190</v>
      </c>
      <c r="G150" s="77">
        <v>43728</v>
      </c>
      <c r="H150" s="77" t="s">
        <v>603</v>
      </c>
      <c r="I150" s="76">
        <v>69413</v>
      </c>
      <c r="J150" s="77" t="s">
        <v>604</v>
      </c>
      <c r="K150" s="77" t="s">
        <v>570</v>
      </c>
      <c r="L150" s="77" t="s">
        <v>570</v>
      </c>
      <c r="M150" s="77" t="s">
        <v>570</v>
      </c>
      <c r="N150" s="77"/>
      <c r="O150" s="77" t="s">
        <v>570</v>
      </c>
      <c r="P150" s="434" t="s">
        <v>958</v>
      </c>
      <c r="Q150" s="179"/>
      <c r="R150" s="179"/>
      <c r="S150" s="179"/>
      <c r="T150" s="500" t="e">
        <f>_xlfn.XLOOKUP(H150,#REF!,#REF!,0,0)</f>
        <v>#REF!</v>
      </c>
    </row>
    <row r="151" spans="1:20" x14ac:dyDescent="0.4">
      <c r="A151" s="76" t="s">
        <v>959</v>
      </c>
      <c r="B151" s="109" t="s">
        <v>960</v>
      </c>
      <c r="C151" s="109"/>
      <c r="D151" s="109" t="s">
        <v>704</v>
      </c>
      <c r="E151" s="205" t="s">
        <v>567</v>
      </c>
      <c r="F151" s="109" t="s">
        <v>190</v>
      </c>
      <c r="G151" s="205">
        <v>43728</v>
      </c>
      <c r="H151" s="205" t="s">
        <v>626</v>
      </c>
      <c r="I151" s="109">
        <v>69444</v>
      </c>
      <c r="J151" s="109" t="s">
        <v>961</v>
      </c>
      <c r="K151" s="205" t="s">
        <v>364</v>
      </c>
      <c r="L151" s="109"/>
      <c r="M151" s="110" t="s">
        <v>570</v>
      </c>
      <c r="N151" s="110" t="s">
        <v>570</v>
      </c>
      <c r="O151" s="110" t="s">
        <v>570</v>
      </c>
      <c r="P151" s="435"/>
      <c r="Q151" s="179"/>
      <c r="R151" s="179"/>
      <c r="S151" s="179"/>
      <c r="T151" s="500" t="e">
        <f>_xlfn.XLOOKUP(H151,#REF!,#REF!,0,0)</f>
        <v>#REF!</v>
      </c>
    </row>
    <row r="152" spans="1:20" x14ac:dyDescent="0.4">
      <c r="A152" s="76" t="s">
        <v>592</v>
      </c>
      <c r="B152" s="76" t="s">
        <v>575</v>
      </c>
      <c r="C152" s="76"/>
      <c r="D152" s="76" t="s">
        <v>704</v>
      </c>
      <c r="E152" s="77" t="s">
        <v>567</v>
      </c>
      <c r="F152" s="108" t="s">
        <v>190</v>
      </c>
      <c r="G152" s="77">
        <v>43728</v>
      </c>
      <c r="H152" s="77" t="s">
        <v>198</v>
      </c>
      <c r="I152" s="76">
        <v>69410</v>
      </c>
      <c r="J152" s="76" t="s">
        <v>594</v>
      </c>
      <c r="K152" s="77" t="s">
        <v>570</v>
      </c>
      <c r="L152" s="76" t="s">
        <v>570</v>
      </c>
      <c r="M152" s="76" t="s">
        <v>570</v>
      </c>
      <c r="N152" s="76"/>
      <c r="O152" s="76" t="s">
        <v>570</v>
      </c>
      <c r="P152" s="429" t="s">
        <v>962</v>
      </c>
      <c r="Q152" s="179"/>
      <c r="R152" s="179"/>
      <c r="S152" s="179"/>
      <c r="T152" s="500" t="e">
        <f>_xlfn.XLOOKUP(H152,#REF!,#REF!,0,0)</f>
        <v>#REF!</v>
      </c>
    </row>
    <row r="153" spans="1:20" x14ac:dyDescent="0.4">
      <c r="A153" s="117" t="s">
        <v>605</v>
      </c>
      <c r="B153" s="117" t="s">
        <v>963</v>
      </c>
      <c r="C153" s="117"/>
      <c r="D153" s="241" t="s">
        <v>693</v>
      </c>
      <c r="E153" s="243" t="s">
        <v>567</v>
      </c>
      <c r="F153" s="242" t="s">
        <v>190</v>
      </c>
      <c r="G153" s="243">
        <v>43728</v>
      </c>
      <c r="H153" s="243" t="s">
        <v>607</v>
      </c>
      <c r="I153" s="241">
        <v>69419</v>
      </c>
      <c r="J153" s="241" t="s">
        <v>608</v>
      </c>
      <c r="K153" s="243" t="s">
        <v>570</v>
      </c>
      <c r="L153" s="241"/>
      <c r="M153" s="241" t="s">
        <v>570</v>
      </c>
      <c r="N153" s="241"/>
      <c r="O153" s="241" t="s">
        <v>570</v>
      </c>
      <c r="P153" s="436" t="s">
        <v>964</v>
      </c>
      <c r="Q153" s="179"/>
      <c r="R153" s="179"/>
      <c r="S153" s="179"/>
      <c r="T153" s="500" t="e">
        <f>_xlfn.XLOOKUP(H153,#REF!,#REF!,0,0)</f>
        <v>#REF!</v>
      </c>
    </row>
    <row r="154" spans="1:20" x14ac:dyDescent="0.4">
      <c r="A154" s="76" t="s">
        <v>571</v>
      </c>
      <c r="B154" s="76" t="s">
        <v>965</v>
      </c>
      <c r="C154" s="76"/>
      <c r="D154" s="76" t="s">
        <v>704</v>
      </c>
      <c r="E154" s="77" t="s">
        <v>567</v>
      </c>
      <c r="F154" s="108" t="s">
        <v>190</v>
      </c>
      <c r="G154" s="77">
        <v>43728</v>
      </c>
      <c r="H154" s="77" t="s">
        <v>194</v>
      </c>
      <c r="I154" s="76">
        <v>69401</v>
      </c>
      <c r="J154" s="76" t="s">
        <v>573</v>
      </c>
      <c r="K154" s="77" t="s">
        <v>570</v>
      </c>
      <c r="L154" s="76" t="s">
        <v>570</v>
      </c>
      <c r="M154" s="76" t="s">
        <v>570</v>
      </c>
      <c r="N154" s="76" t="s">
        <v>570</v>
      </c>
      <c r="O154" s="76" t="s">
        <v>570</v>
      </c>
      <c r="P154" s="437" t="s">
        <v>966</v>
      </c>
      <c r="Q154" s="179"/>
      <c r="R154" s="179"/>
      <c r="S154" s="179"/>
      <c r="T154" s="500" t="e">
        <f>_xlfn.XLOOKUP(H154,#REF!,#REF!,0,0)</f>
        <v>#REF!</v>
      </c>
    </row>
    <row r="155" spans="1:20" x14ac:dyDescent="0.4">
      <c r="A155" s="118" t="s">
        <v>588</v>
      </c>
      <c r="B155" s="234" t="s">
        <v>967</v>
      </c>
      <c r="C155" s="234"/>
      <c r="D155" s="118" t="s">
        <v>704</v>
      </c>
      <c r="E155" s="119" t="s">
        <v>567</v>
      </c>
      <c r="F155" s="120" t="s">
        <v>190</v>
      </c>
      <c r="G155" s="119">
        <v>43728</v>
      </c>
      <c r="H155" s="119" t="s">
        <v>590</v>
      </c>
      <c r="I155" s="118">
        <v>69409</v>
      </c>
      <c r="J155" s="118" t="s">
        <v>591</v>
      </c>
      <c r="K155" s="243" t="s">
        <v>570</v>
      </c>
      <c r="L155" s="118" t="s">
        <v>570</v>
      </c>
      <c r="M155" s="241" t="s">
        <v>570</v>
      </c>
      <c r="N155" s="118" t="s">
        <v>570</v>
      </c>
      <c r="O155" s="118" t="s">
        <v>570</v>
      </c>
      <c r="P155" s="438"/>
      <c r="Q155" s="179"/>
      <c r="R155" s="179"/>
      <c r="S155" s="179"/>
      <c r="T155" s="500" t="e">
        <f>_xlfn.XLOOKUP(H155,#REF!,#REF!,0,0)</f>
        <v>#REF!</v>
      </c>
    </row>
    <row r="156" spans="1:20" x14ac:dyDescent="0.4">
      <c r="A156" s="71"/>
      <c r="B156" s="71" t="s">
        <v>968</v>
      </c>
      <c r="C156" s="71"/>
      <c r="D156" s="71" t="s">
        <v>693</v>
      </c>
      <c r="E156" s="23" t="s">
        <v>567</v>
      </c>
      <c r="F156" s="121" t="s">
        <v>190</v>
      </c>
      <c r="G156" s="23">
        <v>43728</v>
      </c>
      <c r="H156" s="23" t="s">
        <v>210</v>
      </c>
      <c r="I156" s="71">
        <v>69438</v>
      </c>
      <c r="J156" s="71" t="s">
        <v>969</v>
      </c>
      <c r="K156" s="23" t="s">
        <v>570</v>
      </c>
      <c r="L156" s="71" t="s">
        <v>570</v>
      </c>
      <c r="M156" s="71" t="s">
        <v>570</v>
      </c>
      <c r="N156" s="71" t="s">
        <v>570</v>
      </c>
      <c r="O156" s="71" t="s">
        <v>570</v>
      </c>
      <c r="P156" s="439" t="s">
        <v>970</v>
      </c>
      <c r="Q156" s="179"/>
      <c r="R156" s="179"/>
      <c r="S156" s="179"/>
      <c r="T156" s="500" t="e">
        <f>_xlfn.XLOOKUP(H156,#REF!,#REF!,0,0)</f>
        <v>#REF!</v>
      </c>
    </row>
    <row r="157" spans="1:20" x14ac:dyDescent="0.4">
      <c r="A157" s="71" t="s">
        <v>971</v>
      </c>
      <c r="B157" s="71" t="s">
        <v>617</v>
      </c>
      <c r="C157" s="71"/>
      <c r="D157" s="71" t="s">
        <v>704</v>
      </c>
      <c r="E157" s="23" t="s">
        <v>567</v>
      </c>
      <c r="F157" s="121" t="s">
        <v>190</v>
      </c>
      <c r="G157" s="23">
        <v>43728</v>
      </c>
      <c r="H157" s="23" t="s">
        <v>619</v>
      </c>
      <c r="I157" s="71">
        <v>69435</v>
      </c>
      <c r="J157" s="71" t="s">
        <v>972</v>
      </c>
      <c r="K157" s="23" t="s">
        <v>570</v>
      </c>
      <c r="L157" s="71" t="s">
        <v>570</v>
      </c>
      <c r="M157" s="71" t="s">
        <v>570</v>
      </c>
      <c r="N157" s="71" t="s">
        <v>570</v>
      </c>
      <c r="O157" s="71" t="s">
        <v>570</v>
      </c>
      <c r="P157" s="440">
        <v>43846</v>
      </c>
      <c r="Q157" s="179"/>
      <c r="R157" s="179"/>
      <c r="S157" s="179"/>
      <c r="T157" s="500" t="e">
        <f>_xlfn.XLOOKUP(H157,#REF!,#REF!,0,0)</f>
        <v>#REF!</v>
      </c>
    </row>
    <row r="158" spans="1:20" x14ac:dyDescent="0.4">
      <c r="A158" s="234" t="s">
        <v>720</v>
      </c>
      <c r="B158" s="152" t="s">
        <v>721</v>
      </c>
      <c r="C158" s="152"/>
      <c r="D158" s="76" t="s">
        <v>704</v>
      </c>
      <c r="E158" s="274" t="s">
        <v>567</v>
      </c>
      <c r="F158" s="153" t="s">
        <v>190</v>
      </c>
      <c r="G158" s="77">
        <v>43819</v>
      </c>
      <c r="H158" s="267" t="s">
        <v>722</v>
      </c>
      <c r="I158" s="76">
        <v>69623</v>
      </c>
      <c r="J158" s="76" t="s">
        <v>723</v>
      </c>
      <c r="K158" s="77" t="s">
        <v>570</v>
      </c>
      <c r="L158" s="76" t="s">
        <v>570</v>
      </c>
      <c r="M158" s="76" t="s">
        <v>570</v>
      </c>
      <c r="N158" s="76" t="s">
        <v>570</v>
      </c>
      <c r="O158" s="76" t="s">
        <v>570</v>
      </c>
      <c r="P158" s="410">
        <v>43846</v>
      </c>
      <c r="Q158" s="179"/>
      <c r="R158" s="179"/>
      <c r="S158" s="179"/>
      <c r="T158" s="500" t="e">
        <f>_xlfn.XLOOKUP(H158,#REF!,#REF!,0,0)</f>
        <v>#REF!</v>
      </c>
    </row>
    <row r="159" spans="1:20" x14ac:dyDescent="0.4">
      <c r="A159" s="142" t="s">
        <v>716</v>
      </c>
      <c r="B159" s="142" t="s">
        <v>717</v>
      </c>
      <c r="C159" s="142"/>
      <c r="D159" s="129" t="s">
        <v>718</v>
      </c>
      <c r="E159" s="130" t="s">
        <v>567</v>
      </c>
      <c r="F159" s="129" t="s">
        <v>190</v>
      </c>
      <c r="G159" s="130">
        <v>43819</v>
      </c>
      <c r="H159" s="130" t="s">
        <v>228</v>
      </c>
      <c r="I159" s="129">
        <v>69621</v>
      </c>
      <c r="J159" s="129" t="s">
        <v>719</v>
      </c>
      <c r="K159" s="130" t="s">
        <v>570</v>
      </c>
      <c r="L159" s="129" t="s">
        <v>570</v>
      </c>
      <c r="M159" s="129" t="s">
        <v>570</v>
      </c>
      <c r="N159" s="129" t="s">
        <v>570</v>
      </c>
      <c r="O159" s="129" t="s">
        <v>570</v>
      </c>
      <c r="P159" s="409"/>
      <c r="Q159" s="179"/>
      <c r="R159" s="179"/>
      <c r="S159" s="179"/>
      <c r="T159" s="500" t="e">
        <f>_xlfn.XLOOKUP(H159,#REF!,#REF!,0,0)</f>
        <v>#REF!</v>
      </c>
    </row>
    <row r="160" spans="1:20" x14ac:dyDescent="0.4">
      <c r="A160" s="71" t="s">
        <v>697</v>
      </c>
      <c r="B160" s="71" t="s">
        <v>581</v>
      </c>
      <c r="C160" s="71"/>
      <c r="D160" s="71" t="s">
        <v>693</v>
      </c>
      <c r="E160" s="23" t="s">
        <v>567</v>
      </c>
      <c r="F160" s="121" t="s">
        <v>190</v>
      </c>
      <c r="G160" s="23">
        <v>43728</v>
      </c>
      <c r="H160" s="23" t="s">
        <v>209</v>
      </c>
      <c r="I160" s="71">
        <v>69437</v>
      </c>
      <c r="J160" s="71" t="s">
        <v>698</v>
      </c>
      <c r="K160" s="23" t="s">
        <v>364</v>
      </c>
      <c r="L160" s="71" t="s">
        <v>364</v>
      </c>
      <c r="M160" s="71" t="s">
        <v>364</v>
      </c>
      <c r="N160" s="71" t="s">
        <v>364</v>
      </c>
      <c r="O160" s="71" t="s">
        <v>364</v>
      </c>
      <c r="P160" s="404">
        <v>43846.4375</v>
      </c>
      <c r="Q160" s="179"/>
      <c r="R160" s="179"/>
      <c r="S160" s="179"/>
      <c r="T160" s="500" t="e">
        <f>_xlfn.XLOOKUP(H160,#REF!,#REF!,0,0)</f>
        <v>#REF!</v>
      </c>
    </row>
    <row r="161" spans="1:20" x14ac:dyDescent="0.4">
      <c r="A161" s="71" t="s">
        <v>692</v>
      </c>
      <c r="B161" s="71" t="s">
        <v>585</v>
      </c>
      <c r="C161" s="71"/>
      <c r="D161" s="71" t="s">
        <v>693</v>
      </c>
      <c r="E161" s="23" t="s">
        <v>567</v>
      </c>
      <c r="F161" s="121" t="s">
        <v>190</v>
      </c>
      <c r="G161" s="23">
        <v>43728</v>
      </c>
      <c r="H161" s="23" t="s">
        <v>618</v>
      </c>
      <c r="I161" s="71">
        <v>69431</v>
      </c>
      <c r="J161" s="71" t="s">
        <v>694</v>
      </c>
      <c r="K161" s="23" t="s">
        <v>570</v>
      </c>
      <c r="L161" s="71" t="s">
        <v>570</v>
      </c>
      <c r="M161" s="71" t="s">
        <v>570</v>
      </c>
      <c r="N161" s="71" t="s">
        <v>570</v>
      </c>
      <c r="O161" s="71" t="s">
        <v>570</v>
      </c>
      <c r="P161" s="441">
        <v>43846.625</v>
      </c>
      <c r="Q161" s="179"/>
      <c r="R161" s="179"/>
      <c r="S161" s="179"/>
      <c r="T161" s="500" t="e">
        <f>_xlfn.XLOOKUP(H161,#REF!,#REF!,0,0)</f>
        <v>#REF!</v>
      </c>
    </row>
    <row r="162" spans="1:20" x14ac:dyDescent="0.4">
      <c r="A162" s="71"/>
      <c r="B162" s="71" t="s">
        <v>973</v>
      </c>
      <c r="C162" s="71"/>
      <c r="D162" s="71" t="s">
        <v>704</v>
      </c>
      <c r="E162" s="23" t="s">
        <v>567</v>
      </c>
      <c r="F162" s="121" t="s">
        <v>190</v>
      </c>
      <c r="G162" s="23">
        <v>43728</v>
      </c>
      <c r="H162" s="23" t="s">
        <v>199</v>
      </c>
      <c r="I162" s="71">
        <v>69411</v>
      </c>
      <c r="J162" s="71"/>
      <c r="K162" s="23" t="s">
        <v>570</v>
      </c>
      <c r="L162" s="71" t="s">
        <v>570</v>
      </c>
      <c r="M162" s="71" t="s">
        <v>570</v>
      </c>
      <c r="N162" s="71" t="s">
        <v>570</v>
      </c>
      <c r="O162" s="71" t="s">
        <v>570</v>
      </c>
      <c r="P162" s="439"/>
      <c r="Q162" s="179"/>
      <c r="R162" s="179"/>
      <c r="S162" s="179"/>
      <c r="T162" s="500" t="e">
        <f>_xlfn.XLOOKUP(H162,#REF!,#REF!,0,0)</f>
        <v>#REF!</v>
      </c>
    </row>
    <row r="163" spans="1:20" x14ac:dyDescent="0.4">
      <c r="A163" s="123" t="s">
        <v>702</v>
      </c>
      <c r="B163" s="123" t="s">
        <v>703</v>
      </c>
      <c r="C163" s="123"/>
      <c r="D163" s="123" t="s">
        <v>704</v>
      </c>
      <c r="E163" s="124" t="s">
        <v>567</v>
      </c>
      <c r="F163" s="191" t="s">
        <v>190</v>
      </c>
      <c r="G163" s="124">
        <v>43728</v>
      </c>
      <c r="H163" s="124" t="s">
        <v>625</v>
      </c>
      <c r="I163" s="123">
        <v>69440</v>
      </c>
      <c r="J163" s="123" t="s">
        <v>705</v>
      </c>
      <c r="K163" s="124" t="s">
        <v>570</v>
      </c>
      <c r="L163" s="123" t="s">
        <v>570</v>
      </c>
      <c r="M163" s="123" t="s">
        <v>570</v>
      </c>
      <c r="N163" s="123" t="s">
        <v>570</v>
      </c>
      <c r="O163" s="123" t="s">
        <v>570</v>
      </c>
      <c r="P163" s="442">
        <v>43847.416666666664</v>
      </c>
      <c r="Q163" s="179"/>
      <c r="R163" s="179"/>
      <c r="S163" s="179"/>
      <c r="T163" s="500" t="e">
        <f>_xlfn.XLOOKUP(H163,#REF!,#REF!,0,0)</f>
        <v>#REF!</v>
      </c>
    </row>
    <row r="164" spans="1:20" x14ac:dyDescent="0.4">
      <c r="A164" s="71" t="s">
        <v>699</v>
      </c>
      <c r="B164" s="111" t="s">
        <v>700</v>
      </c>
      <c r="C164" s="111"/>
      <c r="D164" s="71" t="s">
        <v>693</v>
      </c>
      <c r="E164" s="23" t="s">
        <v>567</v>
      </c>
      <c r="F164" s="121" t="s">
        <v>190</v>
      </c>
      <c r="G164" s="23">
        <v>43728</v>
      </c>
      <c r="H164" s="23" t="s">
        <v>623</v>
      </c>
      <c r="I164" s="71">
        <v>69439</v>
      </c>
      <c r="J164" s="71" t="s">
        <v>701</v>
      </c>
      <c r="K164" s="23" t="s">
        <v>570</v>
      </c>
      <c r="L164" s="71" t="s">
        <v>570</v>
      </c>
      <c r="M164" s="71" t="s">
        <v>570</v>
      </c>
      <c r="N164" s="71" t="s">
        <v>570</v>
      </c>
      <c r="O164" s="71" t="s">
        <v>570</v>
      </c>
      <c r="P164" s="404">
        <v>43847.427083333336</v>
      </c>
      <c r="Q164" s="179"/>
      <c r="R164" s="179"/>
      <c r="S164" s="179"/>
      <c r="T164" s="500" t="e">
        <f>_xlfn.XLOOKUP(H164,#REF!,#REF!,0,0)</f>
        <v>#REF!</v>
      </c>
    </row>
    <row r="165" spans="1:20" x14ac:dyDescent="0.4">
      <c r="A165" s="71" t="s">
        <v>974</v>
      </c>
      <c r="B165" s="71" t="s">
        <v>975</v>
      </c>
      <c r="C165" s="71"/>
      <c r="D165" s="71" t="s">
        <v>693</v>
      </c>
      <c r="E165" s="125" t="s">
        <v>567</v>
      </c>
      <c r="F165" s="190" t="s">
        <v>140</v>
      </c>
      <c r="G165" s="125" t="s">
        <v>976</v>
      </c>
      <c r="H165" s="125" t="s">
        <v>182</v>
      </c>
      <c r="I165" s="111">
        <v>69278</v>
      </c>
      <c r="J165" s="111"/>
      <c r="K165" s="125" t="s">
        <v>570</v>
      </c>
      <c r="L165" s="111" t="s">
        <v>570</v>
      </c>
      <c r="M165" s="111" t="s">
        <v>570</v>
      </c>
      <c r="N165" s="111" t="s">
        <v>570</v>
      </c>
      <c r="O165" s="111" t="s">
        <v>570</v>
      </c>
      <c r="P165" s="439" t="s">
        <v>977</v>
      </c>
      <c r="Q165" s="179"/>
      <c r="R165" s="179"/>
      <c r="S165" s="179"/>
      <c r="T165" s="500" t="e">
        <f>_xlfn.XLOOKUP(H165,#REF!,#REF!,0,0)</f>
        <v>#REF!</v>
      </c>
    </row>
    <row r="166" spans="1:20" x14ac:dyDescent="0.4">
      <c r="A166" s="111" t="s">
        <v>724</v>
      </c>
      <c r="B166" s="111" t="s">
        <v>978</v>
      </c>
      <c r="C166" s="111"/>
      <c r="D166" s="71" t="s">
        <v>693</v>
      </c>
      <c r="E166" s="125" t="s">
        <v>567</v>
      </c>
      <c r="F166" s="190" t="s">
        <v>190</v>
      </c>
      <c r="G166" s="125">
        <v>43728</v>
      </c>
      <c r="H166" s="125" t="s">
        <v>227</v>
      </c>
      <c r="I166" s="111">
        <v>69620</v>
      </c>
      <c r="J166" s="111" t="s">
        <v>725</v>
      </c>
      <c r="K166" s="125" t="s">
        <v>570</v>
      </c>
      <c r="L166" s="111" t="s">
        <v>570</v>
      </c>
      <c r="M166" s="111" t="s">
        <v>570</v>
      </c>
      <c r="N166" s="111" t="s">
        <v>570</v>
      </c>
      <c r="O166" s="111" t="s">
        <v>570</v>
      </c>
      <c r="P166" s="423" t="s">
        <v>979</v>
      </c>
      <c r="Q166" s="179"/>
      <c r="R166" s="179"/>
      <c r="S166" s="179"/>
      <c r="T166" s="500" t="e">
        <f>_xlfn.XLOOKUP(H166,#REF!,#REF!,0,0)</f>
        <v>#REF!</v>
      </c>
    </row>
    <row r="167" spans="1:20" x14ac:dyDescent="0.4">
      <c r="A167" s="71" t="s">
        <v>980</v>
      </c>
      <c r="B167" s="71" t="s">
        <v>981</v>
      </c>
      <c r="C167" s="71"/>
      <c r="D167" s="71" t="s">
        <v>693</v>
      </c>
      <c r="E167" s="125" t="s">
        <v>567</v>
      </c>
      <c r="F167" s="121"/>
      <c r="G167" s="23">
        <v>43819</v>
      </c>
      <c r="H167" s="125" t="s">
        <v>982</v>
      </c>
      <c r="I167" s="71"/>
      <c r="J167" s="71" t="s">
        <v>983</v>
      </c>
      <c r="K167" s="23" t="s">
        <v>570</v>
      </c>
      <c r="L167" s="71" t="s">
        <v>570</v>
      </c>
      <c r="M167" s="71" t="s">
        <v>570</v>
      </c>
      <c r="N167" s="71" t="s">
        <v>570</v>
      </c>
      <c r="O167" s="71" t="s">
        <v>570</v>
      </c>
      <c r="P167" s="439" t="s">
        <v>984</v>
      </c>
      <c r="Q167" s="179"/>
      <c r="R167" s="179"/>
      <c r="S167" s="179"/>
      <c r="T167" s="500" t="e">
        <f>_xlfn.XLOOKUP(H167,#REF!,#REF!,0,0)</f>
        <v>#REF!</v>
      </c>
    </row>
    <row r="168" spans="1:20" x14ac:dyDescent="0.4">
      <c r="A168" s="142" t="s">
        <v>708</v>
      </c>
      <c r="B168" s="142" t="s">
        <v>709</v>
      </c>
      <c r="C168" s="142"/>
      <c r="D168" s="142" t="s">
        <v>704</v>
      </c>
      <c r="E168" s="130" t="s">
        <v>567</v>
      </c>
      <c r="F168" s="129" t="s">
        <v>190</v>
      </c>
      <c r="G168" s="23">
        <v>43728</v>
      </c>
      <c r="H168" s="130" t="s">
        <v>212</v>
      </c>
      <c r="I168" s="129">
        <v>69442</v>
      </c>
      <c r="J168" s="129" t="s">
        <v>710</v>
      </c>
      <c r="K168" s="130" t="s">
        <v>570</v>
      </c>
      <c r="L168" s="129" t="s">
        <v>570</v>
      </c>
      <c r="M168" s="142" t="s">
        <v>570</v>
      </c>
      <c r="N168" s="142" t="s">
        <v>570</v>
      </c>
      <c r="O168" s="142" t="s">
        <v>570</v>
      </c>
      <c r="P168" s="428" t="s">
        <v>711</v>
      </c>
      <c r="Q168" s="179"/>
      <c r="R168" s="179"/>
      <c r="S168" s="179"/>
      <c r="T168" s="500" t="e">
        <f>_xlfn.XLOOKUP(H168,#REF!,#REF!,0,0)</f>
        <v>#REF!</v>
      </c>
    </row>
    <row r="169" spans="1:20" x14ac:dyDescent="0.4">
      <c r="A169" s="129" t="s">
        <v>613</v>
      </c>
      <c r="B169" s="129" t="s">
        <v>691</v>
      </c>
      <c r="C169" s="129"/>
      <c r="D169" s="129" t="s">
        <v>718</v>
      </c>
      <c r="E169" s="130" t="s">
        <v>567</v>
      </c>
      <c r="F169" s="129" t="s">
        <v>190</v>
      </c>
      <c r="G169" s="130">
        <v>43728</v>
      </c>
      <c r="H169" s="130" t="s">
        <v>615</v>
      </c>
      <c r="I169" s="129">
        <v>69426</v>
      </c>
      <c r="J169" s="129" t="s">
        <v>616</v>
      </c>
      <c r="K169" s="130" t="s">
        <v>570</v>
      </c>
      <c r="L169" s="129" t="s">
        <v>570</v>
      </c>
      <c r="M169" s="129" t="s">
        <v>570</v>
      </c>
      <c r="N169" s="129" t="s">
        <v>570</v>
      </c>
      <c r="O169" s="129" t="s">
        <v>364</v>
      </c>
      <c r="P169" s="409" t="s">
        <v>737</v>
      </c>
      <c r="Q169" s="179"/>
      <c r="R169" s="179"/>
      <c r="S169" s="179"/>
      <c r="T169" s="500" t="e">
        <f>_xlfn.XLOOKUP(H169,#REF!,#REF!,0,0)</f>
        <v>#REF!</v>
      </c>
    </row>
    <row r="170" spans="1:20" x14ac:dyDescent="0.4">
      <c r="A170" s="111" t="s">
        <v>985</v>
      </c>
      <c r="B170" s="111" t="s">
        <v>566</v>
      </c>
      <c r="C170" s="111"/>
      <c r="D170" s="111" t="s">
        <v>693</v>
      </c>
      <c r="E170" s="125" t="s">
        <v>567</v>
      </c>
      <c r="F170" s="190" t="s">
        <v>190</v>
      </c>
      <c r="G170" s="125">
        <v>43819</v>
      </c>
      <c r="H170" s="125" t="s">
        <v>226</v>
      </c>
      <c r="I170" s="111">
        <v>69619</v>
      </c>
      <c r="J170" s="111" t="s">
        <v>986</v>
      </c>
      <c r="K170" s="125" t="s">
        <v>570</v>
      </c>
      <c r="L170" s="111" t="s">
        <v>570</v>
      </c>
      <c r="M170" s="111" t="s">
        <v>570</v>
      </c>
      <c r="N170" s="111" t="s">
        <v>570</v>
      </c>
      <c r="O170" s="111" t="s">
        <v>570</v>
      </c>
      <c r="P170" s="423" t="s">
        <v>987</v>
      </c>
      <c r="Q170" s="179"/>
      <c r="R170" s="179"/>
      <c r="S170" s="179"/>
      <c r="T170" s="500" t="e">
        <f>_xlfn.XLOOKUP(H170,#REF!,#REF!,0,0)</f>
        <v>#REF!</v>
      </c>
    </row>
    <row r="171" spans="1:20" x14ac:dyDescent="0.4">
      <c r="A171" s="129" t="s">
        <v>988</v>
      </c>
      <c r="B171" s="129" t="s">
        <v>989</v>
      </c>
      <c r="C171" s="129"/>
      <c r="D171" s="129" t="s">
        <v>693</v>
      </c>
      <c r="E171" s="130" t="s">
        <v>567</v>
      </c>
      <c r="F171" s="129" t="s">
        <v>190</v>
      </c>
      <c r="G171" s="130">
        <v>43819</v>
      </c>
      <c r="H171" s="130" t="s">
        <v>990</v>
      </c>
      <c r="I171" s="129">
        <v>69643</v>
      </c>
      <c r="J171" s="129" t="s">
        <v>991</v>
      </c>
      <c r="K171" s="130" t="s">
        <v>570</v>
      </c>
      <c r="L171" s="129" t="s">
        <v>570</v>
      </c>
      <c r="M171" s="129" t="s">
        <v>570</v>
      </c>
      <c r="N171" s="129" t="s">
        <v>570</v>
      </c>
      <c r="O171" s="129" t="s">
        <v>570</v>
      </c>
      <c r="P171" s="409" t="s">
        <v>992</v>
      </c>
      <c r="Q171" s="179"/>
      <c r="R171" s="179"/>
      <c r="S171" s="179"/>
      <c r="T171" s="500" t="e">
        <f>_xlfn.XLOOKUP(H171,#REF!,#REF!,0,0)</f>
        <v>#REF!</v>
      </c>
    </row>
    <row r="172" spans="1:20" x14ac:dyDescent="0.4">
      <c r="A172" s="129" t="s">
        <v>993</v>
      </c>
      <c r="B172" s="129" t="s">
        <v>994</v>
      </c>
      <c r="C172" s="129"/>
      <c r="D172" s="129" t="s">
        <v>718</v>
      </c>
      <c r="E172" s="130" t="s">
        <v>567</v>
      </c>
      <c r="F172" s="129" t="s">
        <v>190</v>
      </c>
      <c r="G172" s="130"/>
      <c r="H172" s="130" t="s">
        <v>184</v>
      </c>
      <c r="I172" s="129">
        <v>69283</v>
      </c>
      <c r="J172" s="129" t="s">
        <v>995</v>
      </c>
      <c r="K172" s="130" t="s">
        <v>570</v>
      </c>
      <c r="L172" s="129" t="s">
        <v>570</v>
      </c>
      <c r="M172" s="129" t="s">
        <v>570</v>
      </c>
      <c r="N172" s="129" t="s">
        <v>570</v>
      </c>
      <c r="O172" s="129" t="s">
        <v>570</v>
      </c>
      <c r="P172" s="409" t="s">
        <v>996</v>
      </c>
      <c r="Q172" s="179"/>
      <c r="R172" s="179"/>
      <c r="S172" s="179"/>
      <c r="T172" s="500" t="e">
        <f>_xlfn.XLOOKUP(H172,#REF!,#REF!,0,0)</f>
        <v>#REF!</v>
      </c>
    </row>
    <row r="173" spans="1:20" x14ac:dyDescent="0.4">
      <c r="A173" s="129" t="s">
        <v>997</v>
      </c>
      <c r="B173" s="129" t="s">
        <v>998</v>
      </c>
      <c r="C173" s="129"/>
      <c r="D173" s="129" t="s">
        <v>718</v>
      </c>
      <c r="E173" s="130" t="s">
        <v>567</v>
      </c>
      <c r="F173" s="129" t="s">
        <v>190</v>
      </c>
      <c r="G173" s="130">
        <v>43819</v>
      </c>
      <c r="H173" s="130" t="s">
        <v>237</v>
      </c>
      <c r="I173" s="129">
        <v>69641</v>
      </c>
      <c r="J173" s="129" t="s">
        <v>999</v>
      </c>
      <c r="K173" s="130" t="s">
        <v>570</v>
      </c>
      <c r="L173" s="129" t="s">
        <v>570</v>
      </c>
      <c r="M173" s="129" t="s">
        <v>570</v>
      </c>
      <c r="N173" s="129" t="s">
        <v>570</v>
      </c>
      <c r="O173" s="129" t="s">
        <v>570</v>
      </c>
      <c r="P173" s="409" t="s">
        <v>1000</v>
      </c>
      <c r="Q173" s="179"/>
      <c r="R173" s="179"/>
      <c r="S173" s="179"/>
      <c r="T173" s="500" t="e">
        <f>_xlfn.XLOOKUP(H173,#REF!,#REF!,0,0)</f>
        <v>#REF!</v>
      </c>
    </row>
    <row r="174" spans="1:20" x14ac:dyDescent="0.4">
      <c r="A174" s="111" t="s">
        <v>1001</v>
      </c>
      <c r="B174" s="111" t="s">
        <v>1002</v>
      </c>
      <c r="C174" s="111"/>
      <c r="D174" s="111" t="s">
        <v>704</v>
      </c>
      <c r="E174" s="125" t="s">
        <v>567</v>
      </c>
      <c r="F174" s="190" t="s">
        <v>190</v>
      </c>
      <c r="G174" s="125">
        <v>43819</v>
      </c>
      <c r="H174" s="125" t="s">
        <v>1003</v>
      </c>
      <c r="I174" s="111">
        <v>69617</v>
      </c>
      <c r="J174" s="111" t="s">
        <v>1004</v>
      </c>
      <c r="K174" s="125" t="s">
        <v>570</v>
      </c>
      <c r="L174" s="111" t="s">
        <v>570</v>
      </c>
      <c r="M174" s="83" t="s">
        <v>570</v>
      </c>
      <c r="N174" s="111" t="s">
        <v>570</v>
      </c>
      <c r="O174" s="83" t="s">
        <v>364</v>
      </c>
      <c r="P174" s="431">
        <v>43865</v>
      </c>
      <c r="Q174" s="179"/>
      <c r="R174" s="179"/>
      <c r="S174" s="179"/>
      <c r="T174" s="500" t="e">
        <f>_xlfn.XLOOKUP(H174,#REF!,#REF!,0,0)</f>
        <v>#REF!</v>
      </c>
    </row>
    <row r="175" spans="1:20" x14ac:dyDescent="0.4">
      <c r="A175" s="109" t="s">
        <v>1005</v>
      </c>
      <c r="B175" s="126" t="s">
        <v>1006</v>
      </c>
      <c r="C175" s="126"/>
      <c r="D175" s="126" t="s">
        <v>704</v>
      </c>
      <c r="E175" s="131" t="s">
        <v>567</v>
      </c>
      <c r="F175" s="192" t="s">
        <v>190</v>
      </c>
      <c r="G175" s="128">
        <v>43819</v>
      </c>
      <c r="H175" s="128" t="s">
        <v>234</v>
      </c>
      <c r="I175" s="126">
        <v>69634</v>
      </c>
      <c r="J175" s="126" t="s">
        <v>1007</v>
      </c>
      <c r="K175" s="128" t="s">
        <v>570</v>
      </c>
      <c r="L175" s="126" t="s">
        <v>570</v>
      </c>
      <c r="M175" s="126" t="s">
        <v>570</v>
      </c>
      <c r="N175" s="126"/>
      <c r="O175" s="126" t="s">
        <v>570</v>
      </c>
      <c r="P175" s="443" t="s">
        <v>1008</v>
      </c>
      <c r="Q175" s="179"/>
      <c r="R175" s="179"/>
      <c r="S175" s="179"/>
      <c r="T175" s="500" t="e">
        <f>_xlfn.XLOOKUP(H175,#REF!,#REF!,0,0)</f>
        <v>#REF!</v>
      </c>
    </row>
    <row r="176" spans="1:20" x14ac:dyDescent="0.4">
      <c r="A176" s="129" t="s">
        <v>1009</v>
      </c>
      <c r="B176" s="129" t="s">
        <v>1010</v>
      </c>
      <c r="C176" s="129"/>
      <c r="D176" s="129" t="s">
        <v>693</v>
      </c>
      <c r="E176" s="130" t="s">
        <v>567</v>
      </c>
      <c r="F176" s="129" t="s">
        <v>190</v>
      </c>
      <c r="G176" s="130">
        <v>43819</v>
      </c>
      <c r="H176" s="130" t="s">
        <v>1011</v>
      </c>
      <c r="I176" s="129">
        <v>69635</v>
      </c>
      <c r="J176" s="129" t="s">
        <v>1012</v>
      </c>
      <c r="K176" s="130" t="s">
        <v>570</v>
      </c>
      <c r="L176" s="129" t="s">
        <v>570</v>
      </c>
      <c r="M176" s="129" t="s">
        <v>570</v>
      </c>
      <c r="N176" s="129" t="s">
        <v>570</v>
      </c>
      <c r="O176" s="129" t="s">
        <v>570</v>
      </c>
      <c r="P176" s="444">
        <v>43867</v>
      </c>
      <c r="Q176" s="179"/>
      <c r="R176" s="179"/>
      <c r="S176" s="179"/>
      <c r="T176" s="500" t="e">
        <f>_xlfn.XLOOKUP(H176,#REF!,#REF!,0,0)</f>
        <v>#REF!</v>
      </c>
    </row>
    <row r="177" spans="1:20" x14ac:dyDescent="0.4">
      <c r="A177" s="127" t="s">
        <v>1013</v>
      </c>
      <c r="B177" s="127" t="s">
        <v>1014</v>
      </c>
      <c r="C177" s="127"/>
      <c r="D177" s="127" t="s">
        <v>704</v>
      </c>
      <c r="E177" s="131" t="s">
        <v>567</v>
      </c>
      <c r="F177" s="193" t="s">
        <v>190</v>
      </c>
      <c r="G177" s="131">
        <v>43819</v>
      </c>
      <c r="H177" s="131" t="s">
        <v>225</v>
      </c>
      <c r="I177" s="127">
        <v>69616</v>
      </c>
      <c r="J177" s="127" t="s">
        <v>1015</v>
      </c>
      <c r="K177" s="131" t="s">
        <v>570</v>
      </c>
      <c r="L177" s="127" t="s">
        <v>570</v>
      </c>
      <c r="M177" s="132" t="s">
        <v>570</v>
      </c>
      <c r="N177" s="127"/>
      <c r="O177" s="132" t="s">
        <v>364</v>
      </c>
      <c r="P177" s="445">
        <v>43868</v>
      </c>
      <c r="Q177" s="179"/>
      <c r="R177" s="179"/>
      <c r="S177" s="179"/>
      <c r="T177" s="500" t="e">
        <f>_xlfn.XLOOKUP(H177,#REF!,#REF!,0,0)</f>
        <v>#REF!</v>
      </c>
    </row>
    <row r="178" spans="1:20" x14ac:dyDescent="0.4">
      <c r="A178" s="111" t="s">
        <v>1016</v>
      </c>
      <c r="B178" s="111" t="s">
        <v>1017</v>
      </c>
      <c r="C178" s="111"/>
      <c r="D178" s="71" t="s">
        <v>704</v>
      </c>
      <c r="E178" s="125" t="s">
        <v>567</v>
      </c>
      <c r="F178" s="190" t="s">
        <v>190</v>
      </c>
      <c r="G178" s="125">
        <v>43819</v>
      </c>
      <c r="H178" s="125" t="s">
        <v>1018</v>
      </c>
      <c r="I178" s="111">
        <v>69624</v>
      </c>
      <c r="J178" s="111" t="s">
        <v>1019</v>
      </c>
      <c r="K178" s="125" t="s">
        <v>570</v>
      </c>
      <c r="L178" s="111" t="s">
        <v>570</v>
      </c>
      <c r="M178" s="83" t="s">
        <v>570</v>
      </c>
      <c r="N178" s="111" t="s">
        <v>570</v>
      </c>
      <c r="O178" s="83" t="s">
        <v>570</v>
      </c>
      <c r="P178" s="439" t="s">
        <v>1020</v>
      </c>
      <c r="Q178" s="179"/>
      <c r="R178" s="179"/>
      <c r="S178" s="179"/>
      <c r="T178" s="500" t="e">
        <f>_xlfn.XLOOKUP(H178,#REF!,#REF!,0,0)</f>
        <v>#REF!</v>
      </c>
    </row>
    <row r="179" spans="1:20" x14ac:dyDescent="0.4">
      <c r="A179" s="129" t="s">
        <v>1021</v>
      </c>
      <c r="B179" s="129" t="s">
        <v>1022</v>
      </c>
      <c r="C179" s="129"/>
      <c r="D179" s="129" t="s">
        <v>693</v>
      </c>
      <c r="E179" s="130" t="s">
        <v>567</v>
      </c>
      <c r="F179" s="129" t="s">
        <v>190</v>
      </c>
      <c r="G179" s="130">
        <v>43819</v>
      </c>
      <c r="H179" s="130" t="s">
        <v>1023</v>
      </c>
      <c r="I179" s="129">
        <v>69646</v>
      </c>
      <c r="J179" s="129" t="s">
        <v>1024</v>
      </c>
      <c r="K179" s="130" t="s">
        <v>570</v>
      </c>
      <c r="L179" s="129" t="s">
        <v>570</v>
      </c>
      <c r="M179" s="129" t="s">
        <v>570</v>
      </c>
      <c r="N179" s="129" t="s">
        <v>570</v>
      </c>
      <c r="O179" s="129" t="s">
        <v>570</v>
      </c>
      <c r="P179" s="409">
        <v>43872</v>
      </c>
      <c r="Q179" s="179"/>
      <c r="R179" s="179"/>
      <c r="S179" s="179"/>
      <c r="T179" s="500" t="e">
        <f>_xlfn.XLOOKUP(H179,#REF!,#REF!,0,0)</f>
        <v>#REF!</v>
      </c>
    </row>
    <row r="180" spans="1:20" x14ac:dyDescent="0.4">
      <c r="A180" s="129" t="s">
        <v>695</v>
      </c>
      <c r="B180" s="129" t="s">
        <v>1025</v>
      </c>
      <c r="C180" s="129"/>
      <c r="D180" s="129" t="s">
        <v>693</v>
      </c>
      <c r="E180" s="130" t="s">
        <v>567</v>
      </c>
      <c r="F180" s="129" t="s">
        <v>190</v>
      </c>
      <c r="G180" s="130">
        <v>43728</v>
      </c>
      <c r="H180" s="130" t="s">
        <v>208</v>
      </c>
      <c r="I180" s="129">
        <v>69436</v>
      </c>
      <c r="J180" s="129" t="s">
        <v>696</v>
      </c>
      <c r="K180" s="130" t="s">
        <v>570</v>
      </c>
      <c r="L180" s="129" t="s">
        <v>570</v>
      </c>
      <c r="M180" s="129" t="s">
        <v>570</v>
      </c>
      <c r="N180" s="129"/>
      <c r="O180" s="129" t="s">
        <v>570</v>
      </c>
      <c r="P180" s="409" t="s">
        <v>1026</v>
      </c>
      <c r="Q180" s="179"/>
      <c r="R180" s="179"/>
      <c r="S180" s="179"/>
      <c r="T180" s="500" t="e">
        <f>_xlfn.XLOOKUP(H180,#REF!,#REF!,0,0)</f>
        <v>#REF!</v>
      </c>
    </row>
    <row r="181" spans="1:20" x14ac:dyDescent="0.4">
      <c r="A181" s="129" t="s">
        <v>1027</v>
      </c>
      <c r="B181" s="129" t="s">
        <v>1028</v>
      </c>
      <c r="C181" s="129"/>
      <c r="D181" s="129" t="s">
        <v>718</v>
      </c>
      <c r="E181" s="130" t="s">
        <v>567</v>
      </c>
      <c r="F181" s="129" t="s">
        <v>190</v>
      </c>
      <c r="G181" s="130">
        <v>43728</v>
      </c>
      <c r="H181" s="130" t="s">
        <v>202</v>
      </c>
      <c r="I181" s="129">
        <v>69424</v>
      </c>
      <c r="J181" s="129" t="s">
        <v>858</v>
      </c>
      <c r="K181" s="130" t="s">
        <v>570</v>
      </c>
      <c r="L181" s="129" t="s">
        <v>570</v>
      </c>
      <c r="M181" s="129" t="s">
        <v>570</v>
      </c>
      <c r="N181" s="129" t="s">
        <v>570</v>
      </c>
      <c r="O181" s="129" t="s">
        <v>570</v>
      </c>
      <c r="P181" s="409"/>
      <c r="Q181" s="179"/>
      <c r="R181" s="179"/>
      <c r="S181" s="179"/>
      <c r="T181" s="500" t="e">
        <f>_xlfn.XLOOKUP(H181,#REF!,#REF!,0,0)</f>
        <v>#REF!</v>
      </c>
    </row>
    <row r="182" spans="1:20" x14ac:dyDescent="0.4">
      <c r="A182" s="129" t="s">
        <v>1029</v>
      </c>
      <c r="B182" s="129" t="s">
        <v>1030</v>
      </c>
      <c r="C182" s="129"/>
      <c r="D182" s="129" t="s">
        <v>693</v>
      </c>
      <c r="E182" s="130" t="s">
        <v>567</v>
      </c>
      <c r="F182" s="129" t="s">
        <v>190</v>
      </c>
      <c r="G182" s="130">
        <v>43819</v>
      </c>
      <c r="H182" s="130" t="s">
        <v>235</v>
      </c>
      <c r="I182" s="129">
        <v>69638</v>
      </c>
      <c r="J182" s="129" t="s">
        <v>1031</v>
      </c>
      <c r="K182" s="130" t="s">
        <v>570</v>
      </c>
      <c r="L182" s="129" t="s">
        <v>570</v>
      </c>
      <c r="M182" s="129" t="s">
        <v>570</v>
      </c>
      <c r="N182" s="129" t="s">
        <v>570</v>
      </c>
      <c r="O182" s="129" t="s">
        <v>570</v>
      </c>
      <c r="P182" s="409" t="s">
        <v>1032</v>
      </c>
      <c r="Q182" s="179"/>
      <c r="R182" s="179"/>
      <c r="S182" s="179"/>
      <c r="T182" s="500" t="e">
        <f>_xlfn.XLOOKUP(H182,#REF!,#REF!,0,0)</f>
        <v>#REF!</v>
      </c>
    </row>
    <row r="183" spans="1:20" x14ac:dyDescent="0.4">
      <c r="A183" s="133" t="s">
        <v>1033</v>
      </c>
      <c r="B183" s="244" t="s">
        <v>1034</v>
      </c>
      <c r="C183" s="244"/>
      <c r="D183" s="133" t="s">
        <v>704</v>
      </c>
      <c r="E183" s="277" t="s">
        <v>567</v>
      </c>
      <c r="F183" s="245" t="s">
        <v>190</v>
      </c>
      <c r="G183" s="246">
        <v>43819</v>
      </c>
      <c r="H183" s="246" t="s">
        <v>1035</v>
      </c>
      <c r="I183" s="133">
        <v>69637</v>
      </c>
      <c r="J183" s="133" t="s">
        <v>1036</v>
      </c>
      <c r="K183" s="246" t="s">
        <v>570</v>
      </c>
      <c r="L183" s="133" t="s">
        <v>570</v>
      </c>
      <c r="M183" s="133" t="s">
        <v>570</v>
      </c>
      <c r="N183" s="133" t="s">
        <v>570</v>
      </c>
      <c r="O183" s="133" t="s">
        <v>570</v>
      </c>
      <c r="P183" s="446"/>
      <c r="Q183" s="179"/>
      <c r="R183" s="179"/>
      <c r="S183" s="179"/>
      <c r="T183" s="500" t="e">
        <f>_xlfn.XLOOKUP(H183,#REF!,#REF!,0,0)</f>
        <v>#REF!</v>
      </c>
    </row>
    <row r="184" spans="1:20" x14ac:dyDescent="0.4">
      <c r="A184" s="129" t="s">
        <v>1037</v>
      </c>
      <c r="B184" s="129" t="s">
        <v>1038</v>
      </c>
      <c r="C184" s="129"/>
      <c r="D184" s="129" t="s">
        <v>718</v>
      </c>
      <c r="E184" s="130" t="s">
        <v>567</v>
      </c>
      <c r="F184" s="129" t="s">
        <v>190</v>
      </c>
      <c r="G184" s="130">
        <v>43819</v>
      </c>
      <c r="H184" s="130" t="s">
        <v>1039</v>
      </c>
      <c r="I184" s="129">
        <v>69632</v>
      </c>
      <c r="J184" s="129" t="s">
        <v>1040</v>
      </c>
      <c r="K184" s="130" t="s">
        <v>570</v>
      </c>
      <c r="L184" s="129" t="s">
        <v>570</v>
      </c>
      <c r="M184" s="129" t="s">
        <v>570</v>
      </c>
      <c r="N184" s="129" t="s">
        <v>570</v>
      </c>
      <c r="O184" s="129" t="s">
        <v>570</v>
      </c>
      <c r="P184" s="409" t="s">
        <v>1041</v>
      </c>
      <c r="Q184" s="179"/>
      <c r="R184" s="179"/>
      <c r="S184" s="179"/>
      <c r="T184" s="500" t="e">
        <f>_xlfn.XLOOKUP(H184,#REF!,#REF!,0,0)</f>
        <v>#REF!</v>
      </c>
    </row>
    <row r="185" spans="1:20" x14ac:dyDescent="0.4">
      <c r="A185" s="129" t="s">
        <v>1042</v>
      </c>
      <c r="B185" s="129" t="s">
        <v>1043</v>
      </c>
      <c r="C185" s="129"/>
      <c r="D185" s="129" t="s">
        <v>718</v>
      </c>
      <c r="E185" s="130" t="s">
        <v>567</v>
      </c>
      <c r="F185" s="129" t="s">
        <v>190</v>
      </c>
      <c r="G185" s="130">
        <v>43819</v>
      </c>
      <c r="H185" s="130" t="s">
        <v>230</v>
      </c>
      <c r="I185" s="129">
        <v>69627</v>
      </c>
      <c r="J185" s="129" t="s">
        <v>1044</v>
      </c>
      <c r="K185" s="130" t="s">
        <v>570</v>
      </c>
      <c r="L185" s="129" t="s">
        <v>570</v>
      </c>
      <c r="M185" s="129" t="s">
        <v>570</v>
      </c>
      <c r="N185" s="129" t="s">
        <v>570</v>
      </c>
      <c r="O185" s="129" t="s">
        <v>570</v>
      </c>
      <c r="P185" s="409"/>
      <c r="Q185" s="179"/>
      <c r="R185" s="179"/>
      <c r="S185" s="179"/>
      <c r="T185" s="500" t="e">
        <f>_xlfn.XLOOKUP(H185,#REF!,#REF!,0,0)</f>
        <v>#REF!</v>
      </c>
    </row>
    <row r="186" spans="1:20" x14ac:dyDescent="0.4">
      <c r="A186" s="247" t="s">
        <v>1045</v>
      </c>
      <c r="B186" s="247" t="s">
        <v>1046</v>
      </c>
      <c r="C186" s="247"/>
      <c r="D186" s="247" t="s">
        <v>693</v>
      </c>
      <c r="E186" s="248" t="s">
        <v>567</v>
      </c>
      <c r="F186" s="247" t="s">
        <v>190</v>
      </c>
      <c r="G186" s="248">
        <v>43819</v>
      </c>
      <c r="H186" s="248" t="s">
        <v>316</v>
      </c>
      <c r="I186" s="247">
        <v>69644</v>
      </c>
      <c r="J186" s="247" t="s">
        <v>1047</v>
      </c>
      <c r="K186" s="248" t="s">
        <v>570</v>
      </c>
      <c r="L186" s="247" t="s">
        <v>570</v>
      </c>
      <c r="M186" s="247" t="s">
        <v>570</v>
      </c>
      <c r="N186" s="247"/>
      <c r="O186" s="247" t="s">
        <v>570</v>
      </c>
      <c r="P186" s="447" t="s">
        <v>1048</v>
      </c>
      <c r="Q186" s="179"/>
      <c r="R186" s="179"/>
      <c r="S186" s="179"/>
      <c r="T186" s="500" t="e">
        <f>_xlfn.XLOOKUP(H186,#REF!,#REF!,0,0)</f>
        <v>#REF!</v>
      </c>
    </row>
    <row r="187" spans="1:20" x14ac:dyDescent="0.4">
      <c r="A187" s="129" t="s">
        <v>1049</v>
      </c>
      <c r="B187" s="129" t="s">
        <v>1050</v>
      </c>
      <c r="C187" s="129"/>
      <c r="D187" s="129" t="s">
        <v>718</v>
      </c>
      <c r="E187" s="130" t="s">
        <v>567</v>
      </c>
      <c r="F187" s="129" t="s">
        <v>190</v>
      </c>
      <c r="G187" s="130">
        <v>43819</v>
      </c>
      <c r="H187" s="130" t="s">
        <v>1051</v>
      </c>
      <c r="I187" s="129">
        <v>69618</v>
      </c>
      <c r="J187" s="129" t="s">
        <v>1052</v>
      </c>
      <c r="K187" s="130" t="s">
        <v>570</v>
      </c>
      <c r="L187" s="129" t="s">
        <v>570</v>
      </c>
      <c r="M187" s="142" t="s">
        <v>570</v>
      </c>
      <c r="N187" s="129" t="s">
        <v>570</v>
      </c>
      <c r="O187" s="142" t="s">
        <v>364</v>
      </c>
      <c r="P187" s="409" t="s">
        <v>1053</v>
      </c>
      <c r="Q187" s="179"/>
      <c r="R187" s="179"/>
      <c r="S187" s="179"/>
      <c r="T187" s="500" t="e">
        <f>_xlfn.XLOOKUP(H187,#REF!,#REF!,0,0)</f>
        <v>#REF!</v>
      </c>
    </row>
    <row r="188" spans="1:20" x14ac:dyDescent="0.4">
      <c r="A188" s="156" t="s">
        <v>1054</v>
      </c>
      <c r="B188" s="156" t="s">
        <v>1055</v>
      </c>
      <c r="C188" s="156"/>
      <c r="D188" s="156" t="s">
        <v>704</v>
      </c>
      <c r="E188" s="158" t="s">
        <v>567</v>
      </c>
      <c r="F188" s="156" t="s">
        <v>190</v>
      </c>
      <c r="G188" s="158">
        <v>43819</v>
      </c>
      <c r="H188" s="268" t="s">
        <v>239</v>
      </c>
      <c r="I188" s="156">
        <v>69645</v>
      </c>
      <c r="J188" s="156" t="s">
        <v>1056</v>
      </c>
      <c r="K188" s="158" t="s">
        <v>570</v>
      </c>
      <c r="L188" s="156" t="s">
        <v>570</v>
      </c>
      <c r="M188" s="156" t="s">
        <v>570</v>
      </c>
      <c r="N188" s="156" t="s">
        <v>570</v>
      </c>
      <c r="O188" s="156" t="s">
        <v>570</v>
      </c>
      <c r="P188" s="448">
        <v>43882</v>
      </c>
      <c r="Q188" s="179"/>
      <c r="R188" s="179"/>
      <c r="S188" s="179"/>
      <c r="T188" s="500" t="e">
        <f>_xlfn.XLOOKUP(H188,#REF!,#REF!,0,0)</f>
        <v>#REF!</v>
      </c>
    </row>
    <row r="189" spans="1:20" x14ac:dyDescent="0.4">
      <c r="A189" s="156" t="s">
        <v>1057</v>
      </c>
      <c r="B189" s="156" t="s">
        <v>1058</v>
      </c>
      <c r="C189" s="156"/>
      <c r="D189" s="156" t="s">
        <v>704</v>
      </c>
      <c r="E189" s="158" t="s">
        <v>567</v>
      </c>
      <c r="F189" s="156" t="s">
        <v>190</v>
      </c>
      <c r="G189" s="158">
        <v>43819</v>
      </c>
      <c r="H189" s="158" t="s">
        <v>1059</v>
      </c>
      <c r="I189" s="156">
        <v>69630</v>
      </c>
      <c r="J189" s="156" t="s">
        <v>1060</v>
      </c>
      <c r="K189" s="158" t="s">
        <v>570</v>
      </c>
      <c r="L189" s="156" t="s">
        <v>570</v>
      </c>
      <c r="M189" s="156" t="s">
        <v>570</v>
      </c>
      <c r="N189" s="156"/>
      <c r="O189" s="156" t="s">
        <v>570</v>
      </c>
      <c r="P189" s="433" t="s">
        <v>1061</v>
      </c>
      <c r="Q189" s="179"/>
      <c r="R189" s="179"/>
      <c r="S189" s="179"/>
      <c r="T189" s="500" t="e">
        <f>_xlfn.XLOOKUP(H189,#REF!,#REF!,0,0)</f>
        <v>#REF!</v>
      </c>
    </row>
    <row r="190" spans="1:20" x14ac:dyDescent="0.4">
      <c r="A190" s="111" t="s">
        <v>1062</v>
      </c>
      <c r="B190" s="111" t="s">
        <v>1063</v>
      </c>
      <c r="C190" s="111"/>
      <c r="D190" s="111" t="s">
        <v>693</v>
      </c>
      <c r="E190" s="125" t="s">
        <v>567</v>
      </c>
      <c r="F190" s="190" t="s">
        <v>190</v>
      </c>
      <c r="G190" s="125">
        <v>43819</v>
      </c>
      <c r="H190" s="125" t="s">
        <v>218</v>
      </c>
      <c r="I190" s="111">
        <v>69602</v>
      </c>
      <c r="J190" s="111" t="s">
        <v>1064</v>
      </c>
      <c r="K190" s="125" t="s">
        <v>570</v>
      </c>
      <c r="L190" s="111" t="s">
        <v>570</v>
      </c>
      <c r="M190" s="111" t="s">
        <v>570</v>
      </c>
      <c r="N190" s="111" t="s">
        <v>570</v>
      </c>
      <c r="O190" s="111" t="s">
        <v>570</v>
      </c>
      <c r="P190" s="431" t="s">
        <v>1065</v>
      </c>
      <c r="Q190" s="179"/>
      <c r="R190" s="179"/>
      <c r="S190" s="179"/>
      <c r="T190" s="500" t="e">
        <f>_xlfn.XLOOKUP(H190,#REF!,#REF!,0,0)</f>
        <v>#REF!</v>
      </c>
    </row>
    <row r="191" spans="1:20" x14ac:dyDescent="0.4">
      <c r="A191" s="111" t="s">
        <v>1066</v>
      </c>
      <c r="B191" s="111" t="s">
        <v>1067</v>
      </c>
      <c r="C191" s="111"/>
      <c r="D191" s="111" t="s">
        <v>693</v>
      </c>
      <c r="E191" s="125" t="s">
        <v>567</v>
      </c>
      <c r="F191" s="190" t="s">
        <v>190</v>
      </c>
      <c r="G191" s="125">
        <v>43819</v>
      </c>
      <c r="H191" s="125" t="s">
        <v>236</v>
      </c>
      <c r="I191" s="111">
        <v>69640</v>
      </c>
      <c r="J191" s="111" t="s">
        <v>1068</v>
      </c>
      <c r="K191" s="125" t="s">
        <v>570</v>
      </c>
      <c r="L191" s="111" t="s">
        <v>570</v>
      </c>
      <c r="M191" s="111" t="s">
        <v>570</v>
      </c>
      <c r="N191" s="111" t="s">
        <v>570</v>
      </c>
      <c r="O191" s="111" t="s">
        <v>570</v>
      </c>
      <c r="P191" s="423" t="s">
        <v>1069</v>
      </c>
      <c r="Q191" s="179"/>
      <c r="R191" s="179"/>
      <c r="S191" s="179"/>
      <c r="T191" s="500" t="e">
        <f>_xlfn.XLOOKUP(H191,#REF!,#REF!,0,0)</f>
        <v>#REF!</v>
      </c>
    </row>
    <row r="192" spans="1:20" x14ac:dyDescent="0.4">
      <c r="A192" s="129" t="s">
        <v>1070</v>
      </c>
      <c r="B192" s="129" t="s">
        <v>1071</v>
      </c>
      <c r="C192" s="129"/>
      <c r="D192" s="129" t="s">
        <v>693</v>
      </c>
      <c r="E192" s="130" t="s">
        <v>567</v>
      </c>
      <c r="F192" s="129" t="s">
        <v>190</v>
      </c>
      <c r="G192" s="130">
        <v>43819</v>
      </c>
      <c r="H192" s="130" t="s">
        <v>1072</v>
      </c>
      <c r="I192" s="129">
        <v>69605</v>
      </c>
      <c r="J192" s="129" t="s">
        <v>1073</v>
      </c>
      <c r="K192" s="130" t="s">
        <v>570</v>
      </c>
      <c r="L192" s="129" t="s">
        <v>570</v>
      </c>
      <c r="M192" s="129" t="s">
        <v>570</v>
      </c>
      <c r="N192" s="129" t="s">
        <v>570</v>
      </c>
      <c r="O192" s="129" t="s">
        <v>570</v>
      </c>
      <c r="P192" s="409" t="s">
        <v>1074</v>
      </c>
      <c r="Q192" s="179"/>
      <c r="R192" s="179"/>
      <c r="S192" s="179"/>
      <c r="T192" s="500" t="e">
        <f>_xlfn.XLOOKUP(H192,#REF!,#REF!,0,0)</f>
        <v>#REF!</v>
      </c>
    </row>
    <row r="193" spans="1:20" x14ac:dyDescent="0.4">
      <c r="A193" s="111" t="s">
        <v>1075</v>
      </c>
      <c r="B193" s="71" t="s">
        <v>1076</v>
      </c>
      <c r="C193" s="71"/>
      <c r="D193" s="71" t="s">
        <v>693</v>
      </c>
      <c r="E193" s="125" t="s">
        <v>567</v>
      </c>
      <c r="F193" s="121" t="s">
        <v>190</v>
      </c>
      <c r="G193" s="23">
        <v>43819</v>
      </c>
      <c r="H193" s="23" t="s">
        <v>220</v>
      </c>
      <c r="I193" s="71">
        <v>69606</v>
      </c>
      <c r="J193" s="71" t="s">
        <v>1077</v>
      </c>
      <c r="K193" s="125" t="s">
        <v>570</v>
      </c>
      <c r="L193" s="111" t="s">
        <v>570</v>
      </c>
      <c r="M193" s="111" t="s">
        <v>570</v>
      </c>
      <c r="N193" s="111" t="s">
        <v>570</v>
      </c>
      <c r="O193" s="111" t="s">
        <v>570</v>
      </c>
      <c r="P193" s="439" t="s">
        <v>1078</v>
      </c>
      <c r="Q193" s="179"/>
      <c r="R193" s="179"/>
      <c r="S193" s="179"/>
      <c r="T193" s="500" t="e">
        <f>_xlfn.XLOOKUP(H193,#REF!,#REF!,0,0)</f>
        <v>#REF!</v>
      </c>
    </row>
    <row r="194" spans="1:20" x14ac:dyDescent="0.4">
      <c r="A194" s="129" t="s">
        <v>1079</v>
      </c>
      <c r="B194" s="129" t="s">
        <v>1080</v>
      </c>
      <c r="C194" s="129"/>
      <c r="D194" s="129" t="s">
        <v>693</v>
      </c>
      <c r="E194" s="130" t="s">
        <v>567</v>
      </c>
      <c r="F194" s="129" t="s">
        <v>190</v>
      </c>
      <c r="G194" s="130">
        <v>43819</v>
      </c>
      <c r="H194" s="130" t="s">
        <v>229</v>
      </c>
      <c r="I194" s="129">
        <v>69626</v>
      </c>
      <c r="J194" s="129" t="s">
        <v>1081</v>
      </c>
      <c r="K194" s="130" t="s">
        <v>570</v>
      </c>
      <c r="L194" s="129" t="s">
        <v>570</v>
      </c>
      <c r="M194" s="129" t="s">
        <v>570</v>
      </c>
      <c r="N194" s="129" t="s">
        <v>570</v>
      </c>
      <c r="O194" s="129" t="s">
        <v>570</v>
      </c>
      <c r="P194" s="409" t="s">
        <v>1082</v>
      </c>
      <c r="Q194" s="179"/>
      <c r="R194" s="179"/>
      <c r="S194" s="179"/>
      <c r="T194" s="500" t="e">
        <f>_xlfn.XLOOKUP(H194,#REF!,#REF!,0,0)</f>
        <v>#REF!</v>
      </c>
    </row>
    <row r="195" spans="1:20" x14ac:dyDescent="0.4">
      <c r="A195" s="111" t="s">
        <v>1083</v>
      </c>
      <c r="B195" s="111" t="s">
        <v>1084</v>
      </c>
      <c r="C195" s="111"/>
      <c r="D195" s="111" t="s">
        <v>693</v>
      </c>
      <c r="E195" s="125" t="s">
        <v>567</v>
      </c>
      <c r="F195" s="190" t="s">
        <v>190</v>
      </c>
      <c r="G195" s="125">
        <v>43819</v>
      </c>
      <c r="H195" s="125" t="s">
        <v>222</v>
      </c>
      <c r="I195" s="111">
        <v>69609</v>
      </c>
      <c r="J195" s="111" t="s">
        <v>1085</v>
      </c>
      <c r="K195" s="125" t="s">
        <v>570</v>
      </c>
      <c r="L195" s="111" t="s">
        <v>570</v>
      </c>
      <c r="M195" s="111" t="s">
        <v>570</v>
      </c>
      <c r="N195" s="111" t="s">
        <v>570</v>
      </c>
      <c r="O195" s="111" t="s">
        <v>570</v>
      </c>
      <c r="P195" s="423"/>
      <c r="Q195" s="179"/>
      <c r="R195" s="179"/>
      <c r="S195" s="179"/>
      <c r="T195" s="500" t="e">
        <f>_xlfn.XLOOKUP(H195,#REF!,#REF!,0,0)</f>
        <v>#REF!</v>
      </c>
    </row>
    <row r="196" spans="1:20" x14ac:dyDescent="0.4">
      <c r="A196" s="129" t="s">
        <v>1086</v>
      </c>
      <c r="B196" s="129" t="s">
        <v>1087</v>
      </c>
      <c r="C196" s="129"/>
      <c r="D196" s="129" t="s">
        <v>693</v>
      </c>
      <c r="E196" s="130" t="s">
        <v>567</v>
      </c>
      <c r="F196" s="129" t="s">
        <v>190</v>
      </c>
      <c r="G196" s="130">
        <v>43819</v>
      </c>
      <c r="H196" s="130" t="s">
        <v>1088</v>
      </c>
      <c r="I196" s="129">
        <v>69625</v>
      </c>
      <c r="J196" s="129" t="s">
        <v>1089</v>
      </c>
      <c r="K196" s="130" t="s">
        <v>570</v>
      </c>
      <c r="L196" s="129" t="s">
        <v>570</v>
      </c>
      <c r="M196" s="129" t="s">
        <v>570</v>
      </c>
      <c r="N196" s="129" t="s">
        <v>570</v>
      </c>
      <c r="O196" s="129" t="s">
        <v>570</v>
      </c>
      <c r="P196" s="409" t="s">
        <v>1090</v>
      </c>
      <c r="Q196" s="179"/>
      <c r="R196" s="179"/>
      <c r="S196" s="179"/>
      <c r="T196" s="500" t="e">
        <f>_xlfn.XLOOKUP(H196,#REF!,#REF!,0,0)</f>
        <v>#REF!</v>
      </c>
    </row>
    <row r="197" spans="1:20" x14ac:dyDescent="0.4">
      <c r="A197" s="129" t="s">
        <v>1091</v>
      </c>
      <c r="B197" s="129" t="s">
        <v>1092</v>
      </c>
      <c r="C197" s="129"/>
      <c r="D197" s="129" t="s">
        <v>693</v>
      </c>
      <c r="E197" s="130" t="s">
        <v>567</v>
      </c>
      <c r="F197" s="129" t="s">
        <v>190</v>
      </c>
      <c r="G197" s="130">
        <v>43819</v>
      </c>
      <c r="H197" s="130" t="s">
        <v>1093</v>
      </c>
      <c r="I197" s="129">
        <v>69629</v>
      </c>
      <c r="J197" s="129" t="s">
        <v>1094</v>
      </c>
      <c r="K197" s="130" t="s">
        <v>570</v>
      </c>
      <c r="L197" s="129" t="s">
        <v>570</v>
      </c>
      <c r="M197" s="129" t="s">
        <v>570</v>
      </c>
      <c r="N197" s="129" t="s">
        <v>570</v>
      </c>
      <c r="O197" s="129" t="s">
        <v>570</v>
      </c>
      <c r="P197" s="409" t="s">
        <v>1090</v>
      </c>
      <c r="Q197" s="179"/>
      <c r="R197" s="179"/>
      <c r="S197" s="179"/>
      <c r="T197" s="500" t="e">
        <f>_xlfn.XLOOKUP(H197,#REF!,#REF!,0,0)</f>
        <v>#REF!</v>
      </c>
    </row>
    <row r="198" spans="1:20" x14ac:dyDescent="0.4">
      <c r="A198" s="111" t="s">
        <v>1095</v>
      </c>
      <c r="B198" s="111" t="s">
        <v>1096</v>
      </c>
      <c r="C198" s="111"/>
      <c r="D198" s="111" t="s">
        <v>1097</v>
      </c>
      <c r="E198" s="125" t="s">
        <v>567</v>
      </c>
      <c r="F198" s="190" t="s">
        <v>190</v>
      </c>
      <c r="G198" s="125">
        <v>43819</v>
      </c>
      <c r="H198" s="125" t="s">
        <v>1098</v>
      </c>
      <c r="I198" s="111">
        <v>69604</v>
      </c>
      <c r="J198" s="111" t="s">
        <v>1099</v>
      </c>
      <c r="K198" s="125" t="s">
        <v>570</v>
      </c>
      <c r="L198" s="111" t="s">
        <v>570</v>
      </c>
      <c r="M198" s="111" t="s">
        <v>570</v>
      </c>
      <c r="N198" s="111" t="s">
        <v>570</v>
      </c>
      <c r="O198" s="111" t="s">
        <v>570</v>
      </c>
      <c r="P198" s="423"/>
      <c r="Q198" s="179"/>
      <c r="R198" s="179"/>
      <c r="S198" s="179"/>
      <c r="T198" s="500" t="e">
        <f>_xlfn.XLOOKUP(H198,#REF!,#REF!,0,0)</f>
        <v>#REF!</v>
      </c>
    </row>
    <row r="199" spans="1:20" x14ac:dyDescent="0.4">
      <c r="A199" s="111" t="s">
        <v>1100</v>
      </c>
      <c r="B199" s="111" t="s">
        <v>1101</v>
      </c>
      <c r="C199" s="111"/>
      <c r="D199" s="111" t="s">
        <v>1097</v>
      </c>
      <c r="E199" s="125" t="s">
        <v>567</v>
      </c>
      <c r="F199" s="190" t="s">
        <v>190</v>
      </c>
      <c r="G199" s="125">
        <v>43819</v>
      </c>
      <c r="H199" s="125" t="s">
        <v>1102</v>
      </c>
      <c r="I199" s="111">
        <v>69611</v>
      </c>
      <c r="J199" s="111" t="s">
        <v>1103</v>
      </c>
      <c r="K199" s="125" t="s">
        <v>570</v>
      </c>
      <c r="L199" s="111" t="s">
        <v>570</v>
      </c>
      <c r="M199" s="111" t="s">
        <v>570</v>
      </c>
      <c r="N199" s="111" t="s">
        <v>570</v>
      </c>
      <c r="O199" s="111" t="s">
        <v>570</v>
      </c>
      <c r="P199" s="423"/>
      <c r="Q199" s="179"/>
      <c r="R199" s="179"/>
      <c r="S199" s="179"/>
      <c r="T199" s="500" t="e">
        <f>_xlfn.XLOOKUP(H199,#REF!,#REF!,0,0)</f>
        <v>#REF!</v>
      </c>
    </row>
    <row r="200" spans="1:20" x14ac:dyDescent="0.4">
      <c r="A200" s="129" t="s">
        <v>1104</v>
      </c>
      <c r="B200" s="129" t="s">
        <v>1105</v>
      </c>
      <c r="C200" s="129"/>
      <c r="D200" s="142" t="s">
        <v>718</v>
      </c>
      <c r="E200" s="130" t="s">
        <v>567</v>
      </c>
      <c r="F200" s="129" t="s">
        <v>190</v>
      </c>
      <c r="G200" s="130">
        <v>43819</v>
      </c>
      <c r="H200" s="130" t="s">
        <v>211</v>
      </c>
      <c r="I200" s="129">
        <v>69441</v>
      </c>
      <c r="J200" s="129" t="s">
        <v>1106</v>
      </c>
      <c r="K200" s="130" t="s">
        <v>570</v>
      </c>
      <c r="L200" s="129" t="s">
        <v>570</v>
      </c>
      <c r="M200" s="142" t="s">
        <v>570</v>
      </c>
      <c r="N200" s="142" t="s">
        <v>570</v>
      </c>
      <c r="O200" s="142" t="s">
        <v>570</v>
      </c>
      <c r="P200" s="428"/>
      <c r="Q200" s="179"/>
      <c r="R200" s="179"/>
      <c r="S200" s="179"/>
      <c r="T200" s="500" t="e">
        <f>_xlfn.XLOOKUP(H200,#REF!,#REF!,0,0)</f>
        <v>#REF!</v>
      </c>
    </row>
    <row r="201" spans="1:20" x14ac:dyDescent="0.4">
      <c r="A201" s="129" t="s">
        <v>1107</v>
      </c>
      <c r="B201" s="129" t="s">
        <v>1108</v>
      </c>
      <c r="C201" s="129"/>
      <c r="D201" s="129" t="s">
        <v>718</v>
      </c>
      <c r="E201" s="130" t="s">
        <v>567</v>
      </c>
      <c r="F201" s="129" t="s">
        <v>190</v>
      </c>
      <c r="G201" s="130">
        <v>43819</v>
      </c>
      <c r="H201" s="130" t="s">
        <v>221</v>
      </c>
      <c r="I201" s="129">
        <v>69607</v>
      </c>
      <c r="J201" s="129" t="s">
        <v>1109</v>
      </c>
      <c r="K201" s="130" t="s">
        <v>570</v>
      </c>
      <c r="L201" s="129" t="s">
        <v>570</v>
      </c>
      <c r="M201" s="129" t="s">
        <v>570</v>
      </c>
      <c r="N201" s="129" t="s">
        <v>570</v>
      </c>
      <c r="O201" s="129" t="s">
        <v>570</v>
      </c>
      <c r="P201" s="409"/>
      <c r="Q201" s="179"/>
      <c r="R201" s="179"/>
      <c r="S201" s="179"/>
      <c r="T201" s="500" t="e">
        <f>_xlfn.XLOOKUP(H201,#REF!,#REF!,0,0)</f>
        <v>#REF!</v>
      </c>
    </row>
    <row r="202" spans="1:20" x14ac:dyDescent="0.4">
      <c r="A202" s="142" t="s">
        <v>1110</v>
      </c>
      <c r="B202" s="129" t="s">
        <v>1111</v>
      </c>
      <c r="C202" s="129"/>
      <c r="D202" s="129" t="s">
        <v>681</v>
      </c>
      <c r="E202" s="130" t="s">
        <v>567</v>
      </c>
      <c r="F202" s="129" t="s">
        <v>190</v>
      </c>
      <c r="G202" s="130">
        <v>43819</v>
      </c>
      <c r="H202" s="130" t="s">
        <v>224</v>
      </c>
      <c r="I202" s="129">
        <v>69613</v>
      </c>
      <c r="J202" s="129" t="s">
        <v>1112</v>
      </c>
      <c r="K202" s="130" t="s">
        <v>570</v>
      </c>
      <c r="L202" s="129" t="s">
        <v>570</v>
      </c>
      <c r="M202" s="129" t="s">
        <v>570</v>
      </c>
      <c r="N202" s="129" t="s">
        <v>570</v>
      </c>
      <c r="O202" s="129" t="s">
        <v>570</v>
      </c>
      <c r="P202" s="409"/>
      <c r="Q202" s="179"/>
      <c r="R202" s="179"/>
      <c r="S202" s="179"/>
      <c r="T202" s="500" t="e">
        <f>_xlfn.XLOOKUP(H202,#REF!,#REF!,0,0)</f>
        <v>#REF!</v>
      </c>
    </row>
    <row r="203" spans="1:20" x14ac:dyDescent="0.4">
      <c r="A203" s="129" t="s">
        <v>1113</v>
      </c>
      <c r="B203" s="129" t="s">
        <v>1114</v>
      </c>
      <c r="C203" s="129"/>
      <c r="D203" s="129" t="s">
        <v>718</v>
      </c>
      <c r="E203" s="130" t="s">
        <v>567</v>
      </c>
      <c r="F203" s="129" t="s">
        <v>190</v>
      </c>
      <c r="G203" s="130">
        <v>43819</v>
      </c>
      <c r="H203" s="130" t="s">
        <v>232</v>
      </c>
      <c r="I203" s="129">
        <v>69631</v>
      </c>
      <c r="J203" s="129" t="s">
        <v>1115</v>
      </c>
      <c r="K203" s="130" t="s">
        <v>570</v>
      </c>
      <c r="L203" s="129" t="s">
        <v>570</v>
      </c>
      <c r="M203" s="129" t="s">
        <v>570</v>
      </c>
      <c r="N203" s="129" t="s">
        <v>570</v>
      </c>
      <c r="O203" s="129" t="s">
        <v>570</v>
      </c>
      <c r="P203" s="409"/>
      <c r="Q203" s="179"/>
      <c r="R203" s="179"/>
      <c r="S203" s="179"/>
      <c r="T203" s="500" t="e">
        <f>_xlfn.XLOOKUP(H203,#REF!,#REF!,0,0)</f>
        <v>#REF!</v>
      </c>
    </row>
    <row r="204" spans="1:20" x14ac:dyDescent="0.4">
      <c r="A204" s="129" t="s">
        <v>1116</v>
      </c>
      <c r="B204" s="129" t="s">
        <v>1117</v>
      </c>
      <c r="C204" s="129"/>
      <c r="D204" s="129" t="s">
        <v>718</v>
      </c>
      <c r="E204" s="130" t="s">
        <v>567</v>
      </c>
      <c r="F204" s="129" t="s">
        <v>190</v>
      </c>
      <c r="G204" s="130">
        <v>43819</v>
      </c>
      <c r="H204" s="130" t="s">
        <v>233</v>
      </c>
      <c r="I204" s="129">
        <v>69633</v>
      </c>
      <c r="J204" s="129" t="s">
        <v>1118</v>
      </c>
      <c r="K204" s="130" t="s">
        <v>570</v>
      </c>
      <c r="L204" s="129" t="s">
        <v>570</v>
      </c>
      <c r="M204" s="129" t="s">
        <v>570</v>
      </c>
      <c r="N204" s="129" t="s">
        <v>570</v>
      </c>
      <c r="O204" s="129" t="s">
        <v>570</v>
      </c>
      <c r="P204" s="409"/>
      <c r="Q204" s="179"/>
      <c r="R204" s="179"/>
      <c r="S204" s="179"/>
      <c r="T204" s="500" t="e">
        <f>_xlfn.XLOOKUP(H204,#REF!,#REF!,0,0)</f>
        <v>#REF!</v>
      </c>
    </row>
    <row r="205" spans="1:20" x14ac:dyDescent="0.4">
      <c r="A205" s="129" t="s">
        <v>1119</v>
      </c>
      <c r="B205" s="129" t="s">
        <v>1120</v>
      </c>
      <c r="C205" s="129"/>
      <c r="D205" s="129" t="s">
        <v>718</v>
      </c>
      <c r="E205" s="130" t="s">
        <v>567</v>
      </c>
      <c r="F205" s="129" t="s">
        <v>190</v>
      </c>
      <c r="G205" s="130">
        <v>43819</v>
      </c>
      <c r="H205" s="130" t="s">
        <v>219</v>
      </c>
      <c r="I205" s="129">
        <v>69603</v>
      </c>
      <c r="J205" s="129" t="s">
        <v>1121</v>
      </c>
      <c r="K205" s="130" t="s">
        <v>570</v>
      </c>
      <c r="L205" s="129" t="s">
        <v>570</v>
      </c>
      <c r="M205" s="129" t="s">
        <v>570</v>
      </c>
      <c r="N205" s="129" t="s">
        <v>570</v>
      </c>
      <c r="O205" s="129" t="s">
        <v>570</v>
      </c>
      <c r="P205" s="409"/>
      <c r="Q205" s="179"/>
      <c r="R205" s="179"/>
      <c r="S205" s="179"/>
      <c r="T205" s="500" t="e">
        <f>_xlfn.XLOOKUP(H205,#REF!,#REF!,0,0)</f>
        <v>#REF!</v>
      </c>
    </row>
    <row r="206" spans="1:20" x14ac:dyDescent="0.4">
      <c r="A206" s="129" t="s">
        <v>1122</v>
      </c>
      <c r="B206" s="129" t="s">
        <v>1123</v>
      </c>
      <c r="C206" s="129"/>
      <c r="D206" s="129" t="s">
        <v>718</v>
      </c>
      <c r="E206" s="130" t="s">
        <v>567</v>
      </c>
      <c r="F206" s="129" t="s">
        <v>190</v>
      </c>
      <c r="G206" s="130">
        <v>43819</v>
      </c>
      <c r="H206" s="130" t="s">
        <v>1124</v>
      </c>
      <c r="I206" s="129">
        <v>69639</v>
      </c>
      <c r="J206" s="129" t="s">
        <v>1125</v>
      </c>
      <c r="K206" s="130" t="s">
        <v>570</v>
      </c>
      <c r="L206" s="129" t="s">
        <v>570</v>
      </c>
      <c r="M206" s="129" t="s">
        <v>570</v>
      </c>
      <c r="N206" s="129" t="s">
        <v>570</v>
      </c>
      <c r="O206" s="129" t="s">
        <v>570</v>
      </c>
      <c r="P206" s="409"/>
      <c r="Q206" s="179"/>
      <c r="R206" s="179"/>
      <c r="S206" s="179"/>
      <c r="T206" s="500" t="e">
        <f>_xlfn.XLOOKUP(H206,#REF!,#REF!,0,0)</f>
        <v>#REF!</v>
      </c>
    </row>
    <row r="207" spans="1:20" x14ac:dyDescent="0.4">
      <c r="A207" s="129" t="s">
        <v>1126</v>
      </c>
      <c r="B207" s="129" t="s">
        <v>1127</v>
      </c>
      <c r="C207" s="129"/>
      <c r="D207" s="129" t="s">
        <v>718</v>
      </c>
      <c r="E207" s="130" t="s">
        <v>567</v>
      </c>
      <c r="F207" s="129" t="s">
        <v>190</v>
      </c>
      <c r="G207" s="130">
        <v>43819</v>
      </c>
      <c r="H207" s="130" t="s">
        <v>240</v>
      </c>
      <c r="I207" s="129">
        <v>69648</v>
      </c>
      <c r="J207" s="129" t="s">
        <v>1128</v>
      </c>
      <c r="K207" s="130" t="s">
        <v>570</v>
      </c>
      <c r="L207" s="129" t="s">
        <v>570</v>
      </c>
      <c r="M207" s="129" t="s">
        <v>570</v>
      </c>
      <c r="N207" s="129" t="s">
        <v>570</v>
      </c>
      <c r="O207" s="129" t="s">
        <v>570</v>
      </c>
      <c r="P207" s="409"/>
      <c r="Q207" s="179"/>
      <c r="R207" s="179"/>
      <c r="S207" s="179"/>
      <c r="T207" s="500" t="e">
        <f>_xlfn.XLOOKUP(H207,#REF!,#REF!,0,0)</f>
        <v>#REF!</v>
      </c>
    </row>
    <row r="208" spans="1:20" x14ac:dyDescent="0.4">
      <c r="A208" s="129" t="s">
        <v>1129</v>
      </c>
      <c r="B208" s="129" t="s">
        <v>1130</v>
      </c>
      <c r="C208" s="129"/>
      <c r="D208" s="129" t="s">
        <v>693</v>
      </c>
      <c r="E208" s="130" t="s">
        <v>567</v>
      </c>
      <c r="F208" s="129" t="s">
        <v>190</v>
      </c>
      <c r="G208" s="130">
        <v>43819</v>
      </c>
      <c r="H208" s="130" t="s">
        <v>1131</v>
      </c>
      <c r="I208" s="129">
        <v>69614</v>
      </c>
      <c r="J208" s="129" t="s">
        <v>1132</v>
      </c>
      <c r="K208" s="130" t="s">
        <v>570</v>
      </c>
      <c r="L208" s="129" t="s">
        <v>570</v>
      </c>
      <c r="M208" s="129" t="s">
        <v>570</v>
      </c>
      <c r="N208" s="129" t="s">
        <v>570</v>
      </c>
      <c r="O208" s="129" t="s">
        <v>570</v>
      </c>
      <c r="P208" s="409"/>
      <c r="Q208" s="179"/>
      <c r="R208" s="179"/>
      <c r="S208" s="179"/>
      <c r="T208" s="500" t="e">
        <f>_xlfn.XLOOKUP(H208,#REF!,#REF!,0,0)</f>
        <v>#REF!</v>
      </c>
    </row>
    <row r="209" spans="1:20" x14ac:dyDescent="0.4">
      <c r="A209" s="129" t="s">
        <v>432</v>
      </c>
      <c r="B209" s="129" t="s">
        <v>1133</v>
      </c>
      <c r="C209" s="129"/>
      <c r="D209" s="129" t="s">
        <v>718</v>
      </c>
      <c r="E209" s="130" t="s">
        <v>567</v>
      </c>
      <c r="F209" s="129" t="s">
        <v>190</v>
      </c>
      <c r="G209" s="130">
        <v>44123</v>
      </c>
      <c r="H209" s="130" t="s">
        <v>251</v>
      </c>
      <c r="I209" s="129">
        <v>70490</v>
      </c>
      <c r="J209" s="129" t="s">
        <v>1134</v>
      </c>
      <c r="K209" s="130" t="s">
        <v>570</v>
      </c>
      <c r="L209" s="129" t="s">
        <v>570</v>
      </c>
      <c r="M209" s="129" t="s">
        <v>570</v>
      </c>
      <c r="N209" s="129" t="s">
        <v>570</v>
      </c>
      <c r="O209" s="129" t="s">
        <v>570</v>
      </c>
      <c r="P209" s="449"/>
      <c r="Q209" s="179"/>
      <c r="R209" s="179"/>
      <c r="S209" s="179"/>
      <c r="T209" s="500" t="e">
        <f>_xlfn.XLOOKUP(H209,#REF!,#REF!,0,0)</f>
        <v>#REF!</v>
      </c>
    </row>
    <row r="210" spans="1:20" x14ac:dyDescent="0.4">
      <c r="A210" s="129" t="s">
        <v>1135</v>
      </c>
      <c r="B210" s="129" t="s">
        <v>1136</v>
      </c>
      <c r="C210" s="129"/>
      <c r="D210" s="129" t="s">
        <v>693</v>
      </c>
      <c r="E210" s="130" t="s">
        <v>567</v>
      </c>
      <c r="F210" s="129" t="s">
        <v>190</v>
      </c>
      <c r="G210" s="130">
        <v>43819</v>
      </c>
      <c r="H210" s="130" t="s">
        <v>223</v>
      </c>
      <c r="I210" s="129">
        <v>69610</v>
      </c>
      <c r="J210" s="129" t="s">
        <v>1137</v>
      </c>
      <c r="K210" s="130" t="s">
        <v>570</v>
      </c>
      <c r="L210" s="129" t="s">
        <v>570</v>
      </c>
      <c r="M210" s="129" t="s">
        <v>570</v>
      </c>
      <c r="N210" s="129"/>
      <c r="O210" s="129" t="s">
        <v>570</v>
      </c>
      <c r="P210" s="409" t="s">
        <v>1138</v>
      </c>
      <c r="Q210" s="179"/>
      <c r="R210" s="179"/>
      <c r="S210" s="179"/>
      <c r="T210" s="500" t="e">
        <f>_xlfn.XLOOKUP(H210,#REF!,#REF!,0,0)</f>
        <v>#REF!</v>
      </c>
    </row>
    <row r="211" spans="1:20" x14ac:dyDescent="0.4">
      <c r="A211" s="129" t="s">
        <v>1139</v>
      </c>
      <c r="B211" s="129" t="s">
        <v>572</v>
      </c>
      <c r="C211" s="129"/>
      <c r="D211" s="129" t="s">
        <v>718</v>
      </c>
      <c r="E211" s="130" t="s">
        <v>567</v>
      </c>
      <c r="F211" s="129" t="s">
        <v>190</v>
      </c>
      <c r="G211" s="130">
        <v>43819</v>
      </c>
      <c r="H211" s="130" t="s">
        <v>1140</v>
      </c>
      <c r="I211" s="129">
        <v>69636</v>
      </c>
      <c r="J211" s="129" t="s">
        <v>1141</v>
      </c>
      <c r="K211" s="130" t="s">
        <v>570</v>
      </c>
      <c r="L211" s="129" t="s">
        <v>570</v>
      </c>
      <c r="M211" s="129" t="s">
        <v>570</v>
      </c>
      <c r="N211" s="129"/>
      <c r="O211" s="129" t="s">
        <v>570</v>
      </c>
      <c r="P211" s="409"/>
      <c r="Q211" s="179"/>
      <c r="R211" s="179"/>
      <c r="S211" s="179"/>
      <c r="T211" s="500" t="e">
        <f>_xlfn.XLOOKUP(H211,#REF!,#REF!,0,0)</f>
        <v>#REF!</v>
      </c>
    </row>
    <row r="212" spans="1:20" x14ac:dyDescent="0.4">
      <c r="A212" s="129" t="s">
        <v>1142</v>
      </c>
      <c r="B212" s="129" t="s">
        <v>1143</v>
      </c>
      <c r="C212" s="129"/>
      <c r="D212" s="129"/>
      <c r="E212" s="130" t="s">
        <v>567</v>
      </c>
      <c r="F212" s="129" t="s">
        <v>190</v>
      </c>
      <c r="G212" s="130">
        <v>43819</v>
      </c>
      <c r="H212" s="130" t="s">
        <v>231</v>
      </c>
      <c r="I212" s="129">
        <v>69628</v>
      </c>
      <c r="J212" s="129" t="s">
        <v>1144</v>
      </c>
      <c r="K212" s="130" t="s">
        <v>570</v>
      </c>
      <c r="L212" s="129" t="s">
        <v>570</v>
      </c>
      <c r="M212" s="129" t="s">
        <v>570</v>
      </c>
      <c r="N212" s="129"/>
      <c r="O212" s="129" t="s">
        <v>570</v>
      </c>
      <c r="P212" s="409"/>
      <c r="Q212" s="179"/>
      <c r="R212" s="179"/>
      <c r="S212" s="179"/>
      <c r="T212" s="500" t="e">
        <f>_xlfn.XLOOKUP(H212,#REF!,#REF!,0,0)</f>
        <v>#REF!</v>
      </c>
    </row>
    <row r="213" spans="1:20" x14ac:dyDescent="0.4">
      <c r="A213" s="129"/>
      <c r="B213" s="129" t="s">
        <v>1145</v>
      </c>
      <c r="C213" s="129"/>
      <c r="D213" s="129"/>
      <c r="E213" s="130" t="s">
        <v>567</v>
      </c>
      <c r="F213" s="129" t="s">
        <v>190</v>
      </c>
      <c r="G213" s="130">
        <v>43819</v>
      </c>
      <c r="H213" s="130" t="s">
        <v>1146</v>
      </c>
      <c r="I213" s="129">
        <v>69615</v>
      </c>
      <c r="J213" s="129" t="s">
        <v>1147</v>
      </c>
      <c r="K213" s="130" t="s">
        <v>570</v>
      </c>
      <c r="L213" s="129"/>
      <c r="M213" s="129" t="s">
        <v>570</v>
      </c>
      <c r="N213" s="129"/>
      <c r="O213" s="129"/>
      <c r="P213" s="409"/>
      <c r="Q213" s="179"/>
      <c r="R213" s="179"/>
      <c r="S213" s="179"/>
      <c r="T213" s="500" t="e">
        <f>_xlfn.XLOOKUP(H213,#REF!,#REF!,0,0)</f>
        <v>#REF!</v>
      </c>
    </row>
    <row r="214" spans="1:20" x14ac:dyDescent="0.4">
      <c r="A214" s="129"/>
      <c r="B214" s="129" t="s">
        <v>1148</v>
      </c>
      <c r="C214" s="129"/>
      <c r="D214" s="129"/>
      <c r="E214" s="130" t="s">
        <v>567</v>
      </c>
      <c r="F214" s="129" t="s">
        <v>190</v>
      </c>
      <c r="G214" s="130">
        <v>43819</v>
      </c>
      <c r="H214" s="130" t="s">
        <v>238</v>
      </c>
      <c r="I214" s="129">
        <v>69642</v>
      </c>
      <c r="J214" s="129" t="s">
        <v>1149</v>
      </c>
      <c r="K214" s="130" t="s">
        <v>570</v>
      </c>
      <c r="L214" s="129"/>
      <c r="M214" s="129" t="s">
        <v>570</v>
      </c>
      <c r="N214" s="129"/>
      <c r="O214" s="129"/>
      <c r="P214" s="409"/>
      <c r="Q214" s="179"/>
      <c r="R214" s="179"/>
      <c r="S214" s="179"/>
      <c r="T214" s="500" t="e">
        <f>_xlfn.XLOOKUP(H214,#REF!,#REF!,0,0)</f>
        <v>#REF!</v>
      </c>
    </row>
    <row r="215" spans="1:20" x14ac:dyDescent="0.4">
      <c r="A215" s="129"/>
      <c r="B215" s="129" t="s">
        <v>1148</v>
      </c>
      <c r="C215" s="129"/>
      <c r="D215" s="129"/>
      <c r="E215" s="130" t="s">
        <v>567</v>
      </c>
      <c r="F215" s="129" t="s">
        <v>190</v>
      </c>
      <c r="G215" s="130">
        <v>43819</v>
      </c>
      <c r="H215" s="130" t="s">
        <v>1150</v>
      </c>
      <c r="I215" s="129">
        <v>69647</v>
      </c>
      <c r="J215" s="129" t="s">
        <v>1151</v>
      </c>
      <c r="K215" s="130" t="s">
        <v>570</v>
      </c>
      <c r="L215" s="129"/>
      <c r="M215" s="129" t="s">
        <v>570</v>
      </c>
      <c r="N215" s="129"/>
      <c r="O215" s="129"/>
      <c r="P215" s="409"/>
      <c r="Q215" s="179"/>
      <c r="R215" s="179"/>
      <c r="S215" s="179"/>
      <c r="T215" s="500" t="e">
        <f>_xlfn.XLOOKUP(H215,#REF!,#REF!,0,0)</f>
        <v>#REF!</v>
      </c>
    </row>
    <row r="216" spans="1:20" x14ac:dyDescent="0.4">
      <c r="A216" s="129"/>
      <c r="B216" s="129" t="s">
        <v>1148</v>
      </c>
      <c r="C216" s="129"/>
      <c r="D216" s="129"/>
      <c r="E216" s="130" t="s">
        <v>567</v>
      </c>
      <c r="F216" s="129" t="s">
        <v>190</v>
      </c>
      <c r="G216" s="130">
        <v>43819</v>
      </c>
      <c r="H216" s="130" t="s">
        <v>1152</v>
      </c>
      <c r="I216" s="129">
        <v>69649</v>
      </c>
      <c r="J216" s="129" t="s">
        <v>1153</v>
      </c>
      <c r="K216" s="130" t="s">
        <v>570</v>
      </c>
      <c r="L216" s="129"/>
      <c r="M216" s="129" t="s">
        <v>570</v>
      </c>
      <c r="N216" s="129"/>
      <c r="O216" s="129"/>
      <c r="P216" s="409"/>
      <c r="Q216" s="179"/>
      <c r="R216" s="179"/>
      <c r="S216" s="179"/>
      <c r="T216" s="500" t="e">
        <f>_xlfn.XLOOKUP(H216,#REF!,#REF!,0,0)</f>
        <v>#REF!</v>
      </c>
    </row>
    <row r="217" spans="1:20" x14ac:dyDescent="0.4">
      <c r="A217" s="129" t="s">
        <v>1154</v>
      </c>
      <c r="B217" s="129" t="s">
        <v>1155</v>
      </c>
      <c r="C217" s="129"/>
      <c r="D217" s="129" t="s">
        <v>693</v>
      </c>
      <c r="E217" s="130" t="s">
        <v>10</v>
      </c>
      <c r="F217" s="129" t="s">
        <v>1156</v>
      </c>
      <c r="G217" s="130" t="s">
        <v>1157</v>
      </c>
      <c r="H217" s="130">
        <v>70543</v>
      </c>
      <c r="I217" s="129" t="s">
        <v>1158</v>
      </c>
      <c r="J217" s="129" t="s">
        <v>570</v>
      </c>
      <c r="K217" s="130" t="s">
        <v>570</v>
      </c>
      <c r="L217" s="129" t="s">
        <v>570</v>
      </c>
      <c r="M217" s="129" t="s">
        <v>570</v>
      </c>
      <c r="N217" s="129" t="s">
        <v>570</v>
      </c>
      <c r="O217" s="129" t="s">
        <v>1159</v>
      </c>
      <c r="P217" s="449"/>
      <c r="Q217" s="179"/>
      <c r="R217" s="179"/>
      <c r="S217" s="179"/>
      <c r="T217" s="500" t="e">
        <f>_xlfn.XLOOKUP(H217,#REF!,#REF!,0,0)</f>
        <v>#REF!</v>
      </c>
    </row>
    <row r="218" spans="1:20" x14ac:dyDescent="0.4">
      <c r="A218" s="71"/>
      <c r="B218" s="71" t="s">
        <v>1160</v>
      </c>
      <c r="C218" s="71"/>
      <c r="D218" s="71" t="s">
        <v>1161</v>
      </c>
      <c r="E218" s="23" t="s">
        <v>10</v>
      </c>
      <c r="F218" s="71" t="s">
        <v>331</v>
      </c>
      <c r="G218" s="23" t="s">
        <v>1162</v>
      </c>
      <c r="H218" s="23">
        <v>70599</v>
      </c>
      <c r="I218" s="71" t="s">
        <v>1163</v>
      </c>
      <c r="J218" s="111" t="s">
        <v>570</v>
      </c>
      <c r="K218" s="130" t="s">
        <v>570</v>
      </c>
      <c r="L218" s="111" t="s">
        <v>570</v>
      </c>
      <c r="M218" s="111" t="s">
        <v>570</v>
      </c>
      <c r="N218" s="111" t="s">
        <v>570</v>
      </c>
      <c r="O218" s="71" t="s">
        <v>1164</v>
      </c>
      <c r="P218" s="449"/>
      <c r="Q218" s="179"/>
      <c r="R218" s="179"/>
      <c r="S218" s="179"/>
      <c r="T218" s="500" t="e">
        <f>_xlfn.XLOOKUP(H218,#REF!,#REF!,0,0)</f>
        <v>#REF!</v>
      </c>
    </row>
    <row r="219" spans="1:20" x14ac:dyDescent="0.4">
      <c r="A219" s="98"/>
      <c r="B219" s="98" t="s">
        <v>1165</v>
      </c>
      <c r="C219" s="98"/>
      <c r="D219" s="98"/>
      <c r="E219" s="100"/>
      <c r="F219" s="98"/>
      <c r="G219" s="100"/>
      <c r="H219" s="100"/>
      <c r="I219" s="98"/>
      <c r="J219" s="98"/>
      <c r="K219" s="100"/>
      <c r="L219" s="98"/>
      <c r="M219" s="98"/>
      <c r="N219" s="98"/>
      <c r="O219" s="98" t="s">
        <v>1166</v>
      </c>
      <c r="P219" s="449"/>
      <c r="Q219" s="179"/>
      <c r="R219" s="179"/>
      <c r="S219" s="179"/>
      <c r="T219" s="500" t="e">
        <f>_xlfn.XLOOKUP(H219,#REF!,#REF!,0,0)</f>
        <v>#REF!</v>
      </c>
    </row>
    <row r="220" spans="1:20" x14ac:dyDescent="0.4">
      <c r="A220" s="111"/>
      <c r="B220" s="111" t="s">
        <v>1167</v>
      </c>
      <c r="C220" s="111"/>
      <c r="D220" s="111"/>
      <c r="E220" s="125" t="s">
        <v>10</v>
      </c>
      <c r="F220" s="111" t="s">
        <v>331</v>
      </c>
      <c r="G220" s="125" t="s">
        <v>1168</v>
      </c>
      <c r="H220" s="125">
        <v>70640</v>
      </c>
      <c r="I220" s="111" t="s">
        <v>1169</v>
      </c>
      <c r="J220" s="111" t="s">
        <v>570</v>
      </c>
      <c r="K220" s="125" t="s">
        <v>570</v>
      </c>
      <c r="L220" s="111" t="s">
        <v>570</v>
      </c>
      <c r="M220" s="111" t="s">
        <v>570</v>
      </c>
      <c r="N220" s="111" t="s">
        <v>570</v>
      </c>
      <c r="O220" s="111" t="s">
        <v>1170</v>
      </c>
      <c r="P220" s="449"/>
      <c r="Q220" s="179"/>
      <c r="R220" s="179"/>
      <c r="S220" s="179"/>
      <c r="T220" s="500" t="e">
        <f>_xlfn.XLOOKUP(H220,#REF!,#REF!,0,0)</f>
        <v>#REF!</v>
      </c>
    </row>
    <row r="221" spans="1:20" x14ac:dyDescent="0.4">
      <c r="A221" s="111"/>
      <c r="B221" s="111" t="s">
        <v>1171</v>
      </c>
      <c r="C221" s="111"/>
      <c r="D221" s="111"/>
      <c r="E221" s="125" t="s">
        <v>10</v>
      </c>
      <c r="F221" s="111" t="s">
        <v>331</v>
      </c>
      <c r="G221" s="125" t="s">
        <v>1172</v>
      </c>
      <c r="H221" s="125">
        <v>70642</v>
      </c>
      <c r="I221" s="111" t="s">
        <v>1173</v>
      </c>
      <c r="J221" s="111" t="s">
        <v>570</v>
      </c>
      <c r="K221" s="125" t="s">
        <v>570</v>
      </c>
      <c r="L221" s="111" t="s">
        <v>570</v>
      </c>
      <c r="M221" s="111" t="s">
        <v>570</v>
      </c>
      <c r="N221" s="111" t="s">
        <v>570</v>
      </c>
      <c r="O221" s="111" t="s">
        <v>1174</v>
      </c>
      <c r="P221" s="449"/>
      <c r="Q221" s="179"/>
      <c r="R221" s="179"/>
      <c r="S221" s="179"/>
      <c r="T221" s="500" t="e">
        <f>_xlfn.XLOOKUP(H221,#REF!,#REF!,0,0)</f>
        <v>#REF!</v>
      </c>
    </row>
    <row r="222" spans="1:20" x14ac:dyDescent="0.4">
      <c r="A222" s="111"/>
      <c r="B222" s="111" t="s">
        <v>1175</v>
      </c>
      <c r="C222" s="111"/>
      <c r="D222" s="111" t="s">
        <v>693</v>
      </c>
      <c r="E222" s="125" t="s">
        <v>10</v>
      </c>
      <c r="F222" s="190"/>
      <c r="G222" s="125" t="s">
        <v>1176</v>
      </c>
      <c r="H222" s="125">
        <v>70609</v>
      </c>
      <c r="I222" s="111"/>
      <c r="J222" s="111" t="s">
        <v>570</v>
      </c>
      <c r="K222" s="125" t="s">
        <v>570</v>
      </c>
      <c r="L222" s="111" t="s">
        <v>570</v>
      </c>
      <c r="M222" s="111" t="s">
        <v>570</v>
      </c>
      <c r="N222" s="111" t="s">
        <v>570</v>
      </c>
      <c r="O222" s="111" t="s">
        <v>570</v>
      </c>
      <c r="P222" s="449"/>
      <c r="Q222" s="179"/>
      <c r="R222" s="179"/>
      <c r="S222" s="179"/>
      <c r="T222" s="500" t="e">
        <f>_xlfn.XLOOKUP(H222,#REF!,#REF!,0,0)</f>
        <v>#REF!</v>
      </c>
    </row>
    <row r="223" spans="1:20" x14ac:dyDescent="0.4">
      <c r="A223" s="111"/>
      <c r="B223" s="111" t="s">
        <v>1177</v>
      </c>
      <c r="C223" s="111"/>
      <c r="D223" s="111" t="s">
        <v>693</v>
      </c>
      <c r="E223" s="125" t="s">
        <v>10</v>
      </c>
      <c r="F223" s="190"/>
      <c r="G223" s="125" t="s">
        <v>181</v>
      </c>
      <c r="H223" s="125">
        <v>69277</v>
      </c>
      <c r="I223" s="111"/>
      <c r="J223" s="111" t="s">
        <v>570</v>
      </c>
      <c r="K223" s="125" t="s">
        <v>570</v>
      </c>
      <c r="L223" s="111" t="s">
        <v>570</v>
      </c>
      <c r="M223" s="111" t="s">
        <v>570</v>
      </c>
      <c r="N223" s="111" t="s">
        <v>570</v>
      </c>
      <c r="O223" s="111" t="s">
        <v>570</v>
      </c>
      <c r="P223" s="449"/>
      <c r="Q223" s="179"/>
      <c r="R223" s="179"/>
      <c r="S223" s="179"/>
      <c r="T223" s="500" t="e">
        <f>_xlfn.XLOOKUP(H223,#REF!,#REF!,0,0)</f>
        <v>#REF!</v>
      </c>
    </row>
    <row r="224" spans="1:20" x14ac:dyDescent="0.4">
      <c r="A224" s="111"/>
      <c r="B224" s="111" t="s">
        <v>1178</v>
      </c>
      <c r="C224" s="111"/>
      <c r="D224" s="111" t="s">
        <v>693</v>
      </c>
      <c r="E224" s="125" t="s">
        <v>10</v>
      </c>
      <c r="F224" s="190"/>
      <c r="G224" s="125" t="s">
        <v>185</v>
      </c>
      <c r="H224" s="125">
        <v>69284</v>
      </c>
      <c r="I224" s="111"/>
      <c r="J224" s="111" t="s">
        <v>570</v>
      </c>
      <c r="K224" s="125" t="s">
        <v>570</v>
      </c>
      <c r="L224" s="111" t="s">
        <v>570</v>
      </c>
      <c r="M224" s="111" t="s">
        <v>570</v>
      </c>
      <c r="N224" s="111" t="s">
        <v>570</v>
      </c>
      <c r="O224" s="111" t="s">
        <v>570</v>
      </c>
      <c r="P224" s="449"/>
      <c r="Q224" s="179"/>
      <c r="R224" s="179"/>
      <c r="S224" s="179"/>
      <c r="T224" s="500" t="e">
        <f>_xlfn.XLOOKUP(H224,#REF!,#REF!,0,0)</f>
        <v>#REF!</v>
      </c>
    </row>
    <row r="225" spans="1:20" x14ac:dyDescent="0.4">
      <c r="A225" s="111"/>
      <c r="B225" s="111" t="s">
        <v>1179</v>
      </c>
      <c r="C225" s="111"/>
      <c r="D225" s="111" t="s">
        <v>693</v>
      </c>
      <c r="E225" s="125" t="s">
        <v>10</v>
      </c>
      <c r="F225" s="190"/>
      <c r="G225" s="125" t="s">
        <v>1180</v>
      </c>
      <c r="H225" s="125">
        <v>70446</v>
      </c>
      <c r="I225" s="111"/>
      <c r="J225" s="111" t="s">
        <v>570</v>
      </c>
      <c r="K225" s="125" t="s">
        <v>570</v>
      </c>
      <c r="L225" s="111" t="s">
        <v>570</v>
      </c>
      <c r="M225" s="111" t="s">
        <v>570</v>
      </c>
      <c r="N225" s="111" t="s">
        <v>570</v>
      </c>
      <c r="O225" s="111" t="s">
        <v>570</v>
      </c>
      <c r="P225" s="449"/>
      <c r="Q225" s="179"/>
      <c r="R225" s="179"/>
      <c r="S225" s="179"/>
      <c r="T225" s="500" t="e">
        <f>_xlfn.XLOOKUP(H225,#REF!,#REF!,0,0)</f>
        <v>#REF!</v>
      </c>
    </row>
    <row r="226" spans="1:20" x14ac:dyDescent="0.4">
      <c r="A226" s="134" t="s">
        <v>570</v>
      </c>
      <c r="B226" s="134" t="s">
        <v>1181</v>
      </c>
      <c r="C226" s="134"/>
      <c r="D226" s="134"/>
      <c r="E226" s="18" t="s">
        <v>1182</v>
      </c>
      <c r="F226" s="10">
        <v>41732</v>
      </c>
      <c r="G226" s="18" t="s">
        <v>1183</v>
      </c>
      <c r="H226" s="18">
        <v>58828</v>
      </c>
      <c r="I226" s="134" t="s">
        <v>1184</v>
      </c>
      <c r="J226" s="134" t="s">
        <v>1185</v>
      </c>
      <c r="K226" s="18" t="s">
        <v>570</v>
      </c>
      <c r="L226" s="134" t="s">
        <v>570</v>
      </c>
      <c r="M226" s="134" t="s">
        <v>364</v>
      </c>
      <c r="N226" s="134" t="s">
        <v>364</v>
      </c>
      <c r="O226" s="134" t="s">
        <v>570</v>
      </c>
      <c r="P226" s="449"/>
      <c r="Q226" s="179"/>
      <c r="R226" s="179"/>
      <c r="S226" s="179"/>
      <c r="T226" s="500" t="e">
        <f>_xlfn.XLOOKUP(H226,#REF!,#REF!,0,0)</f>
        <v>#REF!</v>
      </c>
    </row>
    <row r="227" spans="1:20" x14ac:dyDescent="0.4">
      <c r="A227" s="134" t="s">
        <v>570</v>
      </c>
      <c r="B227" s="134" t="s">
        <v>1186</v>
      </c>
      <c r="C227" s="134"/>
      <c r="D227" s="134"/>
      <c r="E227" s="18" t="s">
        <v>1182</v>
      </c>
      <c r="F227" s="134">
        <v>41732</v>
      </c>
      <c r="G227" s="18" t="s">
        <v>1187</v>
      </c>
      <c r="H227" s="18">
        <v>58829</v>
      </c>
      <c r="I227" s="134" t="s">
        <v>1188</v>
      </c>
      <c r="J227" s="134" t="s">
        <v>1189</v>
      </c>
      <c r="K227" s="18" t="s">
        <v>570</v>
      </c>
      <c r="L227" s="134" t="s">
        <v>570</v>
      </c>
      <c r="M227" s="134" t="s">
        <v>364</v>
      </c>
      <c r="N227" s="134" t="s">
        <v>364</v>
      </c>
      <c r="O227" s="134" t="s">
        <v>570</v>
      </c>
      <c r="P227" s="449"/>
      <c r="Q227" s="179"/>
      <c r="R227" s="179"/>
      <c r="S227" s="179"/>
      <c r="T227" s="500" t="e">
        <f>_xlfn.XLOOKUP(H227,#REF!,#REF!,0,0)</f>
        <v>#REF!</v>
      </c>
    </row>
    <row r="228" spans="1:20" x14ac:dyDescent="0.4">
      <c r="A228" s="134" t="s">
        <v>570</v>
      </c>
      <c r="B228" s="134" t="s">
        <v>1190</v>
      </c>
      <c r="C228" s="134"/>
      <c r="D228" s="134"/>
      <c r="E228" s="18" t="s">
        <v>1182</v>
      </c>
      <c r="F228" s="10">
        <v>41732</v>
      </c>
      <c r="G228" s="18" t="s">
        <v>1191</v>
      </c>
      <c r="H228" s="18">
        <v>58830</v>
      </c>
      <c r="I228" s="134" t="s">
        <v>1192</v>
      </c>
      <c r="J228" s="134" t="s">
        <v>1193</v>
      </c>
      <c r="K228" s="18" t="s">
        <v>570</v>
      </c>
      <c r="L228" s="134" t="s">
        <v>570</v>
      </c>
      <c r="M228" s="134" t="s">
        <v>364</v>
      </c>
      <c r="N228" s="134" t="s">
        <v>364</v>
      </c>
      <c r="O228" s="134" t="s">
        <v>570</v>
      </c>
      <c r="P228" s="449"/>
      <c r="Q228" s="179"/>
      <c r="R228" s="179"/>
      <c r="S228" s="179"/>
      <c r="T228" s="500" t="e">
        <f>_xlfn.XLOOKUP(H228,#REF!,#REF!,0,0)</f>
        <v>#REF!</v>
      </c>
    </row>
    <row r="229" spans="1:20" x14ac:dyDescent="0.4">
      <c r="A229" s="134" t="s">
        <v>570</v>
      </c>
      <c r="B229" s="134" t="s">
        <v>1194</v>
      </c>
      <c r="C229" s="134"/>
      <c r="D229" s="134"/>
      <c r="E229" s="18" t="s">
        <v>1182</v>
      </c>
      <c r="F229" s="10">
        <v>41759</v>
      </c>
      <c r="G229" s="18" t="s">
        <v>1195</v>
      </c>
      <c r="H229" s="18">
        <v>58886</v>
      </c>
      <c r="I229" s="134" t="s">
        <v>1196</v>
      </c>
      <c r="J229" s="134" t="s">
        <v>1197</v>
      </c>
      <c r="K229" s="18" t="s">
        <v>570</v>
      </c>
      <c r="L229" s="134" t="s">
        <v>570</v>
      </c>
      <c r="M229" s="134" t="s">
        <v>364</v>
      </c>
      <c r="N229" s="134" t="s">
        <v>364</v>
      </c>
      <c r="O229" s="134" t="s">
        <v>570</v>
      </c>
      <c r="P229" s="449"/>
      <c r="Q229" s="179"/>
      <c r="R229" s="179"/>
      <c r="S229" s="179"/>
      <c r="T229" s="500" t="e">
        <f>_xlfn.XLOOKUP(H229,#REF!,#REF!,0,0)</f>
        <v>#REF!</v>
      </c>
    </row>
    <row r="230" spans="1:20" x14ac:dyDescent="0.4">
      <c r="A230" s="134" t="s">
        <v>570</v>
      </c>
      <c r="B230" s="134" t="s">
        <v>1198</v>
      </c>
      <c r="C230" s="134"/>
      <c r="D230" s="134"/>
      <c r="E230" s="18" t="s">
        <v>1182</v>
      </c>
      <c r="F230" s="10">
        <v>41759</v>
      </c>
      <c r="G230" s="18" t="s">
        <v>1199</v>
      </c>
      <c r="H230" s="18">
        <v>58887</v>
      </c>
      <c r="I230" s="134" t="s">
        <v>1200</v>
      </c>
      <c r="J230" s="134" t="s">
        <v>1201</v>
      </c>
      <c r="K230" s="18" t="s">
        <v>570</v>
      </c>
      <c r="L230" s="134" t="s">
        <v>570</v>
      </c>
      <c r="M230" s="134" t="s">
        <v>364</v>
      </c>
      <c r="N230" s="134" t="s">
        <v>364</v>
      </c>
      <c r="O230" s="134" t="s">
        <v>570</v>
      </c>
      <c r="P230" s="449"/>
      <c r="Q230" s="179"/>
      <c r="R230" s="179"/>
      <c r="S230" s="179"/>
      <c r="T230" s="500" t="e">
        <f>_xlfn.XLOOKUP(H230,#REF!,#REF!,0,0)</f>
        <v>#REF!</v>
      </c>
    </row>
    <row r="231" spans="1:20" x14ac:dyDescent="0.4">
      <c r="A231" s="134" t="s">
        <v>570</v>
      </c>
      <c r="B231" s="134" t="s">
        <v>1202</v>
      </c>
      <c r="C231" s="134"/>
      <c r="D231" s="134" t="s">
        <v>567</v>
      </c>
      <c r="E231" s="18" t="s">
        <v>1182</v>
      </c>
      <c r="F231" s="10">
        <v>41759</v>
      </c>
      <c r="G231" s="18" t="s">
        <v>1199</v>
      </c>
      <c r="H231" s="18">
        <v>58887</v>
      </c>
      <c r="I231" s="134" t="s">
        <v>1200</v>
      </c>
      <c r="J231" s="134" t="s">
        <v>1201</v>
      </c>
      <c r="K231" s="18" t="s">
        <v>570</v>
      </c>
      <c r="L231" s="134" t="s">
        <v>570</v>
      </c>
      <c r="M231" s="134" t="s">
        <v>364</v>
      </c>
      <c r="N231" s="134" t="s">
        <v>364</v>
      </c>
      <c r="O231" s="134" t="s">
        <v>570</v>
      </c>
      <c r="P231" s="449"/>
      <c r="Q231" s="179"/>
      <c r="R231" s="179"/>
      <c r="S231" s="179"/>
      <c r="T231" s="500" t="e">
        <f>_xlfn.XLOOKUP(H231,#REF!,#REF!,0,0)</f>
        <v>#REF!</v>
      </c>
    </row>
    <row r="232" spans="1:20" x14ac:dyDescent="0.4">
      <c r="A232" s="134" t="s">
        <v>570</v>
      </c>
      <c r="B232" s="134" t="s">
        <v>1203</v>
      </c>
      <c r="C232" s="134"/>
      <c r="D232" s="134"/>
      <c r="E232" s="18" t="s">
        <v>1182</v>
      </c>
      <c r="F232" s="10">
        <v>41759</v>
      </c>
      <c r="G232" s="18" t="s">
        <v>1204</v>
      </c>
      <c r="H232" s="18">
        <v>58888</v>
      </c>
      <c r="I232" s="134" t="s">
        <v>1205</v>
      </c>
      <c r="J232" s="134" t="s">
        <v>1206</v>
      </c>
      <c r="K232" s="18" t="s">
        <v>570</v>
      </c>
      <c r="L232" s="134" t="s">
        <v>570</v>
      </c>
      <c r="M232" s="134" t="s">
        <v>364</v>
      </c>
      <c r="N232" s="134" t="s">
        <v>364</v>
      </c>
      <c r="O232" s="134" t="s">
        <v>570</v>
      </c>
      <c r="P232" s="449"/>
      <c r="Q232" s="179"/>
      <c r="R232" s="179"/>
      <c r="S232" s="179"/>
      <c r="T232" s="500" t="e">
        <f>_xlfn.XLOOKUP(H232,#REF!,#REF!,0,0)</f>
        <v>#REF!</v>
      </c>
    </row>
    <row r="233" spans="1:20" x14ac:dyDescent="0.4">
      <c r="A233" s="134" t="s">
        <v>570</v>
      </c>
      <c r="B233" s="134" t="s">
        <v>1207</v>
      </c>
      <c r="C233" s="134"/>
      <c r="D233" s="134"/>
      <c r="E233" s="18" t="s">
        <v>1182</v>
      </c>
      <c r="F233" s="10">
        <v>41759</v>
      </c>
      <c r="G233" s="18" t="s">
        <v>1208</v>
      </c>
      <c r="H233" s="18">
        <v>58889</v>
      </c>
      <c r="I233" s="134" t="s">
        <v>1196</v>
      </c>
      <c r="J233" s="134" t="s">
        <v>1209</v>
      </c>
      <c r="K233" s="18" t="s">
        <v>570</v>
      </c>
      <c r="L233" s="134" t="s">
        <v>570</v>
      </c>
      <c r="M233" s="134" t="s">
        <v>364</v>
      </c>
      <c r="N233" s="134" t="s">
        <v>364</v>
      </c>
      <c r="O233" s="134" t="s">
        <v>570</v>
      </c>
      <c r="P233" s="449"/>
      <c r="Q233" s="179"/>
      <c r="R233" s="179"/>
      <c r="S233" s="179"/>
      <c r="T233" s="500" t="e">
        <f>_xlfn.XLOOKUP(H233,#REF!,#REF!,0,0)</f>
        <v>#REF!</v>
      </c>
    </row>
    <row r="234" spans="1:20" x14ac:dyDescent="0.4">
      <c r="A234" s="134" t="s">
        <v>570</v>
      </c>
      <c r="B234" s="134" t="s">
        <v>1210</v>
      </c>
      <c r="C234" s="134"/>
      <c r="D234" s="134"/>
      <c r="E234" s="18" t="s">
        <v>1182</v>
      </c>
      <c r="F234" s="10">
        <v>41759</v>
      </c>
      <c r="G234" s="18" t="s">
        <v>1211</v>
      </c>
      <c r="H234" s="18">
        <v>58890</v>
      </c>
      <c r="I234" s="134" t="s">
        <v>1205</v>
      </c>
      <c r="J234" s="134" t="s">
        <v>1212</v>
      </c>
      <c r="K234" s="18" t="s">
        <v>570</v>
      </c>
      <c r="L234" s="134" t="s">
        <v>570</v>
      </c>
      <c r="M234" s="134" t="s">
        <v>364</v>
      </c>
      <c r="N234" s="134" t="s">
        <v>364</v>
      </c>
      <c r="O234" s="134" t="s">
        <v>570</v>
      </c>
      <c r="P234" s="449"/>
      <c r="Q234" s="179"/>
      <c r="R234" s="179"/>
      <c r="S234" s="179"/>
      <c r="T234" s="500" t="e">
        <f>_xlfn.XLOOKUP(H234,#REF!,#REF!,0,0)</f>
        <v>#REF!</v>
      </c>
    </row>
    <row r="235" spans="1:20" x14ac:dyDescent="0.4">
      <c r="A235" s="134" t="s">
        <v>570</v>
      </c>
      <c r="B235" s="134" t="s">
        <v>1213</v>
      </c>
      <c r="C235" s="134"/>
      <c r="D235" s="134"/>
      <c r="E235" s="18" t="s">
        <v>1182</v>
      </c>
      <c r="F235" s="10">
        <v>41759</v>
      </c>
      <c r="G235" s="18" t="s">
        <v>1214</v>
      </c>
      <c r="H235" s="18">
        <v>58891</v>
      </c>
      <c r="I235" s="134" t="s">
        <v>1205</v>
      </c>
      <c r="J235" s="134" t="s">
        <v>1215</v>
      </c>
      <c r="K235" s="18" t="s">
        <v>570</v>
      </c>
      <c r="L235" s="134" t="s">
        <v>570</v>
      </c>
      <c r="M235" s="134" t="s">
        <v>364</v>
      </c>
      <c r="N235" s="134" t="s">
        <v>364</v>
      </c>
      <c r="O235" s="134" t="s">
        <v>570</v>
      </c>
      <c r="P235" s="449"/>
      <c r="Q235" s="179"/>
      <c r="R235" s="179"/>
      <c r="S235" s="179"/>
      <c r="T235" s="500" t="e">
        <f>_xlfn.XLOOKUP(H235,#REF!,#REF!,0,0)</f>
        <v>#REF!</v>
      </c>
    </row>
    <row r="236" spans="1:20" x14ac:dyDescent="0.4">
      <c r="A236" s="134" t="s">
        <v>570</v>
      </c>
      <c r="B236" s="134" t="s">
        <v>1216</v>
      </c>
      <c r="C236" s="134"/>
      <c r="D236" s="134"/>
      <c r="E236" s="18" t="s">
        <v>1182</v>
      </c>
      <c r="F236" s="10">
        <v>41759</v>
      </c>
      <c r="G236" s="18" t="s">
        <v>1217</v>
      </c>
      <c r="H236" s="18">
        <v>58892</v>
      </c>
      <c r="I236" s="134" t="s">
        <v>1196</v>
      </c>
      <c r="J236" s="134" t="s">
        <v>1218</v>
      </c>
      <c r="K236" s="18" t="s">
        <v>570</v>
      </c>
      <c r="L236" s="134" t="s">
        <v>570</v>
      </c>
      <c r="M236" s="134" t="s">
        <v>364</v>
      </c>
      <c r="N236" s="134" t="s">
        <v>364</v>
      </c>
      <c r="O236" s="134" t="s">
        <v>570</v>
      </c>
      <c r="P236" s="449"/>
      <c r="Q236" s="179"/>
      <c r="R236" s="179"/>
      <c r="S236" s="179"/>
      <c r="T236" s="500" t="e">
        <f>_xlfn.XLOOKUP(H236,#REF!,#REF!,0,0)</f>
        <v>#REF!</v>
      </c>
    </row>
    <row r="237" spans="1:20" x14ac:dyDescent="0.4">
      <c r="A237" s="134" t="s">
        <v>570</v>
      </c>
      <c r="B237" s="134" t="s">
        <v>1219</v>
      </c>
      <c r="C237" s="134"/>
      <c r="D237" s="134"/>
      <c r="E237" s="18" t="s">
        <v>1182</v>
      </c>
      <c r="F237" s="10">
        <v>41759</v>
      </c>
      <c r="G237" s="18" t="s">
        <v>1220</v>
      </c>
      <c r="H237" s="18">
        <v>58893</v>
      </c>
      <c r="I237" s="134" t="s">
        <v>1200</v>
      </c>
      <c r="J237" s="134" t="s">
        <v>1221</v>
      </c>
      <c r="K237" s="18" t="s">
        <v>570</v>
      </c>
      <c r="L237" s="134" t="s">
        <v>570</v>
      </c>
      <c r="M237" s="134" t="s">
        <v>364</v>
      </c>
      <c r="N237" s="134" t="s">
        <v>364</v>
      </c>
      <c r="O237" s="134" t="s">
        <v>570</v>
      </c>
      <c r="P237" s="449"/>
      <c r="Q237" s="179"/>
      <c r="R237" s="179"/>
      <c r="S237" s="179"/>
      <c r="T237" s="500" t="e">
        <f>_xlfn.XLOOKUP(H237,#REF!,#REF!,0,0)</f>
        <v>#REF!</v>
      </c>
    </row>
    <row r="238" spans="1:20" x14ac:dyDescent="0.4">
      <c r="A238" s="134" t="s">
        <v>570</v>
      </c>
      <c r="B238" s="134" t="s">
        <v>1222</v>
      </c>
      <c r="C238" s="134"/>
      <c r="D238" s="134"/>
      <c r="E238" s="18" t="s">
        <v>1182</v>
      </c>
      <c r="F238" s="10">
        <v>41759</v>
      </c>
      <c r="G238" s="18" t="s">
        <v>1223</v>
      </c>
      <c r="H238" s="18">
        <v>58894</v>
      </c>
      <c r="I238" s="134" t="s">
        <v>1224</v>
      </c>
      <c r="J238" s="134" t="s">
        <v>1225</v>
      </c>
      <c r="K238" s="18" t="s">
        <v>570</v>
      </c>
      <c r="L238" s="134" t="s">
        <v>570</v>
      </c>
      <c r="M238" s="134" t="s">
        <v>364</v>
      </c>
      <c r="N238" s="134" t="s">
        <v>364</v>
      </c>
      <c r="O238" s="134" t="s">
        <v>570</v>
      </c>
      <c r="P238" s="449"/>
      <c r="Q238" s="179"/>
      <c r="R238" s="179"/>
      <c r="S238" s="179"/>
      <c r="T238" s="500" t="e">
        <f>_xlfn.XLOOKUP(H238,#REF!,#REF!,0,0)</f>
        <v>#REF!</v>
      </c>
    </row>
    <row r="239" spans="1:20" x14ac:dyDescent="0.4">
      <c r="A239" s="134" t="s">
        <v>570</v>
      </c>
      <c r="B239" s="134" t="s">
        <v>1226</v>
      </c>
      <c r="C239" s="134"/>
      <c r="D239" s="134"/>
      <c r="E239" s="18" t="s">
        <v>1182</v>
      </c>
      <c r="F239" s="134">
        <v>41759</v>
      </c>
      <c r="G239" s="18" t="s">
        <v>1227</v>
      </c>
      <c r="H239" s="18">
        <v>58895</v>
      </c>
      <c r="I239" s="134" t="s">
        <v>1228</v>
      </c>
      <c r="J239" s="134" t="s">
        <v>1229</v>
      </c>
      <c r="K239" s="18" t="s">
        <v>570</v>
      </c>
      <c r="L239" s="134" t="s">
        <v>570</v>
      </c>
      <c r="M239" s="134" t="s">
        <v>364</v>
      </c>
      <c r="N239" s="134" t="s">
        <v>364</v>
      </c>
      <c r="O239" s="134" t="s">
        <v>570</v>
      </c>
      <c r="P239" s="449"/>
      <c r="Q239" s="179"/>
      <c r="R239" s="179"/>
      <c r="S239" s="179"/>
      <c r="T239" s="500" t="e">
        <f>_xlfn.XLOOKUP(H239,#REF!,#REF!,0,0)</f>
        <v>#REF!</v>
      </c>
    </row>
    <row r="240" spans="1:20" x14ac:dyDescent="0.4">
      <c r="A240" s="134" t="s">
        <v>570</v>
      </c>
      <c r="B240" s="134" t="s">
        <v>1230</v>
      </c>
      <c r="C240" s="134"/>
      <c r="D240" s="134"/>
      <c r="E240" s="18" t="s">
        <v>1182</v>
      </c>
      <c r="F240" s="10">
        <v>41759</v>
      </c>
      <c r="G240" s="18" t="s">
        <v>1231</v>
      </c>
      <c r="H240" s="18">
        <v>58896</v>
      </c>
      <c r="I240" s="134" t="s">
        <v>1224</v>
      </c>
      <c r="J240" s="134" t="s">
        <v>1232</v>
      </c>
      <c r="K240" s="18" t="s">
        <v>570</v>
      </c>
      <c r="L240" s="134" t="s">
        <v>570</v>
      </c>
      <c r="M240" s="134" t="s">
        <v>364</v>
      </c>
      <c r="N240" s="134" t="s">
        <v>364</v>
      </c>
      <c r="O240" s="134" t="s">
        <v>570</v>
      </c>
      <c r="P240" s="449"/>
      <c r="Q240" s="179"/>
      <c r="R240" s="179"/>
      <c r="S240" s="179"/>
      <c r="T240" s="500" t="e">
        <f>_xlfn.XLOOKUP(H240,#REF!,#REF!,0,0)</f>
        <v>#REF!</v>
      </c>
    </row>
    <row r="241" spans="1:20" x14ac:dyDescent="0.4">
      <c r="A241" s="134" t="s">
        <v>570</v>
      </c>
      <c r="B241" s="134" t="s">
        <v>1233</v>
      </c>
      <c r="C241" s="134"/>
      <c r="D241" s="134"/>
      <c r="E241" s="18" t="s">
        <v>1182</v>
      </c>
      <c r="F241" s="10">
        <v>41759</v>
      </c>
      <c r="G241" s="18" t="s">
        <v>1234</v>
      </c>
      <c r="H241" s="18">
        <v>58897</v>
      </c>
      <c r="I241" s="134" t="s">
        <v>1200</v>
      </c>
      <c r="J241" s="134" t="s">
        <v>1235</v>
      </c>
      <c r="K241" s="18" t="s">
        <v>570</v>
      </c>
      <c r="L241" s="134" t="s">
        <v>570</v>
      </c>
      <c r="M241" s="134" t="s">
        <v>364</v>
      </c>
      <c r="N241" s="134" t="s">
        <v>364</v>
      </c>
      <c r="O241" s="134" t="s">
        <v>570</v>
      </c>
      <c r="P241" s="449"/>
      <c r="Q241" s="179"/>
      <c r="R241" s="179"/>
      <c r="S241" s="179"/>
      <c r="T241" s="500" t="e">
        <f>_xlfn.XLOOKUP(H241,#REF!,#REF!,0,0)</f>
        <v>#REF!</v>
      </c>
    </row>
    <row r="242" spans="1:20" x14ac:dyDescent="0.4">
      <c r="A242" s="134" t="s">
        <v>570</v>
      </c>
      <c r="B242" s="134" t="s">
        <v>1236</v>
      </c>
      <c r="C242" s="134"/>
      <c r="D242" s="134"/>
      <c r="E242" s="18" t="s">
        <v>1182</v>
      </c>
      <c r="F242" s="134">
        <v>41759</v>
      </c>
      <c r="G242" s="18" t="s">
        <v>1237</v>
      </c>
      <c r="H242" s="18">
        <v>58898</v>
      </c>
      <c r="I242" s="134" t="s">
        <v>1228</v>
      </c>
      <c r="J242" s="134" t="s">
        <v>1238</v>
      </c>
      <c r="K242" s="18" t="s">
        <v>570</v>
      </c>
      <c r="L242" s="134" t="s">
        <v>570</v>
      </c>
      <c r="M242" s="134" t="s">
        <v>364</v>
      </c>
      <c r="N242" s="134" t="s">
        <v>364</v>
      </c>
      <c r="O242" s="134" t="s">
        <v>570</v>
      </c>
      <c r="P242" s="449"/>
      <c r="Q242" s="179"/>
      <c r="R242" s="179"/>
      <c r="S242" s="179"/>
      <c r="T242" s="500" t="e">
        <f>_xlfn.XLOOKUP(H242,#REF!,#REF!,0,0)</f>
        <v>#REF!</v>
      </c>
    </row>
    <row r="243" spans="1:20" x14ac:dyDescent="0.4">
      <c r="A243" s="134" t="s">
        <v>570</v>
      </c>
      <c r="B243" s="134" t="s">
        <v>1239</v>
      </c>
      <c r="C243" s="134"/>
      <c r="D243" s="134"/>
      <c r="E243" s="18" t="s">
        <v>1182</v>
      </c>
      <c r="F243" s="134">
        <v>41759</v>
      </c>
      <c r="G243" s="18" t="s">
        <v>1240</v>
      </c>
      <c r="H243" s="18">
        <v>58899</v>
      </c>
      <c r="I243" s="134" t="s">
        <v>1228</v>
      </c>
      <c r="J243" s="134" t="s">
        <v>1241</v>
      </c>
      <c r="K243" s="18" t="s">
        <v>570</v>
      </c>
      <c r="L243" s="134" t="s">
        <v>570</v>
      </c>
      <c r="M243" s="134" t="s">
        <v>364</v>
      </c>
      <c r="N243" s="134" t="s">
        <v>364</v>
      </c>
      <c r="O243" s="134" t="s">
        <v>570</v>
      </c>
      <c r="P243" s="449"/>
      <c r="Q243" s="179"/>
      <c r="R243" s="179"/>
      <c r="S243" s="179"/>
      <c r="T243" s="500" t="e">
        <f>_xlfn.XLOOKUP(H243,#REF!,#REF!,0,0)</f>
        <v>#REF!</v>
      </c>
    </row>
    <row r="244" spans="1:20" x14ac:dyDescent="0.4">
      <c r="A244" s="134" t="s">
        <v>570</v>
      </c>
      <c r="B244" s="134" t="s">
        <v>1242</v>
      </c>
      <c r="C244" s="134"/>
      <c r="D244" s="134"/>
      <c r="E244" s="18" t="s">
        <v>1182</v>
      </c>
      <c r="F244" s="10">
        <v>41759</v>
      </c>
      <c r="G244" s="18" t="s">
        <v>1243</v>
      </c>
      <c r="H244" s="18">
        <v>58900</v>
      </c>
      <c r="I244" s="134" t="s">
        <v>1224</v>
      </c>
      <c r="J244" s="134" t="s">
        <v>1244</v>
      </c>
      <c r="K244" s="18" t="s">
        <v>570</v>
      </c>
      <c r="L244" s="134" t="s">
        <v>570</v>
      </c>
      <c r="M244" s="134" t="s">
        <v>364</v>
      </c>
      <c r="N244" s="134" t="s">
        <v>364</v>
      </c>
      <c r="O244" s="134" t="s">
        <v>570</v>
      </c>
      <c r="P244" s="449"/>
      <c r="Q244" s="179"/>
      <c r="R244" s="179"/>
      <c r="S244" s="179"/>
      <c r="T244" s="500" t="e">
        <f>_xlfn.XLOOKUP(H244,#REF!,#REF!,0,0)</f>
        <v>#REF!</v>
      </c>
    </row>
    <row r="245" spans="1:20" x14ac:dyDescent="0.4">
      <c r="A245" s="134" t="s">
        <v>570</v>
      </c>
      <c r="B245" s="134" t="s">
        <v>1245</v>
      </c>
      <c r="C245" s="134"/>
      <c r="D245" s="134" t="s">
        <v>567</v>
      </c>
      <c r="E245" s="18" t="s">
        <v>1182</v>
      </c>
      <c r="F245" s="134">
        <v>41845</v>
      </c>
      <c r="G245" s="18" t="s">
        <v>1246</v>
      </c>
      <c r="H245" s="18">
        <v>59093</v>
      </c>
      <c r="I245" s="134" t="s">
        <v>1247</v>
      </c>
      <c r="J245" s="134" t="s">
        <v>1248</v>
      </c>
      <c r="K245" s="18" t="s">
        <v>570</v>
      </c>
      <c r="L245" s="134" t="s">
        <v>570</v>
      </c>
      <c r="M245" s="134" t="s">
        <v>364</v>
      </c>
      <c r="N245" s="134" t="s">
        <v>364</v>
      </c>
      <c r="O245" s="134" t="s">
        <v>570</v>
      </c>
      <c r="P245" s="449"/>
      <c r="Q245" s="179"/>
      <c r="R245" s="179"/>
      <c r="S245" s="179"/>
      <c r="T245" s="500" t="e">
        <f>_xlfn.XLOOKUP(H245,#REF!,#REF!,0,0)</f>
        <v>#REF!</v>
      </c>
    </row>
    <row r="246" spans="1:20" x14ac:dyDescent="0.4">
      <c r="A246" s="134" t="s">
        <v>570</v>
      </c>
      <c r="B246" s="134" t="s">
        <v>1249</v>
      </c>
      <c r="C246" s="134"/>
      <c r="D246" s="134" t="s">
        <v>567</v>
      </c>
      <c r="E246" s="18" t="s">
        <v>1182</v>
      </c>
      <c r="F246" s="134">
        <v>41845</v>
      </c>
      <c r="G246" s="18" t="s">
        <v>1250</v>
      </c>
      <c r="H246" s="18">
        <v>59094</v>
      </c>
      <c r="I246" s="134" t="s">
        <v>1251</v>
      </c>
      <c r="J246" s="134" t="s">
        <v>1252</v>
      </c>
      <c r="K246" s="18" t="s">
        <v>570</v>
      </c>
      <c r="L246" s="134" t="s">
        <v>570</v>
      </c>
      <c r="M246" s="134" t="s">
        <v>364</v>
      </c>
      <c r="N246" s="134" t="s">
        <v>364</v>
      </c>
      <c r="O246" s="134" t="s">
        <v>570</v>
      </c>
      <c r="P246" s="449"/>
      <c r="Q246" s="179"/>
      <c r="R246" s="179"/>
      <c r="S246" s="179"/>
      <c r="T246" s="500" t="e">
        <f>_xlfn.XLOOKUP(H246,#REF!,#REF!,0,0)</f>
        <v>#REF!</v>
      </c>
    </row>
    <row r="247" spans="1:20" x14ac:dyDescent="0.4">
      <c r="A247" s="134" t="s">
        <v>570</v>
      </c>
      <c r="B247" s="134" t="s">
        <v>1253</v>
      </c>
      <c r="C247" s="134"/>
      <c r="D247" s="134" t="s">
        <v>567</v>
      </c>
      <c r="E247" s="18" t="s">
        <v>1182</v>
      </c>
      <c r="F247" s="10">
        <v>41845</v>
      </c>
      <c r="G247" s="18" t="s">
        <v>1254</v>
      </c>
      <c r="H247" s="18">
        <v>59095</v>
      </c>
      <c r="I247" s="134" t="s">
        <v>1255</v>
      </c>
      <c r="J247" s="134" t="s">
        <v>1256</v>
      </c>
      <c r="K247" s="18" t="s">
        <v>570</v>
      </c>
      <c r="L247" s="134" t="s">
        <v>570</v>
      </c>
      <c r="M247" s="134" t="s">
        <v>364</v>
      </c>
      <c r="N247" s="134" t="s">
        <v>364</v>
      </c>
      <c r="O247" s="134" t="s">
        <v>570</v>
      </c>
      <c r="P247" s="449"/>
      <c r="Q247" s="179"/>
      <c r="R247" s="179"/>
      <c r="S247" s="179"/>
      <c r="T247" s="500" t="e">
        <f>_xlfn.XLOOKUP(H247,#REF!,#REF!,0,0)</f>
        <v>#REF!</v>
      </c>
    </row>
    <row r="248" spans="1:20" x14ac:dyDescent="0.4">
      <c r="A248" s="134" t="s">
        <v>570</v>
      </c>
      <c r="B248" s="134" t="s">
        <v>1257</v>
      </c>
      <c r="C248" s="134"/>
      <c r="D248" s="134" t="s">
        <v>567</v>
      </c>
      <c r="E248" s="18" t="s">
        <v>1182</v>
      </c>
      <c r="F248" s="134">
        <v>41845</v>
      </c>
      <c r="G248" s="18" t="s">
        <v>1258</v>
      </c>
      <c r="H248" s="18">
        <v>59096</v>
      </c>
      <c r="I248" s="134" t="s">
        <v>1259</v>
      </c>
      <c r="J248" s="134" t="s">
        <v>1260</v>
      </c>
      <c r="K248" s="18" t="s">
        <v>570</v>
      </c>
      <c r="L248" s="134" t="s">
        <v>570</v>
      </c>
      <c r="M248" s="134" t="s">
        <v>364</v>
      </c>
      <c r="N248" s="134" t="s">
        <v>364</v>
      </c>
      <c r="O248" s="134" t="s">
        <v>570</v>
      </c>
      <c r="P248" s="449"/>
      <c r="Q248" s="179"/>
      <c r="R248" s="179"/>
      <c r="S248" s="179"/>
      <c r="T248" s="500" t="e">
        <f>_xlfn.XLOOKUP(H248,#REF!,#REF!,0,0)</f>
        <v>#REF!</v>
      </c>
    </row>
    <row r="249" spans="1:20" x14ac:dyDescent="0.4">
      <c r="A249" s="134" t="s">
        <v>570</v>
      </c>
      <c r="B249" s="134" t="s">
        <v>1261</v>
      </c>
      <c r="C249" s="134"/>
      <c r="D249" s="134" t="s">
        <v>567</v>
      </c>
      <c r="E249" s="18" t="s">
        <v>1262</v>
      </c>
      <c r="F249" s="10">
        <v>42039</v>
      </c>
      <c r="G249" s="18" t="s">
        <v>1258</v>
      </c>
      <c r="H249" s="18">
        <v>59096</v>
      </c>
      <c r="I249" s="134"/>
      <c r="J249" s="134"/>
      <c r="K249" s="18" t="s">
        <v>570</v>
      </c>
      <c r="L249" s="134" t="s">
        <v>570</v>
      </c>
      <c r="M249" s="134" t="s">
        <v>364</v>
      </c>
      <c r="N249" s="134" t="s">
        <v>364</v>
      </c>
      <c r="O249" s="134" t="s">
        <v>570</v>
      </c>
      <c r="P249" s="449"/>
      <c r="Q249" s="179"/>
      <c r="R249" s="179"/>
      <c r="S249" s="179"/>
      <c r="T249" s="500" t="e">
        <f>_xlfn.XLOOKUP(H249,#REF!,#REF!,0,0)</f>
        <v>#REF!</v>
      </c>
    </row>
    <row r="250" spans="1:20" x14ac:dyDescent="0.4">
      <c r="A250" s="134" t="s">
        <v>570</v>
      </c>
      <c r="B250" s="134" t="s">
        <v>1263</v>
      </c>
      <c r="C250" s="134"/>
      <c r="D250" s="134" t="s">
        <v>567</v>
      </c>
      <c r="E250" s="18" t="s">
        <v>1182</v>
      </c>
      <c r="F250" s="10">
        <v>41845</v>
      </c>
      <c r="G250" s="18" t="s">
        <v>1264</v>
      </c>
      <c r="H250" s="18">
        <v>59097</v>
      </c>
      <c r="I250" s="134" t="s">
        <v>1265</v>
      </c>
      <c r="J250" s="134" t="s">
        <v>1266</v>
      </c>
      <c r="K250" s="18" t="s">
        <v>570</v>
      </c>
      <c r="L250" s="134" t="s">
        <v>570</v>
      </c>
      <c r="M250" s="134" t="s">
        <v>364</v>
      </c>
      <c r="N250" s="134" t="s">
        <v>364</v>
      </c>
      <c r="O250" s="134" t="s">
        <v>570</v>
      </c>
      <c r="P250" s="449"/>
      <c r="Q250" s="179"/>
      <c r="R250" s="179"/>
      <c r="S250" s="179"/>
      <c r="T250" s="500" t="e">
        <f>_xlfn.XLOOKUP(H250,#REF!,#REF!,0,0)</f>
        <v>#REF!</v>
      </c>
    </row>
    <row r="251" spans="1:20" x14ac:dyDescent="0.4">
      <c r="A251" s="134" t="s">
        <v>570</v>
      </c>
      <c r="B251" s="134" t="s">
        <v>1267</v>
      </c>
      <c r="C251" s="134"/>
      <c r="D251" s="134" t="s">
        <v>567</v>
      </c>
      <c r="E251" s="18" t="s">
        <v>1182</v>
      </c>
      <c r="F251" s="134">
        <v>41845</v>
      </c>
      <c r="G251" s="18" t="s">
        <v>1268</v>
      </c>
      <c r="H251" s="18">
        <v>59098</v>
      </c>
      <c r="I251" s="134" t="s">
        <v>1269</v>
      </c>
      <c r="J251" s="134" t="s">
        <v>1270</v>
      </c>
      <c r="K251" s="18" t="s">
        <v>570</v>
      </c>
      <c r="L251" s="134" t="s">
        <v>570</v>
      </c>
      <c r="M251" s="134" t="s">
        <v>364</v>
      </c>
      <c r="N251" s="134" t="s">
        <v>364</v>
      </c>
      <c r="O251" s="134" t="s">
        <v>570</v>
      </c>
      <c r="P251" s="449"/>
      <c r="Q251" s="179"/>
      <c r="R251" s="179"/>
      <c r="S251" s="179"/>
      <c r="T251" s="500" t="e">
        <f>_xlfn.XLOOKUP(H251,#REF!,#REF!,0,0)</f>
        <v>#REF!</v>
      </c>
    </row>
    <row r="252" spans="1:20" x14ac:dyDescent="0.4">
      <c r="A252" s="134" t="s">
        <v>570</v>
      </c>
      <c r="B252" s="134" t="s">
        <v>1271</v>
      </c>
      <c r="C252" s="134"/>
      <c r="D252" s="134" t="s">
        <v>567</v>
      </c>
      <c r="E252" s="18" t="s">
        <v>1182</v>
      </c>
      <c r="F252" s="134">
        <v>41845</v>
      </c>
      <c r="G252" s="18" t="s">
        <v>1272</v>
      </c>
      <c r="H252" s="18">
        <v>59099</v>
      </c>
      <c r="I252" s="134" t="s">
        <v>1273</v>
      </c>
      <c r="J252" s="134" t="s">
        <v>1274</v>
      </c>
      <c r="K252" s="18" t="s">
        <v>570</v>
      </c>
      <c r="L252" s="134" t="s">
        <v>570</v>
      </c>
      <c r="M252" s="134" t="s">
        <v>364</v>
      </c>
      <c r="N252" s="134" t="s">
        <v>364</v>
      </c>
      <c r="O252" s="134" t="s">
        <v>570</v>
      </c>
      <c r="P252" s="449"/>
      <c r="Q252" s="179"/>
      <c r="R252" s="179"/>
      <c r="S252" s="179"/>
      <c r="T252" s="500" t="e">
        <f>_xlfn.XLOOKUP(H252,#REF!,#REF!,0,0)</f>
        <v>#REF!</v>
      </c>
    </row>
    <row r="253" spans="1:20" x14ac:dyDescent="0.4">
      <c r="A253" s="134" t="s">
        <v>570</v>
      </c>
      <c r="B253" s="134" t="s">
        <v>1275</v>
      </c>
      <c r="C253" s="134"/>
      <c r="D253" s="134" t="s">
        <v>567</v>
      </c>
      <c r="E253" s="18" t="s">
        <v>1182</v>
      </c>
      <c r="F253" s="10">
        <v>41845</v>
      </c>
      <c r="G253" s="18" t="s">
        <v>38</v>
      </c>
      <c r="H253" s="18">
        <v>59100</v>
      </c>
      <c r="I253" s="134" t="s">
        <v>1276</v>
      </c>
      <c r="J253" s="134" t="s">
        <v>1277</v>
      </c>
      <c r="K253" s="18" t="s">
        <v>570</v>
      </c>
      <c r="L253" s="134" t="s">
        <v>570</v>
      </c>
      <c r="M253" s="134" t="s">
        <v>364</v>
      </c>
      <c r="N253" s="134" t="s">
        <v>364</v>
      </c>
      <c r="O253" s="134" t="s">
        <v>570</v>
      </c>
      <c r="P253" s="449"/>
      <c r="Q253" s="179"/>
      <c r="R253" s="179"/>
      <c r="S253" s="179"/>
      <c r="T253" s="500" t="e">
        <f>_xlfn.XLOOKUP(H253,#REF!,#REF!,0,0)</f>
        <v>#REF!</v>
      </c>
    </row>
    <row r="254" spans="1:20" x14ac:dyDescent="0.4">
      <c r="A254" s="134" t="s">
        <v>570</v>
      </c>
      <c r="B254" s="134" t="s">
        <v>1278</v>
      </c>
      <c r="C254" s="134"/>
      <c r="D254" s="134" t="s">
        <v>567</v>
      </c>
      <c r="E254" s="18" t="s">
        <v>1182</v>
      </c>
      <c r="F254" s="10">
        <v>41845</v>
      </c>
      <c r="G254" s="18" t="s">
        <v>39</v>
      </c>
      <c r="H254" s="18">
        <v>59101</v>
      </c>
      <c r="I254" s="134" t="s">
        <v>1265</v>
      </c>
      <c r="J254" s="134" t="s">
        <v>1279</v>
      </c>
      <c r="K254" s="18" t="s">
        <v>570</v>
      </c>
      <c r="L254" s="134" t="s">
        <v>570</v>
      </c>
      <c r="M254" s="134" t="s">
        <v>364</v>
      </c>
      <c r="N254" s="134" t="s">
        <v>364</v>
      </c>
      <c r="O254" s="134" t="s">
        <v>570</v>
      </c>
      <c r="P254" s="449"/>
      <c r="Q254" s="179"/>
      <c r="R254" s="179"/>
      <c r="S254" s="179"/>
      <c r="T254" s="500" t="e">
        <f>_xlfn.XLOOKUP(H254,#REF!,#REF!,0,0)</f>
        <v>#REF!</v>
      </c>
    </row>
    <row r="255" spans="1:20" x14ac:dyDescent="0.4">
      <c r="A255" s="134" t="s">
        <v>570</v>
      </c>
      <c r="B255" s="134" t="s">
        <v>1280</v>
      </c>
      <c r="C255" s="134"/>
      <c r="D255" s="134" t="s">
        <v>567</v>
      </c>
      <c r="E255" s="18" t="s">
        <v>1182</v>
      </c>
      <c r="F255" s="10">
        <v>41845</v>
      </c>
      <c r="G255" s="18" t="s">
        <v>1281</v>
      </c>
      <c r="H255" s="18">
        <v>59102</v>
      </c>
      <c r="I255" s="134" t="s">
        <v>1265</v>
      </c>
      <c r="J255" s="134" t="s">
        <v>1282</v>
      </c>
      <c r="K255" s="18" t="s">
        <v>570</v>
      </c>
      <c r="L255" s="134" t="s">
        <v>570</v>
      </c>
      <c r="M255" s="134" t="s">
        <v>364</v>
      </c>
      <c r="N255" s="134" t="s">
        <v>364</v>
      </c>
      <c r="O255" s="134" t="s">
        <v>570</v>
      </c>
      <c r="P255" s="449"/>
      <c r="Q255" s="179"/>
      <c r="R255" s="179"/>
      <c r="S255" s="179"/>
      <c r="T255" s="500" t="e">
        <f>_xlfn.XLOOKUP(H255,#REF!,#REF!,0,0)</f>
        <v>#REF!</v>
      </c>
    </row>
    <row r="256" spans="1:20" x14ac:dyDescent="0.4">
      <c r="A256" s="134" t="s">
        <v>570</v>
      </c>
      <c r="B256" s="134" t="s">
        <v>1283</v>
      </c>
      <c r="C256" s="134"/>
      <c r="D256" s="134" t="s">
        <v>567</v>
      </c>
      <c r="E256" s="18" t="s">
        <v>1182</v>
      </c>
      <c r="F256" s="10">
        <v>41845</v>
      </c>
      <c r="G256" s="18" t="s">
        <v>1284</v>
      </c>
      <c r="H256" s="18">
        <v>59103</v>
      </c>
      <c r="I256" s="134" t="s">
        <v>1265</v>
      </c>
      <c r="J256" s="134" t="s">
        <v>1285</v>
      </c>
      <c r="K256" s="18" t="s">
        <v>570</v>
      </c>
      <c r="L256" s="134" t="s">
        <v>570</v>
      </c>
      <c r="M256" s="134" t="s">
        <v>364</v>
      </c>
      <c r="N256" s="134" t="s">
        <v>364</v>
      </c>
      <c r="O256" s="134" t="s">
        <v>570</v>
      </c>
      <c r="P256" s="449"/>
      <c r="Q256" s="179"/>
      <c r="R256" s="179"/>
      <c r="S256" s="179"/>
      <c r="T256" s="500" t="e">
        <f>_xlfn.XLOOKUP(H256,#REF!,#REF!,0,0)</f>
        <v>#REF!</v>
      </c>
    </row>
    <row r="257" spans="1:20" x14ac:dyDescent="0.4">
      <c r="A257" s="134" t="s">
        <v>570</v>
      </c>
      <c r="B257" s="134" t="s">
        <v>1286</v>
      </c>
      <c r="C257" s="134"/>
      <c r="D257" s="134"/>
      <c r="E257" s="18" t="s">
        <v>1182</v>
      </c>
      <c r="F257" s="134">
        <v>41845</v>
      </c>
      <c r="G257" s="18" t="s">
        <v>1287</v>
      </c>
      <c r="H257" s="18">
        <v>59104</v>
      </c>
      <c r="I257" s="134" t="s">
        <v>1288</v>
      </c>
      <c r="J257" s="134" t="s">
        <v>1289</v>
      </c>
      <c r="K257" s="18" t="s">
        <v>570</v>
      </c>
      <c r="L257" s="134" t="s">
        <v>570</v>
      </c>
      <c r="M257" s="134" t="s">
        <v>364</v>
      </c>
      <c r="N257" s="134" t="s">
        <v>364</v>
      </c>
      <c r="O257" s="134" t="s">
        <v>570</v>
      </c>
      <c r="P257" s="449"/>
      <c r="Q257" s="179"/>
      <c r="R257" s="179"/>
      <c r="S257" s="179"/>
      <c r="T257" s="500" t="e">
        <f>_xlfn.XLOOKUP(H257,#REF!,#REF!,0,0)</f>
        <v>#REF!</v>
      </c>
    </row>
    <row r="258" spans="1:20" x14ac:dyDescent="0.4">
      <c r="A258" s="134" t="s">
        <v>570</v>
      </c>
      <c r="B258" s="134" t="s">
        <v>1290</v>
      </c>
      <c r="C258" s="134"/>
      <c r="D258" s="134"/>
      <c r="E258" s="18" t="s">
        <v>1182</v>
      </c>
      <c r="F258" s="10">
        <v>41845</v>
      </c>
      <c r="G258" s="18" t="s">
        <v>1291</v>
      </c>
      <c r="H258" s="18">
        <v>59105</v>
      </c>
      <c r="I258" s="134" t="s">
        <v>1265</v>
      </c>
      <c r="J258" s="134" t="s">
        <v>1292</v>
      </c>
      <c r="K258" s="18" t="s">
        <v>570</v>
      </c>
      <c r="L258" s="134" t="s">
        <v>570</v>
      </c>
      <c r="M258" s="134" t="s">
        <v>364</v>
      </c>
      <c r="N258" s="134" t="s">
        <v>364</v>
      </c>
      <c r="O258" s="134" t="s">
        <v>570</v>
      </c>
      <c r="P258" s="449"/>
      <c r="Q258" s="179"/>
      <c r="R258" s="179"/>
      <c r="S258" s="179"/>
      <c r="T258" s="500" t="e">
        <f>_xlfn.XLOOKUP(H258,#REF!,#REF!,0,0)</f>
        <v>#REF!</v>
      </c>
    </row>
    <row r="259" spans="1:20" x14ac:dyDescent="0.4">
      <c r="A259" s="134" t="s">
        <v>570</v>
      </c>
      <c r="B259" s="134" t="s">
        <v>1293</v>
      </c>
      <c r="C259" s="134"/>
      <c r="D259" s="134" t="s">
        <v>567</v>
      </c>
      <c r="E259" s="18" t="s">
        <v>1182</v>
      </c>
      <c r="F259" s="10">
        <v>41845</v>
      </c>
      <c r="G259" s="18" t="s">
        <v>1294</v>
      </c>
      <c r="H259" s="18">
        <v>59106</v>
      </c>
      <c r="I259" s="134" t="s">
        <v>1265</v>
      </c>
      <c r="J259" s="134" t="s">
        <v>1295</v>
      </c>
      <c r="K259" s="18" t="s">
        <v>570</v>
      </c>
      <c r="L259" s="134" t="s">
        <v>570</v>
      </c>
      <c r="M259" s="134" t="s">
        <v>364</v>
      </c>
      <c r="N259" s="134" t="s">
        <v>364</v>
      </c>
      <c r="O259" s="134" t="s">
        <v>570</v>
      </c>
      <c r="P259" s="449"/>
      <c r="Q259" s="179"/>
      <c r="R259" s="179"/>
      <c r="S259" s="179"/>
      <c r="T259" s="500" t="e">
        <f>_xlfn.XLOOKUP(H259,#REF!,#REF!,0,0)</f>
        <v>#REF!</v>
      </c>
    </row>
    <row r="260" spans="1:20" x14ac:dyDescent="0.4">
      <c r="A260" s="134" t="s">
        <v>570</v>
      </c>
      <c r="B260" s="134" t="s">
        <v>1296</v>
      </c>
      <c r="C260" s="134"/>
      <c r="D260" s="134" t="s">
        <v>567</v>
      </c>
      <c r="E260" s="18" t="s">
        <v>1182</v>
      </c>
      <c r="F260" s="10">
        <v>41845</v>
      </c>
      <c r="G260" s="18" t="s">
        <v>1297</v>
      </c>
      <c r="H260" s="18">
        <v>59107</v>
      </c>
      <c r="I260" s="134" t="s">
        <v>1265</v>
      </c>
      <c r="J260" s="134" t="s">
        <v>1298</v>
      </c>
      <c r="K260" s="18" t="s">
        <v>570</v>
      </c>
      <c r="L260" s="134" t="s">
        <v>570</v>
      </c>
      <c r="M260" s="134" t="s">
        <v>364</v>
      </c>
      <c r="N260" s="134" t="s">
        <v>364</v>
      </c>
      <c r="O260" s="134" t="s">
        <v>570</v>
      </c>
      <c r="P260" s="449"/>
      <c r="Q260" s="179"/>
      <c r="R260" s="179"/>
      <c r="S260" s="179"/>
      <c r="T260" s="500" t="e">
        <f>_xlfn.XLOOKUP(H260,#REF!,#REF!,0,0)</f>
        <v>#REF!</v>
      </c>
    </row>
    <row r="261" spans="1:20" x14ac:dyDescent="0.4">
      <c r="A261" s="134" t="s">
        <v>570</v>
      </c>
      <c r="B261" s="134" t="s">
        <v>1299</v>
      </c>
      <c r="C261" s="134"/>
      <c r="D261" s="134" t="s">
        <v>567</v>
      </c>
      <c r="E261" s="18" t="s">
        <v>1182</v>
      </c>
      <c r="F261" s="10">
        <v>41851</v>
      </c>
      <c r="G261" s="18" t="s">
        <v>1300</v>
      </c>
      <c r="H261" s="18">
        <v>59138</v>
      </c>
      <c r="I261" s="134" t="s">
        <v>1301</v>
      </c>
      <c r="J261" s="134" t="s">
        <v>1302</v>
      </c>
      <c r="K261" s="18" t="s">
        <v>570</v>
      </c>
      <c r="L261" s="134" t="s">
        <v>570</v>
      </c>
      <c r="M261" s="134" t="s">
        <v>364</v>
      </c>
      <c r="N261" s="134" t="s">
        <v>364</v>
      </c>
      <c r="O261" s="134" t="s">
        <v>570</v>
      </c>
      <c r="P261" s="449"/>
      <c r="Q261" s="179"/>
      <c r="R261" s="179"/>
      <c r="S261" s="179"/>
      <c r="T261" s="500" t="e">
        <f>_xlfn.XLOOKUP(H261,#REF!,#REF!,0,0)</f>
        <v>#REF!</v>
      </c>
    </row>
    <row r="262" spans="1:20" x14ac:dyDescent="0.4">
      <c r="A262" s="134" t="s">
        <v>570</v>
      </c>
      <c r="B262" s="134" t="s">
        <v>1303</v>
      </c>
      <c r="C262" s="134"/>
      <c r="D262" s="134" t="s">
        <v>567</v>
      </c>
      <c r="E262" s="18" t="s">
        <v>1182</v>
      </c>
      <c r="F262" s="134">
        <v>41851</v>
      </c>
      <c r="G262" s="18" t="s">
        <v>1304</v>
      </c>
      <c r="H262" s="18">
        <v>59139</v>
      </c>
      <c r="I262" s="134" t="s">
        <v>1305</v>
      </c>
      <c r="J262" s="134" t="s">
        <v>1306</v>
      </c>
      <c r="K262" s="18" t="s">
        <v>570</v>
      </c>
      <c r="L262" s="134" t="s">
        <v>570</v>
      </c>
      <c r="M262" s="134" t="s">
        <v>364</v>
      </c>
      <c r="N262" s="134" t="s">
        <v>364</v>
      </c>
      <c r="O262" s="134" t="s">
        <v>570</v>
      </c>
      <c r="P262" s="449"/>
      <c r="Q262" s="179"/>
      <c r="R262" s="179"/>
      <c r="S262" s="179"/>
      <c r="T262" s="500" t="e">
        <f>_xlfn.XLOOKUP(H262,#REF!,#REF!,0,0)</f>
        <v>#REF!</v>
      </c>
    </row>
    <row r="263" spans="1:20" x14ac:dyDescent="0.4">
      <c r="A263" s="134" t="s">
        <v>570</v>
      </c>
      <c r="B263" s="134" t="s">
        <v>1307</v>
      </c>
      <c r="C263" s="134"/>
      <c r="D263" s="134" t="s">
        <v>567</v>
      </c>
      <c r="E263" s="18" t="s">
        <v>1182</v>
      </c>
      <c r="F263" s="134">
        <v>41851</v>
      </c>
      <c r="G263" s="18" t="s">
        <v>1308</v>
      </c>
      <c r="H263" s="18">
        <v>59140</v>
      </c>
      <c r="I263" s="134" t="s">
        <v>1309</v>
      </c>
      <c r="J263" s="134" t="s">
        <v>1310</v>
      </c>
      <c r="K263" s="18" t="s">
        <v>570</v>
      </c>
      <c r="L263" s="134" t="s">
        <v>570</v>
      </c>
      <c r="M263" s="134" t="s">
        <v>364</v>
      </c>
      <c r="N263" s="134" t="s">
        <v>364</v>
      </c>
      <c r="O263" s="134" t="s">
        <v>570</v>
      </c>
      <c r="P263" s="449"/>
      <c r="Q263" s="179"/>
      <c r="R263" s="179"/>
      <c r="S263" s="179"/>
      <c r="T263" s="500" t="e">
        <f>_xlfn.XLOOKUP(H263,#REF!,#REF!,0,0)</f>
        <v>#REF!</v>
      </c>
    </row>
    <row r="264" spans="1:20" x14ac:dyDescent="0.4">
      <c r="A264" s="134" t="s">
        <v>570</v>
      </c>
      <c r="B264" s="134" t="s">
        <v>1311</v>
      </c>
      <c r="C264" s="134"/>
      <c r="D264" s="134" t="s">
        <v>567</v>
      </c>
      <c r="E264" s="18" t="s">
        <v>1182</v>
      </c>
      <c r="F264" s="134">
        <v>41851</v>
      </c>
      <c r="G264" s="18" t="s">
        <v>1312</v>
      </c>
      <c r="H264" s="18">
        <v>59141</v>
      </c>
      <c r="I264" s="134" t="s">
        <v>1313</v>
      </c>
      <c r="J264" s="134" t="s">
        <v>1314</v>
      </c>
      <c r="K264" s="18" t="s">
        <v>570</v>
      </c>
      <c r="L264" s="134" t="s">
        <v>570</v>
      </c>
      <c r="M264" s="134" t="s">
        <v>364</v>
      </c>
      <c r="N264" s="134" t="s">
        <v>364</v>
      </c>
      <c r="O264" s="134" t="s">
        <v>570</v>
      </c>
      <c r="P264" s="449"/>
      <c r="Q264" s="179"/>
      <c r="R264" s="179"/>
      <c r="S264" s="179"/>
      <c r="T264" s="500" t="e">
        <f>_xlfn.XLOOKUP(H264,#REF!,#REF!,0,0)</f>
        <v>#REF!</v>
      </c>
    </row>
    <row r="265" spans="1:20" x14ac:dyDescent="0.4">
      <c r="A265" s="134" t="s">
        <v>570</v>
      </c>
      <c r="B265" s="134" t="s">
        <v>1315</v>
      </c>
      <c r="C265" s="134"/>
      <c r="D265" s="134" t="s">
        <v>567</v>
      </c>
      <c r="E265" s="18" t="s">
        <v>1182</v>
      </c>
      <c r="F265" s="10">
        <v>41851</v>
      </c>
      <c r="G265" s="18" t="s">
        <v>1316</v>
      </c>
      <c r="H265" s="18">
        <v>59142</v>
      </c>
      <c r="I265" s="134" t="s">
        <v>1317</v>
      </c>
      <c r="J265" s="134" t="s">
        <v>1318</v>
      </c>
      <c r="K265" s="18" t="s">
        <v>570</v>
      </c>
      <c r="L265" s="134" t="s">
        <v>570</v>
      </c>
      <c r="M265" s="134" t="s">
        <v>364</v>
      </c>
      <c r="N265" s="134" t="s">
        <v>364</v>
      </c>
      <c r="O265" s="134" t="s">
        <v>570</v>
      </c>
      <c r="P265" s="449"/>
      <c r="Q265" s="179"/>
      <c r="R265" s="179"/>
      <c r="S265" s="179"/>
      <c r="T265" s="500" t="e">
        <f>_xlfn.XLOOKUP(H265,#REF!,#REF!,0,0)</f>
        <v>#REF!</v>
      </c>
    </row>
    <row r="266" spans="1:20" x14ac:dyDescent="0.4">
      <c r="A266" s="134" t="s">
        <v>570</v>
      </c>
      <c r="B266" s="134" t="s">
        <v>1319</v>
      </c>
      <c r="C266" s="134"/>
      <c r="D266" s="134" t="s">
        <v>567</v>
      </c>
      <c r="E266" s="18" t="s">
        <v>1182</v>
      </c>
      <c r="F266" s="134">
        <v>41851</v>
      </c>
      <c r="G266" s="18" t="s">
        <v>1320</v>
      </c>
      <c r="H266" s="18">
        <v>59143</v>
      </c>
      <c r="I266" s="134" t="s">
        <v>1321</v>
      </c>
      <c r="J266" s="134" t="s">
        <v>1322</v>
      </c>
      <c r="K266" s="18" t="s">
        <v>570</v>
      </c>
      <c r="L266" s="134" t="s">
        <v>570</v>
      </c>
      <c r="M266" s="134" t="s">
        <v>364</v>
      </c>
      <c r="N266" s="134" t="s">
        <v>364</v>
      </c>
      <c r="O266" s="134" t="s">
        <v>570</v>
      </c>
      <c r="P266" s="449"/>
      <c r="Q266" s="179"/>
      <c r="R266" s="179"/>
      <c r="S266" s="179"/>
      <c r="T266" s="500" t="e">
        <f>_xlfn.XLOOKUP(H266,#REF!,#REF!,0,0)</f>
        <v>#REF!</v>
      </c>
    </row>
    <row r="267" spans="1:20" x14ac:dyDescent="0.4">
      <c r="A267" s="134" t="s">
        <v>570</v>
      </c>
      <c r="B267" s="134" t="s">
        <v>1323</v>
      </c>
      <c r="C267" s="134"/>
      <c r="D267" s="134" t="s">
        <v>567</v>
      </c>
      <c r="E267" s="18" t="s">
        <v>1182</v>
      </c>
      <c r="F267" s="10">
        <v>41851</v>
      </c>
      <c r="G267" s="18" t="s">
        <v>1324</v>
      </c>
      <c r="H267" s="18">
        <v>59144</v>
      </c>
      <c r="I267" s="134" t="s">
        <v>1325</v>
      </c>
      <c r="J267" s="134" t="s">
        <v>1326</v>
      </c>
      <c r="K267" s="18" t="s">
        <v>570</v>
      </c>
      <c r="L267" s="134" t="s">
        <v>570</v>
      </c>
      <c r="M267" s="134" t="s">
        <v>364</v>
      </c>
      <c r="N267" s="134" t="s">
        <v>364</v>
      </c>
      <c r="O267" s="134" t="s">
        <v>570</v>
      </c>
      <c r="P267" s="449"/>
      <c r="Q267" s="179"/>
      <c r="R267" s="179"/>
      <c r="S267" s="179"/>
      <c r="T267" s="500" t="e">
        <f>_xlfn.XLOOKUP(H267,#REF!,#REF!,0,0)</f>
        <v>#REF!</v>
      </c>
    </row>
    <row r="268" spans="1:20" x14ac:dyDescent="0.4">
      <c r="A268" s="134" t="s">
        <v>570</v>
      </c>
      <c r="B268" s="134" t="s">
        <v>1327</v>
      </c>
      <c r="C268" s="134"/>
      <c r="D268" s="134" t="s">
        <v>567</v>
      </c>
      <c r="E268" s="18" t="s">
        <v>1182</v>
      </c>
      <c r="F268" s="10">
        <v>41851</v>
      </c>
      <c r="G268" s="18" t="s">
        <v>1328</v>
      </c>
      <c r="H268" s="18">
        <v>59145</v>
      </c>
      <c r="I268" s="134" t="s">
        <v>1329</v>
      </c>
      <c r="J268" s="134" t="s">
        <v>1330</v>
      </c>
      <c r="K268" s="18" t="s">
        <v>570</v>
      </c>
      <c r="L268" s="134" t="s">
        <v>570</v>
      </c>
      <c r="M268" s="134" t="s">
        <v>364</v>
      </c>
      <c r="N268" s="134" t="s">
        <v>364</v>
      </c>
      <c r="O268" s="134" t="s">
        <v>570</v>
      </c>
      <c r="P268" s="449"/>
      <c r="Q268" s="179"/>
      <c r="R268" s="179"/>
      <c r="S268" s="179"/>
      <c r="T268" s="500" t="e">
        <f>_xlfn.XLOOKUP(H268,#REF!,#REF!,0,0)</f>
        <v>#REF!</v>
      </c>
    </row>
    <row r="269" spans="1:20" x14ac:dyDescent="0.4">
      <c r="A269" s="134" t="s">
        <v>570</v>
      </c>
      <c r="B269" s="134" t="s">
        <v>1331</v>
      </c>
      <c r="C269" s="134"/>
      <c r="D269" s="134" t="s">
        <v>567</v>
      </c>
      <c r="E269" s="18" t="s">
        <v>1182</v>
      </c>
      <c r="F269" s="134">
        <v>41851</v>
      </c>
      <c r="G269" s="18" t="s">
        <v>1332</v>
      </c>
      <c r="H269" s="18">
        <v>59146</v>
      </c>
      <c r="I269" s="134" t="s">
        <v>1333</v>
      </c>
      <c r="J269" s="134" t="s">
        <v>1334</v>
      </c>
      <c r="K269" s="18" t="s">
        <v>570</v>
      </c>
      <c r="L269" s="134" t="s">
        <v>570</v>
      </c>
      <c r="M269" s="134" t="s">
        <v>364</v>
      </c>
      <c r="N269" s="134" t="s">
        <v>364</v>
      </c>
      <c r="O269" s="134" t="s">
        <v>570</v>
      </c>
      <c r="P269" s="449"/>
      <c r="Q269" s="179"/>
      <c r="R269" s="179"/>
      <c r="S269" s="179"/>
      <c r="T269" s="500" t="e">
        <f>_xlfn.XLOOKUP(H269,#REF!,#REF!,0,0)</f>
        <v>#REF!</v>
      </c>
    </row>
    <row r="270" spans="1:20" x14ac:dyDescent="0.4">
      <c r="A270" s="134" t="s">
        <v>570</v>
      </c>
      <c r="B270" s="134" t="s">
        <v>1335</v>
      </c>
      <c r="C270" s="134"/>
      <c r="D270" s="134" t="s">
        <v>567</v>
      </c>
      <c r="E270" s="18" t="s">
        <v>1182</v>
      </c>
      <c r="F270" s="134">
        <v>41851</v>
      </c>
      <c r="G270" s="18" t="s">
        <v>1336</v>
      </c>
      <c r="H270" s="18">
        <v>59147</v>
      </c>
      <c r="I270" s="134" t="s">
        <v>1337</v>
      </c>
      <c r="J270" s="134" t="s">
        <v>1338</v>
      </c>
      <c r="K270" s="18" t="s">
        <v>570</v>
      </c>
      <c r="L270" s="134" t="s">
        <v>570</v>
      </c>
      <c r="M270" s="134" t="s">
        <v>364</v>
      </c>
      <c r="N270" s="134" t="s">
        <v>364</v>
      </c>
      <c r="O270" s="134" t="s">
        <v>570</v>
      </c>
      <c r="P270" s="449"/>
      <c r="Q270" s="179"/>
      <c r="R270" s="179"/>
      <c r="S270" s="179"/>
      <c r="T270" s="500" t="e">
        <f>_xlfn.XLOOKUP(H270,#REF!,#REF!,0,0)</f>
        <v>#REF!</v>
      </c>
    </row>
    <row r="271" spans="1:20" x14ac:dyDescent="0.4">
      <c r="A271" s="134" t="s">
        <v>570</v>
      </c>
      <c r="B271" s="134" t="s">
        <v>1339</v>
      </c>
      <c r="C271" s="134"/>
      <c r="D271" s="134" t="s">
        <v>567</v>
      </c>
      <c r="E271" s="18" t="s">
        <v>1182</v>
      </c>
      <c r="F271" s="10">
        <v>41932</v>
      </c>
      <c r="G271" s="18" t="s">
        <v>1340</v>
      </c>
      <c r="H271" s="18">
        <v>59387</v>
      </c>
      <c r="I271" s="134" t="s">
        <v>1341</v>
      </c>
      <c r="J271" s="134" t="s">
        <v>1342</v>
      </c>
      <c r="K271" s="18" t="s">
        <v>570</v>
      </c>
      <c r="L271" s="134" t="s">
        <v>570</v>
      </c>
      <c r="M271" s="134" t="s">
        <v>364</v>
      </c>
      <c r="N271" s="134" t="s">
        <v>364</v>
      </c>
      <c r="O271" s="134" t="s">
        <v>570</v>
      </c>
      <c r="P271" s="449"/>
      <c r="Q271" s="179"/>
      <c r="R271" s="179"/>
      <c r="S271" s="179"/>
      <c r="T271" s="500" t="e">
        <f>_xlfn.XLOOKUP(H271,#REF!,#REF!,0,0)</f>
        <v>#REF!</v>
      </c>
    </row>
    <row r="272" spans="1:20" x14ac:dyDescent="0.4">
      <c r="A272" s="134" t="s">
        <v>570</v>
      </c>
      <c r="B272" s="134" t="s">
        <v>1343</v>
      </c>
      <c r="C272" s="134"/>
      <c r="D272" s="134" t="s">
        <v>567</v>
      </c>
      <c r="E272" s="18" t="s">
        <v>1182</v>
      </c>
      <c r="F272" s="10">
        <v>41932</v>
      </c>
      <c r="G272" s="18" t="s">
        <v>1344</v>
      </c>
      <c r="H272" s="18">
        <v>59388</v>
      </c>
      <c r="I272" s="134" t="s">
        <v>1345</v>
      </c>
      <c r="J272" s="134" t="s">
        <v>1346</v>
      </c>
      <c r="K272" s="18" t="s">
        <v>570</v>
      </c>
      <c r="L272" s="134" t="s">
        <v>570</v>
      </c>
      <c r="M272" s="134" t="s">
        <v>364</v>
      </c>
      <c r="N272" s="134" t="s">
        <v>364</v>
      </c>
      <c r="O272" s="134" t="s">
        <v>570</v>
      </c>
      <c r="P272" s="449"/>
      <c r="Q272" s="179"/>
      <c r="R272" s="179"/>
      <c r="S272" s="179"/>
      <c r="T272" s="500" t="e">
        <f>_xlfn.XLOOKUP(H272,#REF!,#REF!,0,0)</f>
        <v>#REF!</v>
      </c>
    </row>
    <row r="273" spans="1:20" x14ac:dyDescent="0.4">
      <c r="A273" s="134" t="s">
        <v>570</v>
      </c>
      <c r="B273" s="134" t="s">
        <v>1347</v>
      </c>
      <c r="C273" s="134"/>
      <c r="D273" s="134" t="s">
        <v>567</v>
      </c>
      <c r="E273" s="18" t="s">
        <v>1182</v>
      </c>
      <c r="F273" s="10">
        <v>41932</v>
      </c>
      <c r="G273" s="18" t="s">
        <v>1348</v>
      </c>
      <c r="H273" s="18">
        <v>59389</v>
      </c>
      <c r="I273" s="134" t="s">
        <v>1349</v>
      </c>
      <c r="J273" s="134" t="s">
        <v>1350</v>
      </c>
      <c r="K273" s="18" t="s">
        <v>570</v>
      </c>
      <c r="L273" s="134" t="s">
        <v>570</v>
      </c>
      <c r="M273" s="134" t="s">
        <v>364</v>
      </c>
      <c r="N273" s="134" t="s">
        <v>364</v>
      </c>
      <c r="O273" s="134" t="s">
        <v>570</v>
      </c>
      <c r="P273" s="449"/>
      <c r="Q273" s="179"/>
      <c r="R273" s="179"/>
      <c r="S273" s="179"/>
      <c r="T273" s="500" t="e">
        <f>_xlfn.XLOOKUP(H273,#REF!,#REF!,0,0)</f>
        <v>#REF!</v>
      </c>
    </row>
    <row r="274" spans="1:20" x14ac:dyDescent="0.4">
      <c r="A274" s="134" t="s">
        <v>570</v>
      </c>
      <c r="B274" s="134" t="s">
        <v>1351</v>
      </c>
      <c r="C274" s="134"/>
      <c r="D274" s="134" t="s">
        <v>567</v>
      </c>
      <c r="E274" s="18" t="s">
        <v>1182</v>
      </c>
      <c r="F274" s="10">
        <v>41932</v>
      </c>
      <c r="G274" s="18" t="s">
        <v>1352</v>
      </c>
      <c r="H274" s="18">
        <v>59390</v>
      </c>
      <c r="I274" s="134" t="s">
        <v>1353</v>
      </c>
      <c r="J274" s="134" t="s">
        <v>1354</v>
      </c>
      <c r="K274" s="18" t="s">
        <v>570</v>
      </c>
      <c r="L274" s="134" t="s">
        <v>570</v>
      </c>
      <c r="M274" s="134" t="s">
        <v>364</v>
      </c>
      <c r="N274" s="134" t="s">
        <v>364</v>
      </c>
      <c r="O274" s="134" t="s">
        <v>570</v>
      </c>
      <c r="P274" s="449"/>
      <c r="Q274" s="179"/>
      <c r="R274" s="179"/>
      <c r="S274" s="179"/>
      <c r="T274" s="500" t="e">
        <f>_xlfn.XLOOKUP(H274,#REF!,#REF!,0,0)</f>
        <v>#REF!</v>
      </c>
    </row>
    <row r="275" spans="1:20" x14ac:dyDescent="0.4">
      <c r="A275" s="134" t="s">
        <v>570</v>
      </c>
      <c r="B275" s="134" t="s">
        <v>1355</v>
      </c>
      <c r="C275" s="134"/>
      <c r="D275" s="134" t="s">
        <v>567</v>
      </c>
      <c r="E275" s="18" t="s">
        <v>1182</v>
      </c>
      <c r="F275" s="134">
        <v>41932</v>
      </c>
      <c r="G275" s="18" t="s">
        <v>1356</v>
      </c>
      <c r="H275" s="18">
        <v>59391</v>
      </c>
      <c r="I275" s="134" t="s">
        <v>1357</v>
      </c>
      <c r="J275" s="134" t="s">
        <v>1358</v>
      </c>
      <c r="K275" s="18" t="s">
        <v>570</v>
      </c>
      <c r="L275" s="134" t="s">
        <v>570</v>
      </c>
      <c r="M275" s="134" t="s">
        <v>364</v>
      </c>
      <c r="N275" s="134" t="s">
        <v>364</v>
      </c>
      <c r="O275" s="134" t="s">
        <v>570</v>
      </c>
      <c r="P275" s="449"/>
      <c r="Q275" s="179"/>
      <c r="R275" s="179"/>
      <c r="S275" s="179"/>
      <c r="T275" s="500" t="e">
        <f>_xlfn.XLOOKUP(H275,#REF!,#REF!,0,0)</f>
        <v>#REF!</v>
      </c>
    </row>
    <row r="276" spans="1:20" x14ac:dyDescent="0.4">
      <c r="A276" s="134" t="s">
        <v>570</v>
      </c>
      <c r="B276" s="134" t="s">
        <v>1359</v>
      </c>
      <c r="C276" s="134"/>
      <c r="D276" s="134" t="s">
        <v>567</v>
      </c>
      <c r="E276" s="18" t="s">
        <v>1182</v>
      </c>
      <c r="F276" s="134">
        <v>41932</v>
      </c>
      <c r="G276" s="18" t="s">
        <v>1360</v>
      </c>
      <c r="H276" s="18">
        <v>59392</v>
      </c>
      <c r="I276" s="134" t="s">
        <v>1361</v>
      </c>
      <c r="J276" s="134" t="s">
        <v>1362</v>
      </c>
      <c r="K276" s="18" t="s">
        <v>570</v>
      </c>
      <c r="L276" s="134" t="s">
        <v>570</v>
      </c>
      <c r="M276" s="134" t="s">
        <v>364</v>
      </c>
      <c r="N276" s="134" t="s">
        <v>364</v>
      </c>
      <c r="O276" s="134" t="s">
        <v>570</v>
      </c>
      <c r="P276" s="449"/>
      <c r="Q276" s="179"/>
      <c r="R276" s="179"/>
      <c r="S276" s="179"/>
      <c r="T276" s="500" t="e">
        <f>_xlfn.XLOOKUP(H276,#REF!,#REF!,0,0)</f>
        <v>#REF!</v>
      </c>
    </row>
    <row r="277" spans="1:20" x14ac:dyDescent="0.4">
      <c r="A277" s="134" t="s">
        <v>570</v>
      </c>
      <c r="B277" s="134" t="s">
        <v>1363</v>
      </c>
      <c r="C277" s="134"/>
      <c r="D277" s="134" t="s">
        <v>567</v>
      </c>
      <c r="E277" s="18" t="s">
        <v>1182</v>
      </c>
      <c r="F277" s="134">
        <v>41932</v>
      </c>
      <c r="G277" s="18" t="s">
        <v>1364</v>
      </c>
      <c r="H277" s="18">
        <v>59393</v>
      </c>
      <c r="I277" s="134" t="s">
        <v>1365</v>
      </c>
      <c r="J277" s="134" t="s">
        <v>1366</v>
      </c>
      <c r="K277" s="18" t="s">
        <v>570</v>
      </c>
      <c r="L277" s="134" t="s">
        <v>570</v>
      </c>
      <c r="M277" s="134" t="s">
        <v>364</v>
      </c>
      <c r="N277" s="134" t="s">
        <v>364</v>
      </c>
      <c r="O277" s="134" t="s">
        <v>570</v>
      </c>
      <c r="P277" s="449"/>
      <c r="Q277" s="179"/>
      <c r="R277" s="179"/>
      <c r="S277" s="179"/>
      <c r="T277" s="500" t="e">
        <f>_xlfn.XLOOKUP(H277,#REF!,#REF!,0,0)</f>
        <v>#REF!</v>
      </c>
    </row>
    <row r="278" spans="1:20" x14ac:dyDescent="0.4">
      <c r="A278" s="134" t="s">
        <v>864</v>
      </c>
      <c r="B278" s="134" t="s">
        <v>1367</v>
      </c>
      <c r="C278" s="134"/>
      <c r="D278" s="134" t="s">
        <v>567</v>
      </c>
      <c r="E278" s="18" t="s">
        <v>1182</v>
      </c>
      <c r="F278" s="134">
        <v>41932</v>
      </c>
      <c r="G278" s="18" t="s">
        <v>42</v>
      </c>
      <c r="H278" s="18">
        <v>59394</v>
      </c>
      <c r="I278" s="134" t="s">
        <v>1368</v>
      </c>
      <c r="J278" s="134" t="s">
        <v>1369</v>
      </c>
      <c r="K278" s="18" t="s">
        <v>570</v>
      </c>
      <c r="L278" s="134" t="s">
        <v>570</v>
      </c>
      <c r="M278" s="134" t="s">
        <v>364</v>
      </c>
      <c r="N278" s="134" t="s">
        <v>364</v>
      </c>
      <c r="O278" s="134" t="s">
        <v>570</v>
      </c>
      <c r="P278" s="449"/>
      <c r="Q278" s="179"/>
      <c r="R278" s="179"/>
      <c r="S278" s="179"/>
      <c r="T278" s="500" t="e">
        <f>_xlfn.XLOOKUP(H278,#REF!,#REF!,0,0)</f>
        <v>#REF!</v>
      </c>
    </row>
    <row r="279" spans="1:20" x14ac:dyDescent="0.4">
      <c r="A279" s="134" t="s">
        <v>570</v>
      </c>
      <c r="B279" s="134" t="s">
        <v>1370</v>
      </c>
      <c r="C279" s="134"/>
      <c r="D279" s="134" t="s">
        <v>567</v>
      </c>
      <c r="E279" s="18" t="s">
        <v>1182</v>
      </c>
      <c r="F279" s="134">
        <v>41932</v>
      </c>
      <c r="G279" s="18" t="s">
        <v>1371</v>
      </c>
      <c r="H279" s="18">
        <v>59395</v>
      </c>
      <c r="I279" s="134" t="s">
        <v>1372</v>
      </c>
      <c r="J279" s="134" t="s">
        <v>1373</v>
      </c>
      <c r="K279" s="18" t="s">
        <v>570</v>
      </c>
      <c r="L279" s="134" t="s">
        <v>570</v>
      </c>
      <c r="M279" s="134" t="s">
        <v>364</v>
      </c>
      <c r="N279" s="134" t="s">
        <v>364</v>
      </c>
      <c r="O279" s="134" t="s">
        <v>570</v>
      </c>
      <c r="P279" s="449"/>
      <c r="Q279" s="179"/>
      <c r="R279" s="179"/>
      <c r="S279" s="179"/>
      <c r="T279" s="500" t="e">
        <f>_xlfn.XLOOKUP(H279,#REF!,#REF!,0,0)</f>
        <v>#REF!</v>
      </c>
    </row>
    <row r="280" spans="1:20" x14ac:dyDescent="0.4">
      <c r="A280" s="134" t="s">
        <v>570</v>
      </c>
      <c r="B280" s="134" t="s">
        <v>1374</v>
      </c>
      <c r="C280" s="134"/>
      <c r="D280" s="134" t="s">
        <v>567</v>
      </c>
      <c r="E280" s="18" t="s">
        <v>1182</v>
      </c>
      <c r="F280" s="134">
        <v>41932</v>
      </c>
      <c r="G280" s="18" t="s">
        <v>1375</v>
      </c>
      <c r="H280" s="18">
        <v>59396</v>
      </c>
      <c r="I280" s="134" t="s">
        <v>1376</v>
      </c>
      <c r="J280" s="134" t="s">
        <v>1377</v>
      </c>
      <c r="K280" s="18" t="s">
        <v>570</v>
      </c>
      <c r="L280" s="134" t="s">
        <v>570</v>
      </c>
      <c r="M280" s="134" t="s">
        <v>364</v>
      </c>
      <c r="N280" s="134" t="s">
        <v>364</v>
      </c>
      <c r="O280" s="134" t="s">
        <v>570</v>
      </c>
      <c r="P280" s="449"/>
      <c r="Q280" s="179"/>
      <c r="R280" s="179"/>
      <c r="S280" s="179"/>
      <c r="T280" s="500" t="e">
        <f>_xlfn.XLOOKUP(H280,#REF!,#REF!,0,0)</f>
        <v>#REF!</v>
      </c>
    </row>
    <row r="281" spans="1:20" x14ac:dyDescent="0.4">
      <c r="A281" s="134" t="s">
        <v>570</v>
      </c>
      <c r="B281" s="134" t="s">
        <v>1378</v>
      </c>
      <c r="C281" s="134"/>
      <c r="D281" s="134" t="s">
        <v>567</v>
      </c>
      <c r="E281" s="18" t="s">
        <v>1182</v>
      </c>
      <c r="F281" s="134">
        <v>41932</v>
      </c>
      <c r="G281" s="18" t="s">
        <v>43</v>
      </c>
      <c r="H281" s="18">
        <v>59397</v>
      </c>
      <c r="I281" s="134" t="s">
        <v>1379</v>
      </c>
      <c r="J281" s="134" t="s">
        <v>1380</v>
      </c>
      <c r="K281" s="18" t="s">
        <v>570</v>
      </c>
      <c r="L281" s="134" t="s">
        <v>570</v>
      </c>
      <c r="M281" s="134" t="s">
        <v>364</v>
      </c>
      <c r="N281" s="134" t="s">
        <v>364</v>
      </c>
      <c r="O281" s="134" t="s">
        <v>570</v>
      </c>
      <c r="P281" s="449"/>
      <c r="Q281" s="179"/>
      <c r="R281" s="179"/>
      <c r="S281" s="179"/>
      <c r="T281" s="500" t="e">
        <f>_xlfn.XLOOKUP(H281,#REF!,#REF!,0,0)</f>
        <v>#REF!</v>
      </c>
    </row>
    <row r="282" spans="1:20" x14ac:dyDescent="0.4">
      <c r="A282" s="134" t="s">
        <v>570</v>
      </c>
      <c r="B282" s="134" t="s">
        <v>1381</v>
      </c>
      <c r="C282" s="134"/>
      <c r="D282" s="134" t="s">
        <v>567</v>
      </c>
      <c r="E282" s="18" t="s">
        <v>1182</v>
      </c>
      <c r="F282" s="134">
        <v>41932</v>
      </c>
      <c r="G282" s="18" t="s">
        <v>1382</v>
      </c>
      <c r="H282" s="18">
        <v>59398</v>
      </c>
      <c r="I282" s="134" t="s">
        <v>1383</v>
      </c>
      <c r="J282" s="134" t="s">
        <v>1384</v>
      </c>
      <c r="K282" s="18" t="s">
        <v>570</v>
      </c>
      <c r="L282" s="134" t="s">
        <v>570</v>
      </c>
      <c r="M282" s="134" t="s">
        <v>364</v>
      </c>
      <c r="N282" s="134" t="s">
        <v>364</v>
      </c>
      <c r="O282" s="134" t="s">
        <v>570</v>
      </c>
      <c r="P282" s="449"/>
      <c r="Q282" s="179"/>
      <c r="R282" s="179"/>
      <c r="S282" s="179"/>
      <c r="T282" s="500" t="e">
        <f>_xlfn.XLOOKUP(H282,#REF!,#REF!,0,0)</f>
        <v>#REF!</v>
      </c>
    </row>
    <row r="283" spans="1:20" x14ac:dyDescent="0.4">
      <c r="A283" s="134" t="s">
        <v>570</v>
      </c>
      <c r="B283" s="134" t="s">
        <v>1385</v>
      </c>
      <c r="C283" s="134"/>
      <c r="D283" s="134" t="s">
        <v>567</v>
      </c>
      <c r="E283" s="18" t="s">
        <v>1182</v>
      </c>
      <c r="F283" s="10">
        <v>41932</v>
      </c>
      <c r="G283" s="18" t="s">
        <v>1386</v>
      </c>
      <c r="H283" s="18">
        <v>59399</v>
      </c>
      <c r="I283" s="134" t="s">
        <v>1387</v>
      </c>
      <c r="J283" s="134" t="s">
        <v>1388</v>
      </c>
      <c r="K283" s="18" t="s">
        <v>570</v>
      </c>
      <c r="L283" s="134" t="s">
        <v>570</v>
      </c>
      <c r="M283" s="134" t="s">
        <v>364</v>
      </c>
      <c r="N283" s="134" t="s">
        <v>364</v>
      </c>
      <c r="O283" s="134" t="s">
        <v>570</v>
      </c>
      <c r="P283" s="449"/>
      <c r="Q283" s="179"/>
      <c r="R283" s="179"/>
      <c r="S283" s="179"/>
      <c r="T283" s="500" t="e">
        <f>_xlfn.XLOOKUP(H283,#REF!,#REF!,0,0)</f>
        <v>#REF!</v>
      </c>
    </row>
    <row r="284" spans="1:20" x14ac:dyDescent="0.4">
      <c r="A284" s="134" t="s">
        <v>570</v>
      </c>
      <c r="B284" s="134" t="s">
        <v>1389</v>
      </c>
      <c r="C284" s="134"/>
      <c r="D284" s="134" t="s">
        <v>567</v>
      </c>
      <c r="E284" s="18" t="s">
        <v>1182</v>
      </c>
      <c r="F284" s="10">
        <v>41932</v>
      </c>
      <c r="G284" s="18" t="s">
        <v>1390</v>
      </c>
      <c r="H284" s="18">
        <v>59400</v>
      </c>
      <c r="I284" s="134" t="s">
        <v>1391</v>
      </c>
      <c r="J284" s="134" t="s">
        <v>1392</v>
      </c>
      <c r="K284" s="18" t="s">
        <v>570</v>
      </c>
      <c r="L284" s="134" t="s">
        <v>570</v>
      </c>
      <c r="M284" s="134" t="s">
        <v>364</v>
      </c>
      <c r="N284" s="134" t="s">
        <v>364</v>
      </c>
      <c r="O284" s="134" t="s">
        <v>570</v>
      </c>
      <c r="P284" s="449"/>
      <c r="Q284" s="179"/>
      <c r="R284" s="179"/>
      <c r="S284" s="179"/>
      <c r="T284" s="500" t="e">
        <f>_xlfn.XLOOKUP(H284,#REF!,#REF!,0,0)</f>
        <v>#REF!</v>
      </c>
    </row>
    <row r="285" spans="1:20" x14ac:dyDescent="0.4">
      <c r="A285" s="134" t="s">
        <v>570</v>
      </c>
      <c r="B285" s="134" t="s">
        <v>1393</v>
      </c>
      <c r="C285" s="134"/>
      <c r="D285" s="134" t="s">
        <v>567</v>
      </c>
      <c r="E285" s="18" t="s">
        <v>1182</v>
      </c>
      <c r="F285" s="10">
        <v>41932</v>
      </c>
      <c r="G285" s="18" t="s">
        <v>1394</v>
      </c>
      <c r="H285" s="18">
        <v>59401</v>
      </c>
      <c r="I285" s="134" t="s">
        <v>1395</v>
      </c>
      <c r="J285" s="134" t="s">
        <v>1396</v>
      </c>
      <c r="K285" s="18" t="s">
        <v>570</v>
      </c>
      <c r="L285" s="134" t="s">
        <v>570</v>
      </c>
      <c r="M285" s="134" t="s">
        <v>364</v>
      </c>
      <c r="N285" s="134" t="s">
        <v>364</v>
      </c>
      <c r="O285" s="134" t="s">
        <v>570</v>
      </c>
      <c r="P285" s="449"/>
      <c r="Q285" s="179"/>
      <c r="R285" s="179"/>
      <c r="S285" s="179"/>
      <c r="T285" s="500" t="e">
        <f>_xlfn.XLOOKUP(H285,#REF!,#REF!,0,0)</f>
        <v>#REF!</v>
      </c>
    </row>
    <row r="286" spans="1:20" x14ac:dyDescent="0.4">
      <c r="A286" s="134" t="s">
        <v>570</v>
      </c>
      <c r="B286" s="134" t="s">
        <v>1397</v>
      </c>
      <c r="C286" s="134"/>
      <c r="D286" s="134" t="s">
        <v>567</v>
      </c>
      <c r="E286" s="18" t="s">
        <v>1182</v>
      </c>
      <c r="F286" s="10">
        <v>41995</v>
      </c>
      <c r="G286" s="18" t="s">
        <v>1398</v>
      </c>
      <c r="H286" s="18">
        <v>59494</v>
      </c>
      <c r="I286" s="134" t="s">
        <v>1399</v>
      </c>
      <c r="J286" s="134" t="s">
        <v>1400</v>
      </c>
      <c r="K286" s="18" t="s">
        <v>570</v>
      </c>
      <c r="L286" s="134" t="s">
        <v>570</v>
      </c>
      <c r="M286" s="134" t="s">
        <v>364</v>
      </c>
      <c r="N286" s="134" t="s">
        <v>364</v>
      </c>
      <c r="O286" s="134" t="s">
        <v>570</v>
      </c>
      <c r="P286" s="449"/>
      <c r="Q286" s="179"/>
      <c r="R286" s="179"/>
      <c r="S286" s="179"/>
      <c r="T286" s="500" t="e">
        <f>_xlfn.XLOOKUP(H286,#REF!,#REF!,0,0)</f>
        <v>#REF!</v>
      </c>
    </row>
    <row r="287" spans="1:20" x14ac:dyDescent="0.4">
      <c r="A287" s="134" t="s">
        <v>570</v>
      </c>
      <c r="B287" s="134" t="s">
        <v>1401</v>
      </c>
      <c r="C287" s="134"/>
      <c r="D287" s="134" t="s">
        <v>567</v>
      </c>
      <c r="E287" s="18" t="s">
        <v>1182</v>
      </c>
      <c r="F287" s="10">
        <v>41995</v>
      </c>
      <c r="G287" s="18" t="s">
        <v>1402</v>
      </c>
      <c r="H287" s="18">
        <v>59495</v>
      </c>
      <c r="I287" s="134" t="s">
        <v>1403</v>
      </c>
      <c r="J287" s="134" t="s">
        <v>1404</v>
      </c>
      <c r="K287" s="18" t="s">
        <v>570</v>
      </c>
      <c r="L287" s="134" t="s">
        <v>570</v>
      </c>
      <c r="M287" s="134" t="s">
        <v>364</v>
      </c>
      <c r="N287" s="134" t="s">
        <v>364</v>
      </c>
      <c r="O287" s="134" t="s">
        <v>570</v>
      </c>
      <c r="P287" s="449"/>
      <c r="Q287" s="179"/>
      <c r="R287" s="179"/>
      <c r="S287" s="179"/>
      <c r="T287" s="500" t="e">
        <f>_xlfn.XLOOKUP(H287,#REF!,#REF!,0,0)</f>
        <v>#REF!</v>
      </c>
    </row>
    <row r="288" spans="1:20" x14ac:dyDescent="0.4">
      <c r="A288" s="134" t="s">
        <v>570</v>
      </c>
      <c r="B288" s="134" t="s">
        <v>1405</v>
      </c>
      <c r="C288" s="134"/>
      <c r="D288" s="134" t="s">
        <v>567</v>
      </c>
      <c r="E288" s="18" t="s">
        <v>1182</v>
      </c>
      <c r="F288" s="134">
        <v>41995</v>
      </c>
      <c r="G288" s="18" t="s">
        <v>1406</v>
      </c>
      <c r="H288" s="18">
        <v>59496</v>
      </c>
      <c r="I288" s="134" t="s">
        <v>1407</v>
      </c>
      <c r="J288" s="134" t="s">
        <v>1408</v>
      </c>
      <c r="K288" s="18" t="s">
        <v>570</v>
      </c>
      <c r="L288" s="134" t="s">
        <v>570</v>
      </c>
      <c r="M288" s="134" t="s">
        <v>364</v>
      </c>
      <c r="N288" s="134" t="s">
        <v>364</v>
      </c>
      <c r="O288" s="134" t="s">
        <v>570</v>
      </c>
      <c r="P288" s="449"/>
      <c r="Q288" s="179"/>
      <c r="R288" s="179"/>
      <c r="S288" s="179"/>
      <c r="T288" s="500" t="e">
        <f>_xlfn.XLOOKUP(H288,#REF!,#REF!,0,0)</f>
        <v>#REF!</v>
      </c>
    </row>
    <row r="289" spans="1:20" x14ac:dyDescent="0.4">
      <c r="A289" s="134" t="s">
        <v>570</v>
      </c>
      <c r="B289" s="134" t="s">
        <v>1261</v>
      </c>
      <c r="C289" s="134"/>
      <c r="D289" s="134" t="s">
        <v>567</v>
      </c>
      <c r="E289" s="18" t="s">
        <v>1262</v>
      </c>
      <c r="F289" s="134">
        <v>42039</v>
      </c>
      <c r="G289" s="18" t="s">
        <v>1409</v>
      </c>
      <c r="H289" s="18">
        <v>59797</v>
      </c>
      <c r="I289" s="134" t="s">
        <v>1410</v>
      </c>
      <c r="J289" s="134" t="s">
        <v>1411</v>
      </c>
      <c r="K289" s="18" t="s">
        <v>570</v>
      </c>
      <c r="L289" s="134" t="s">
        <v>570</v>
      </c>
      <c r="M289" s="134" t="s">
        <v>364</v>
      </c>
      <c r="N289" s="134" t="s">
        <v>364</v>
      </c>
      <c r="O289" s="134" t="s">
        <v>570</v>
      </c>
      <c r="P289" s="449"/>
      <c r="Q289" s="179"/>
      <c r="R289" s="179"/>
      <c r="S289" s="179"/>
      <c r="T289" s="500" t="e">
        <f>_xlfn.XLOOKUP(H289,#REF!,#REF!,0,0)</f>
        <v>#REF!</v>
      </c>
    </row>
    <row r="290" spans="1:20" x14ac:dyDescent="0.4">
      <c r="A290" s="134" t="s">
        <v>570</v>
      </c>
      <c r="B290" s="134" t="s">
        <v>1412</v>
      </c>
      <c r="C290" s="134"/>
      <c r="D290" s="134" t="s">
        <v>567</v>
      </c>
      <c r="E290" s="18" t="s">
        <v>1262</v>
      </c>
      <c r="F290" s="134">
        <v>42039</v>
      </c>
      <c r="G290" s="18" t="s">
        <v>1413</v>
      </c>
      <c r="H290" s="18">
        <v>59798</v>
      </c>
      <c r="I290" s="134" t="s">
        <v>1414</v>
      </c>
      <c r="J290" s="134" t="s">
        <v>1415</v>
      </c>
      <c r="K290" s="18" t="s">
        <v>570</v>
      </c>
      <c r="L290" s="134" t="s">
        <v>570</v>
      </c>
      <c r="M290" s="134" t="s">
        <v>364</v>
      </c>
      <c r="N290" s="134" t="s">
        <v>364</v>
      </c>
      <c r="O290" s="134" t="s">
        <v>570</v>
      </c>
      <c r="P290" s="449"/>
      <c r="Q290" s="179"/>
      <c r="R290" s="179"/>
      <c r="S290" s="179"/>
      <c r="T290" s="500" t="e">
        <f>_xlfn.XLOOKUP(H290,#REF!,#REF!,0,0)</f>
        <v>#REF!</v>
      </c>
    </row>
    <row r="291" spans="1:20" x14ac:dyDescent="0.4">
      <c r="A291" s="134" t="s">
        <v>570</v>
      </c>
      <c r="B291" s="134" t="s">
        <v>1416</v>
      </c>
      <c r="C291" s="134"/>
      <c r="D291" s="134" t="s">
        <v>567</v>
      </c>
      <c r="E291" s="18" t="s">
        <v>1262</v>
      </c>
      <c r="F291" s="134">
        <v>42039</v>
      </c>
      <c r="G291" s="18" t="s">
        <v>1417</v>
      </c>
      <c r="H291" s="18">
        <v>59799</v>
      </c>
      <c r="I291" s="134" t="s">
        <v>1418</v>
      </c>
      <c r="J291" s="134" t="s">
        <v>1419</v>
      </c>
      <c r="K291" s="18" t="s">
        <v>570</v>
      </c>
      <c r="L291" s="134" t="s">
        <v>570</v>
      </c>
      <c r="M291" s="134" t="s">
        <v>364</v>
      </c>
      <c r="N291" s="134" t="s">
        <v>364</v>
      </c>
      <c r="O291" s="134" t="s">
        <v>570</v>
      </c>
      <c r="P291" s="449"/>
      <c r="Q291" s="179"/>
      <c r="R291" s="179"/>
      <c r="S291" s="179"/>
      <c r="T291" s="500" t="e">
        <f>_xlfn.XLOOKUP(H291,#REF!,#REF!,0,0)</f>
        <v>#REF!</v>
      </c>
    </row>
    <row r="292" spans="1:20" x14ac:dyDescent="0.4">
      <c r="A292" s="134" t="s">
        <v>570</v>
      </c>
      <c r="B292" s="134" t="s">
        <v>1420</v>
      </c>
      <c r="C292" s="134"/>
      <c r="D292" s="134" t="s">
        <v>567</v>
      </c>
      <c r="E292" s="18" t="s">
        <v>1262</v>
      </c>
      <c r="F292" s="10">
        <v>42039</v>
      </c>
      <c r="G292" s="18" t="s">
        <v>1421</v>
      </c>
      <c r="H292" s="18">
        <v>59800</v>
      </c>
      <c r="I292" s="134" t="s">
        <v>1422</v>
      </c>
      <c r="J292" s="134" t="s">
        <v>1423</v>
      </c>
      <c r="K292" s="18" t="s">
        <v>570</v>
      </c>
      <c r="L292" s="134" t="s">
        <v>570</v>
      </c>
      <c r="M292" s="134" t="s">
        <v>364</v>
      </c>
      <c r="N292" s="134" t="s">
        <v>364</v>
      </c>
      <c r="O292" s="134" t="s">
        <v>570</v>
      </c>
      <c r="P292" s="449"/>
      <c r="Q292" s="179"/>
      <c r="R292" s="179"/>
      <c r="S292" s="179"/>
      <c r="T292" s="500" t="e">
        <f>_xlfn.XLOOKUP(H292,#REF!,#REF!,0,0)</f>
        <v>#REF!</v>
      </c>
    </row>
    <row r="293" spans="1:20" x14ac:dyDescent="0.4">
      <c r="A293" s="134" t="s">
        <v>570</v>
      </c>
      <c r="B293" s="134" t="s">
        <v>1424</v>
      </c>
      <c r="C293" s="134"/>
      <c r="D293" s="134" t="s">
        <v>567</v>
      </c>
      <c r="E293" s="18" t="s">
        <v>1262</v>
      </c>
      <c r="F293" s="10">
        <v>42039</v>
      </c>
      <c r="G293" s="18" t="s">
        <v>1425</v>
      </c>
      <c r="H293" s="18">
        <v>59801</v>
      </c>
      <c r="I293" s="134" t="s">
        <v>1426</v>
      </c>
      <c r="J293" s="134" t="s">
        <v>1427</v>
      </c>
      <c r="K293" s="18" t="s">
        <v>570</v>
      </c>
      <c r="L293" s="134" t="s">
        <v>570</v>
      </c>
      <c r="M293" s="134" t="s">
        <v>364</v>
      </c>
      <c r="N293" s="134" t="s">
        <v>364</v>
      </c>
      <c r="O293" s="134" t="s">
        <v>570</v>
      </c>
      <c r="P293" s="449"/>
      <c r="Q293" s="179"/>
      <c r="R293" s="179"/>
      <c r="S293" s="179"/>
      <c r="T293" s="500" t="e">
        <f>_xlfn.XLOOKUP(H293,#REF!,#REF!,0,0)</f>
        <v>#REF!</v>
      </c>
    </row>
    <row r="294" spans="1:20" x14ac:dyDescent="0.4">
      <c r="A294" s="134" t="s">
        <v>570</v>
      </c>
      <c r="B294" s="134" t="s">
        <v>1428</v>
      </c>
      <c r="C294" s="134"/>
      <c r="D294" s="134" t="s">
        <v>567</v>
      </c>
      <c r="E294" s="18" t="s">
        <v>1262</v>
      </c>
      <c r="F294" s="10">
        <v>42039</v>
      </c>
      <c r="G294" s="18" t="s">
        <v>1429</v>
      </c>
      <c r="H294" s="18">
        <v>59802</v>
      </c>
      <c r="I294" s="134" t="s">
        <v>1430</v>
      </c>
      <c r="J294" s="134" t="s">
        <v>1431</v>
      </c>
      <c r="K294" s="18" t="s">
        <v>570</v>
      </c>
      <c r="L294" s="134" t="s">
        <v>570</v>
      </c>
      <c r="M294" s="134" t="s">
        <v>364</v>
      </c>
      <c r="N294" s="134" t="s">
        <v>364</v>
      </c>
      <c r="O294" s="134" t="s">
        <v>570</v>
      </c>
      <c r="P294" s="449"/>
      <c r="Q294" s="179"/>
      <c r="R294" s="179"/>
      <c r="S294" s="179"/>
      <c r="T294" s="500" t="e">
        <f>_xlfn.XLOOKUP(H294,#REF!,#REF!,0,0)</f>
        <v>#REF!</v>
      </c>
    </row>
    <row r="295" spans="1:20" x14ac:dyDescent="0.4">
      <c r="A295" s="134" t="s">
        <v>570</v>
      </c>
      <c r="B295" s="134" t="s">
        <v>1432</v>
      </c>
      <c r="C295" s="134"/>
      <c r="D295" s="134" t="s">
        <v>567</v>
      </c>
      <c r="E295" s="18" t="s">
        <v>1262</v>
      </c>
      <c r="F295" s="10">
        <v>42039</v>
      </c>
      <c r="G295" s="18" t="s">
        <v>1433</v>
      </c>
      <c r="H295" s="18">
        <v>59803</v>
      </c>
      <c r="I295" s="134" t="s">
        <v>1434</v>
      </c>
      <c r="J295" s="134" t="s">
        <v>1435</v>
      </c>
      <c r="K295" s="18" t="s">
        <v>570</v>
      </c>
      <c r="L295" s="134" t="s">
        <v>570</v>
      </c>
      <c r="M295" s="134" t="s">
        <v>364</v>
      </c>
      <c r="N295" s="134" t="s">
        <v>364</v>
      </c>
      <c r="O295" s="134" t="s">
        <v>570</v>
      </c>
      <c r="P295" s="449"/>
      <c r="Q295" s="179"/>
      <c r="R295" s="179"/>
      <c r="S295" s="179"/>
      <c r="T295" s="500" t="e">
        <f>_xlfn.XLOOKUP(H295,#REF!,#REF!,0,0)</f>
        <v>#REF!</v>
      </c>
    </row>
    <row r="296" spans="1:20" x14ac:dyDescent="0.4">
      <c r="A296" s="134" t="s">
        <v>570</v>
      </c>
      <c r="B296" s="134" t="s">
        <v>1436</v>
      </c>
      <c r="C296" s="134"/>
      <c r="D296" s="134" t="s">
        <v>567</v>
      </c>
      <c r="E296" s="18" t="s">
        <v>1262</v>
      </c>
      <c r="F296" s="10">
        <v>42039</v>
      </c>
      <c r="G296" s="18" t="s">
        <v>1437</v>
      </c>
      <c r="H296" s="18">
        <v>59804</v>
      </c>
      <c r="I296" s="134" t="s">
        <v>1438</v>
      </c>
      <c r="J296" s="134" t="s">
        <v>1439</v>
      </c>
      <c r="K296" s="18" t="s">
        <v>570</v>
      </c>
      <c r="L296" s="134" t="s">
        <v>570</v>
      </c>
      <c r="M296" s="134" t="s">
        <v>364</v>
      </c>
      <c r="N296" s="134" t="s">
        <v>364</v>
      </c>
      <c r="O296" s="134" t="s">
        <v>570</v>
      </c>
      <c r="P296" s="449"/>
      <c r="Q296" s="179"/>
      <c r="R296" s="179"/>
      <c r="S296" s="179"/>
      <c r="T296" s="500" t="e">
        <f>_xlfn.XLOOKUP(H296,#REF!,#REF!,0,0)</f>
        <v>#REF!</v>
      </c>
    </row>
    <row r="297" spans="1:20" x14ac:dyDescent="0.4">
      <c r="A297" s="134" t="s">
        <v>570</v>
      </c>
      <c r="B297" s="134" t="s">
        <v>1440</v>
      </c>
      <c r="C297" s="134"/>
      <c r="D297" s="134" t="s">
        <v>567</v>
      </c>
      <c r="E297" s="18" t="s">
        <v>1262</v>
      </c>
      <c r="F297" s="10">
        <v>42039</v>
      </c>
      <c r="G297" s="18" t="s">
        <v>1441</v>
      </c>
      <c r="H297" s="18">
        <v>59805</v>
      </c>
      <c r="I297" s="134" t="s">
        <v>1442</v>
      </c>
      <c r="J297" s="134" t="s">
        <v>1443</v>
      </c>
      <c r="K297" s="18" t="s">
        <v>570</v>
      </c>
      <c r="L297" s="134" t="s">
        <v>570</v>
      </c>
      <c r="M297" s="134" t="s">
        <v>364</v>
      </c>
      <c r="N297" s="134" t="s">
        <v>364</v>
      </c>
      <c r="O297" s="134" t="s">
        <v>570</v>
      </c>
      <c r="P297" s="449"/>
      <c r="Q297" s="179"/>
      <c r="R297" s="179"/>
      <c r="S297" s="179"/>
      <c r="T297" s="500" t="e">
        <f>_xlfn.XLOOKUP(H297,#REF!,#REF!,0,0)</f>
        <v>#REF!</v>
      </c>
    </row>
    <row r="298" spans="1:20" x14ac:dyDescent="0.4">
      <c r="A298" s="134" t="s">
        <v>570</v>
      </c>
      <c r="B298" s="134" t="s">
        <v>1444</v>
      </c>
      <c r="C298" s="134"/>
      <c r="D298" s="134" t="s">
        <v>567</v>
      </c>
      <c r="E298" s="18" t="s">
        <v>1262</v>
      </c>
      <c r="F298" s="134">
        <v>42039</v>
      </c>
      <c r="G298" s="18" t="s">
        <v>1445</v>
      </c>
      <c r="H298" s="18">
        <v>59807</v>
      </c>
      <c r="I298" s="134" t="s">
        <v>1446</v>
      </c>
      <c r="J298" s="134" t="s">
        <v>1447</v>
      </c>
      <c r="K298" s="18" t="s">
        <v>570</v>
      </c>
      <c r="L298" s="134" t="s">
        <v>570</v>
      </c>
      <c r="M298" s="134" t="s">
        <v>364</v>
      </c>
      <c r="N298" s="134" t="s">
        <v>364</v>
      </c>
      <c r="O298" s="134" t="s">
        <v>570</v>
      </c>
      <c r="P298" s="449"/>
      <c r="Q298" s="179"/>
      <c r="R298" s="179"/>
      <c r="S298" s="179"/>
      <c r="T298" s="500" t="e">
        <f>_xlfn.XLOOKUP(H298,#REF!,#REF!,0,0)</f>
        <v>#REF!</v>
      </c>
    </row>
    <row r="299" spans="1:20" x14ac:dyDescent="0.4">
      <c r="A299" s="134" t="s">
        <v>570</v>
      </c>
      <c r="B299" s="134" t="s">
        <v>1448</v>
      </c>
      <c r="C299" s="134"/>
      <c r="D299" s="134" t="s">
        <v>567</v>
      </c>
      <c r="E299" s="18" t="s">
        <v>1262</v>
      </c>
      <c r="F299" s="134">
        <v>42039</v>
      </c>
      <c r="G299" s="18" t="s">
        <v>1449</v>
      </c>
      <c r="H299" s="18">
        <v>59808</v>
      </c>
      <c r="I299" s="134" t="s">
        <v>1450</v>
      </c>
      <c r="J299" s="134" t="s">
        <v>1451</v>
      </c>
      <c r="K299" s="18" t="s">
        <v>570</v>
      </c>
      <c r="L299" s="134" t="s">
        <v>570</v>
      </c>
      <c r="M299" s="134" t="s">
        <v>364</v>
      </c>
      <c r="N299" s="134" t="s">
        <v>364</v>
      </c>
      <c r="O299" s="134" t="s">
        <v>570</v>
      </c>
      <c r="P299" s="449"/>
      <c r="Q299" s="179"/>
      <c r="R299" s="179"/>
      <c r="S299" s="179"/>
      <c r="T299" s="500" t="e">
        <f>_xlfn.XLOOKUP(H299,#REF!,#REF!,0,0)</f>
        <v>#REF!</v>
      </c>
    </row>
    <row r="300" spans="1:20" x14ac:dyDescent="0.4">
      <c r="A300" s="134" t="s">
        <v>570</v>
      </c>
      <c r="B300" s="134" t="s">
        <v>1452</v>
      </c>
      <c r="C300" s="134"/>
      <c r="D300" s="134" t="s">
        <v>567</v>
      </c>
      <c r="E300" s="18" t="s">
        <v>1262</v>
      </c>
      <c r="F300" s="10">
        <v>42039</v>
      </c>
      <c r="G300" s="18" t="s">
        <v>44</v>
      </c>
      <c r="H300" s="18">
        <v>59809</v>
      </c>
      <c r="I300" s="134" t="s">
        <v>1453</v>
      </c>
      <c r="J300" s="134" t="s">
        <v>1454</v>
      </c>
      <c r="K300" s="18" t="s">
        <v>570</v>
      </c>
      <c r="L300" s="134" t="s">
        <v>570</v>
      </c>
      <c r="M300" s="134" t="s">
        <v>364</v>
      </c>
      <c r="N300" s="134" t="s">
        <v>364</v>
      </c>
      <c r="O300" s="134" t="s">
        <v>570</v>
      </c>
      <c r="P300" s="449"/>
      <c r="Q300" s="179"/>
      <c r="R300" s="179"/>
      <c r="S300" s="179"/>
      <c r="T300" s="500" t="e">
        <f>_xlfn.XLOOKUP(H300,#REF!,#REF!,0,0)</f>
        <v>#REF!</v>
      </c>
    </row>
    <row r="301" spans="1:20" x14ac:dyDescent="0.4">
      <c r="A301" s="134" t="s">
        <v>570</v>
      </c>
      <c r="B301" s="134" t="s">
        <v>1455</v>
      </c>
      <c r="C301" s="134"/>
      <c r="D301" s="134" t="s">
        <v>567</v>
      </c>
      <c r="E301" s="18" t="s">
        <v>1262</v>
      </c>
      <c r="F301" s="10">
        <v>42039</v>
      </c>
      <c r="G301" s="18" t="s">
        <v>1456</v>
      </c>
      <c r="H301" s="18">
        <v>59810</v>
      </c>
      <c r="I301" s="134" t="s">
        <v>1457</v>
      </c>
      <c r="J301" s="134" t="s">
        <v>1458</v>
      </c>
      <c r="K301" s="18" t="s">
        <v>570</v>
      </c>
      <c r="L301" s="134" t="s">
        <v>570</v>
      </c>
      <c r="M301" s="134" t="s">
        <v>364</v>
      </c>
      <c r="N301" s="134" t="s">
        <v>364</v>
      </c>
      <c r="O301" s="134" t="s">
        <v>570</v>
      </c>
      <c r="P301" s="449"/>
      <c r="Q301" s="179"/>
      <c r="R301" s="179"/>
      <c r="S301" s="179"/>
      <c r="T301" s="500" t="e">
        <f>_xlfn.XLOOKUP(H301,#REF!,#REF!,0,0)</f>
        <v>#REF!</v>
      </c>
    </row>
    <row r="302" spans="1:20" x14ac:dyDescent="0.4">
      <c r="A302" s="134" t="s">
        <v>570</v>
      </c>
      <c r="B302" s="134" t="s">
        <v>1459</v>
      </c>
      <c r="C302" s="134"/>
      <c r="D302" s="134" t="s">
        <v>567</v>
      </c>
      <c r="E302" s="18" t="s">
        <v>1262</v>
      </c>
      <c r="F302" s="10">
        <v>42039</v>
      </c>
      <c r="G302" s="18" t="s">
        <v>1460</v>
      </c>
      <c r="H302" s="18">
        <v>59811</v>
      </c>
      <c r="I302" s="134" t="s">
        <v>1461</v>
      </c>
      <c r="J302" s="134" t="s">
        <v>1462</v>
      </c>
      <c r="K302" s="18" t="s">
        <v>570</v>
      </c>
      <c r="L302" s="134" t="s">
        <v>570</v>
      </c>
      <c r="M302" s="134" t="s">
        <v>364</v>
      </c>
      <c r="N302" s="134" t="s">
        <v>364</v>
      </c>
      <c r="O302" s="134" t="s">
        <v>570</v>
      </c>
      <c r="P302" s="449"/>
      <c r="Q302" s="179"/>
      <c r="R302" s="179"/>
      <c r="S302" s="179"/>
      <c r="T302" s="500" t="e">
        <f>_xlfn.XLOOKUP(H302,#REF!,#REF!,0,0)</f>
        <v>#REF!</v>
      </c>
    </row>
    <row r="303" spans="1:20" x14ac:dyDescent="0.4">
      <c r="A303" s="134" t="s">
        <v>570</v>
      </c>
      <c r="B303" s="134" t="s">
        <v>1463</v>
      </c>
      <c r="C303" s="134"/>
      <c r="D303" s="134" t="s">
        <v>567</v>
      </c>
      <c r="E303" s="18" t="s">
        <v>1262</v>
      </c>
      <c r="F303" s="10">
        <v>42039</v>
      </c>
      <c r="G303" s="18" t="s">
        <v>1464</v>
      </c>
      <c r="H303" s="18">
        <v>59812</v>
      </c>
      <c r="I303" s="134" t="s">
        <v>1465</v>
      </c>
      <c r="J303" s="134" t="s">
        <v>1466</v>
      </c>
      <c r="K303" s="18" t="s">
        <v>570</v>
      </c>
      <c r="L303" s="134" t="s">
        <v>570</v>
      </c>
      <c r="M303" s="134" t="s">
        <v>364</v>
      </c>
      <c r="N303" s="134" t="s">
        <v>364</v>
      </c>
      <c r="O303" s="134" t="s">
        <v>570</v>
      </c>
      <c r="P303" s="449"/>
      <c r="Q303" s="179"/>
      <c r="R303" s="179"/>
      <c r="S303" s="179"/>
      <c r="T303" s="500" t="e">
        <f>_xlfn.XLOOKUP(H303,#REF!,#REF!,0,0)</f>
        <v>#REF!</v>
      </c>
    </row>
    <row r="304" spans="1:20" x14ac:dyDescent="0.4">
      <c r="A304" s="134" t="s">
        <v>570</v>
      </c>
      <c r="B304" s="134" t="s">
        <v>1467</v>
      </c>
      <c r="C304" s="134"/>
      <c r="D304" s="134" t="s">
        <v>567</v>
      </c>
      <c r="E304" s="18" t="s">
        <v>1262</v>
      </c>
      <c r="F304" s="134">
        <v>42039</v>
      </c>
      <c r="G304" s="18" t="s">
        <v>1468</v>
      </c>
      <c r="H304" s="18">
        <v>59813</v>
      </c>
      <c r="I304" s="134" t="s">
        <v>1469</v>
      </c>
      <c r="J304" s="134" t="s">
        <v>1470</v>
      </c>
      <c r="K304" s="18" t="s">
        <v>570</v>
      </c>
      <c r="L304" s="134" t="s">
        <v>570</v>
      </c>
      <c r="M304" s="134" t="s">
        <v>364</v>
      </c>
      <c r="N304" s="134" t="s">
        <v>364</v>
      </c>
      <c r="O304" s="134" t="s">
        <v>570</v>
      </c>
      <c r="P304" s="449"/>
      <c r="Q304" s="179"/>
      <c r="R304" s="179"/>
      <c r="S304" s="179"/>
      <c r="T304" s="500" t="e">
        <f>_xlfn.XLOOKUP(H304,#REF!,#REF!,0,0)</f>
        <v>#REF!</v>
      </c>
    </row>
    <row r="305" spans="1:20" x14ac:dyDescent="0.4">
      <c r="A305" s="134" t="s">
        <v>570</v>
      </c>
      <c r="B305" s="134" t="s">
        <v>1459</v>
      </c>
      <c r="C305" s="134"/>
      <c r="D305" s="134" t="s">
        <v>567</v>
      </c>
      <c r="E305" s="18" t="s">
        <v>1262</v>
      </c>
      <c r="F305" s="134">
        <v>42039</v>
      </c>
      <c r="G305" s="18" t="s">
        <v>1471</v>
      </c>
      <c r="H305" s="18">
        <v>59814</v>
      </c>
      <c r="I305" s="134" t="s">
        <v>1472</v>
      </c>
      <c r="J305" s="134" t="s">
        <v>1473</v>
      </c>
      <c r="K305" s="18" t="s">
        <v>570</v>
      </c>
      <c r="L305" s="134" t="s">
        <v>570</v>
      </c>
      <c r="M305" s="134" t="s">
        <v>364</v>
      </c>
      <c r="N305" s="134" t="s">
        <v>364</v>
      </c>
      <c r="O305" s="134" t="s">
        <v>570</v>
      </c>
      <c r="P305" s="449"/>
      <c r="Q305" s="179"/>
      <c r="R305" s="179"/>
      <c r="S305" s="179"/>
      <c r="T305" s="500" t="e">
        <f>_xlfn.XLOOKUP(H305,#REF!,#REF!,0,0)</f>
        <v>#REF!</v>
      </c>
    </row>
    <row r="306" spans="1:20" x14ac:dyDescent="0.4">
      <c r="A306" s="135" t="s">
        <v>570</v>
      </c>
      <c r="B306" s="135" t="s">
        <v>1474</v>
      </c>
      <c r="C306" s="135"/>
      <c r="D306" s="135" t="s">
        <v>567</v>
      </c>
      <c r="E306" s="19" t="s">
        <v>1262</v>
      </c>
      <c r="F306" s="20">
        <v>42039</v>
      </c>
      <c r="G306" s="19" t="s">
        <v>45</v>
      </c>
      <c r="H306" s="19">
        <v>59815</v>
      </c>
      <c r="I306" s="135" t="s">
        <v>1475</v>
      </c>
      <c r="J306" s="135" t="s">
        <v>1476</v>
      </c>
      <c r="K306" s="18" t="s">
        <v>570</v>
      </c>
      <c r="L306" s="134" t="s">
        <v>570</v>
      </c>
      <c r="M306" s="134" t="s">
        <v>364</v>
      </c>
      <c r="N306" s="134" t="s">
        <v>364</v>
      </c>
      <c r="O306" s="134" t="s">
        <v>570</v>
      </c>
      <c r="P306" s="449"/>
      <c r="Q306" s="179"/>
      <c r="R306" s="179"/>
      <c r="S306" s="179"/>
      <c r="T306" s="500" t="e">
        <f>_xlfn.XLOOKUP(H306,#REF!,#REF!,0,0)</f>
        <v>#REF!</v>
      </c>
    </row>
    <row r="307" spans="1:20" x14ac:dyDescent="0.4">
      <c r="A307" s="135" t="s">
        <v>570</v>
      </c>
      <c r="B307" s="135" t="s">
        <v>1477</v>
      </c>
      <c r="C307" s="135"/>
      <c r="D307" s="135" t="s">
        <v>567</v>
      </c>
      <c r="E307" s="19" t="s">
        <v>1262</v>
      </c>
      <c r="F307" s="20">
        <v>42039</v>
      </c>
      <c r="G307" s="19" t="s">
        <v>1478</v>
      </c>
      <c r="H307" s="19">
        <v>59816</v>
      </c>
      <c r="I307" s="135" t="s">
        <v>1479</v>
      </c>
      <c r="J307" s="135" t="s">
        <v>1480</v>
      </c>
      <c r="K307" s="18" t="s">
        <v>570</v>
      </c>
      <c r="L307" s="134" t="s">
        <v>570</v>
      </c>
      <c r="M307" s="134" t="s">
        <v>364</v>
      </c>
      <c r="N307" s="134" t="s">
        <v>364</v>
      </c>
      <c r="O307" s="134" t="s">
        <v>570</v>
      </c>
      <c r="P307" s="449"/>
      <c r="Q307" s="179"/>
      <c r="R307" s="179"/>
      <c r="S307" s="179"/>
      <c r="T307" s="500" t="e">
        <f>_xlfn.XLOOKUP(H307,#REF!,#REF!,0,0)</f>
        <v>#REF!</v>
      </c>
    </row>
    <row r="308" spans="1:20" x14ac:dyDescent="0.4">
      <c r="A308" s="134" t="s">
        <v>570</v>
      </c>
      <c r="B308" s="134" t="s">
        <v>1481</v>
      </c>
      <c r="C308" s="134"/>
      <c r="D308" s="134" t="s">
        <v>567</v>
      </c>
      <c r="E308" s="18" t="s">
        <v>1262</v>
      </c>
      <c r="F308" s="134">
        <v>42039</v>
      </c>
      <c r="G308" s="18" t="s">
        <v>1482</v>
      </c>
      <c r="H308" s="18">
        <v>59817</v>
      </c>
      <c r="I308" s="134" t="s">
        <v>1483</v>
      </c>
      <c r="J308" s="134" t="s">
        <v>1484</v>
      </c>
      <c r="K308" s="18" t="s">
        <v>570</v>
      </c>
      <c r="L308" s="134" t="s">
        <v>570</v>
      </c>
      <c r="M308" s="134" t="s">
        <v>364</v>
      </c>
      <c r="N308" s="134" t="s">
        <v>364</v>
      </c>
      <c r="O308" s="134" t="s">
        <v>570</v>
      </c>
      <c r="P308" s="449"/>
      <c r="Q308" s="179"/>
      <c r="R308" s="179"/>
      <c r="S308" s="179"/>
      <c r="T308" s="500" t="e">
        <f>_xlfn.XLOOKUP(H308,#REF!,#REF!,0,0)</f>
        <v>#REF!</v>
      </c>
    </row>
    <row r="309" spans="1:20" x14ac:dyDescent="0.4">
      <c r="A309" s="135" t="s">
        <v>570</v>
      </c>
      <c r="B309" s="135" t="s">
        <v>1485</v>
      </c>
      <c r="C309" s="135"/>
      <c r="D309" s="135" t="s">
        <v>567</v>
      </c>
      <c r="E309" s="19" t="s">
        <v>1262</v>
      </c>
      <c r="F309" s="20">
        <v>42039</v>
      </c>
      <c r="G309" s="19" t="s">
        <v>1486</v>
      </c>
      <c r="H309" s="19">
        <v>59818</v>
      </c>
      <c r="I309" s="135" t="s">
        <v>1487</v>
      </c>
      <c r="J309" s="135" t="s">
        <v>1488</v>
      </c>
      <c r="K309" s="18" t="s">
        <v>570</v>
      </c>
      <c r="L309" s="134" t="s">
        <v>570</v>
      </c>
      <c r="M309" s="134" t="s">
        <v>364</v>
      </c>
      <c r="N309" s="134" t="s">
        <v>364</v>
      </c>
      <c r="O309" s="134" t="s">
        <v>570</v>
      </c>
      <c r="P309" s="449"/>
      <c r="Q309" s="179"/>
      <c r="R309" s="179"/>
      <c r="S309" s="179"/>
      <c r="T309" s="500" t="e">
        <f>_xlfn.XLOOKUP(H309,#REF!,#REF!,0,0)</f>
        <v>#REF!</v>
      </c>
    </row>
    <row r="310" spans="1:20" x14ac:dyDescent="0.4">
      <c r="A310" s="134" t="s">
        <v>570</v>
      </c>
      <c r="B310" s="134" t="s">
        <v>1489</v>
      </c>
      <c r="C310" s="134"/>
      <c r="D310" s="134" t="s">
        <v>567</v>
      </c>
      <c r="E310" s="18" t="s">
        <v>1262</v>
      </c>
      <c r="F310" s="134">
        <v>42039</v>
      </c>
      <c r="G310" s="18" t="s">
        <v>1490</v>
      </c>
      <c r="H310" s="18">
        <v>59819</v>
      </c>
      <c r="I310" s="134" t="s">
        <v>1491</v>
      </c>
      <c r="J310" s="134" t="s">
        <v>1492</v>
      </c>
      <c r="K310" s="18" t="s">
        <v>570</v>
      </c>
      <c r="L310" s="134" t="s">
        <v>570</v>
      </c>
      <c r="M310" s="134" t="s">
        <v>364</v>
      </c>
      <c r="N310" s="134" t="s">
        <v>364</v>
      </c>
      <c r="O310" s="134" t="s">
        <v>570</v>
      </c>
      <c r="P310" s="449"/>
      <c r="Q310" s="179"/>
      <c r="R310" s="179"/>
      <c r="S310" s="179"/>
      <c r="T310" s="500" t="e">
        <f>_xlfn.XLOOKUP(H310,#REF!,#REF!,0,0)</f>
        <v>#REF!</v>
      </c>
    </row>
    <row r="311" spans="1:20" x14ac:dyDescent="0.4">
      <c r="A311" s="134" t="s">
        <v>570</v>
      </c>
      <c r="B311" s="134" t="s">
        <v>1493</v>
      </c>
      <c r="C311" s="134"/>
      <c r="D311" s="134" t="s">
        <v>567</v>
      </c>
      <c r="E311" s="18" t="s">
        <v>1262</v>
      </c>
      <c r="F311" s="134">
        <v>42039</v>
      </c>
      <c r="G311" s="18" t="s">
        <v>1494</v>
      </c>
      <c r="H311" s="18">
        <v>59820</v>
      </c>
      <c r="I311" s="134" t="s">
        <v>1495</v>
      </c>
      <c r="J311" s="134" t="s">
        <v>1496</v>
      </c>
      <c r="K311" s="18" t="s">
        <v>570</v>
      </c>
      <c r="L311" s="134" t="s">
        <v>570</v>
      </c>
      <c r="M311" s="134" t="s">
        <v>364</v>
      </c>
      <c r="N311" s="134" t="s">
        <v>364</v>
      </c>
      <c r="O311" s="134" t="s">
        <v>570</v>
      </c>
      <c r="P311" s="449"/>
      <c r="Q311" s="179"/>
      <c r="R311" s="179"/>
      <c r="S311" s="179"/>
      <c r="T311" s="500" t="e">
        <f>_xlfn.XLOOKUP(H311,#REF!,#REF!,0,0)</f>
        <v>#REF!</v>
      </c>
    </row>
    <row r="312" spans="1:20" x14ac:dyDescent="0.4">
      <c r="A312" s="134" t="s">
        <v>570</v>
      </c>
      <c r="B312" s="134" t="s">
        <v>1497</v>
      </c>
      <c r="C312" s="134"/>
      <c r="D312" s="134" t="s">
        <v>567</v>
      </c>
      <c r="E312" s="18" t="s">
        <v>1262</v>
      </c>
      <c r="F312" s="10">
        <v>42039</v>
      </c>
      <c r="G312" s="18" t="s">
        <v>1498</v>
      </c>
      <c r="H312" s="18">
        <v>59821</v>
      </c>
      <c r="I312" s="134" t="s">
        <v>1499</v>
      </c>
      <c r="J312" s="134" t="s">
        <v>1500</v>
      </c>
      <c r="K312" s="18" t="s">
        <v>570</v>
      </c>
      <c r="L312" s="134" t="s">
        <v>570</v>
      </c>
      <c r="M312" s="134" t="s">
        <v>364</v>
      </c>
      <c r="N312" s="134" t="s">
        <v>364</v>
      </c>
      <c r="O312" s="134" t="s">
        <v>570</v>
      </c>
      <c r="P312" s="449"/>
      <c r="Q312" s="179"/>
      <c r="R312" s="179"/>
      <c r="S312" s="179"/>
      <c r="T312" s="500" t="e">
        <f>_xlfn.XLOOKUP(H312,#REF!,#REF!,0,0)</f>
        <v>#REF!</v>
      </c>
    </row>
    <row r="313" spans="1:20" x14ac:dyDescent="0.4">
      <c r="A313" s="134" t="s">
        <v>570</v>
      </c>
      <c r="B313" s="134" t="s">
        <v>1501</v>
      </c>
      <c r="C313" s="134"/>
      <c r="D313" s="134" t="s">
        <v>567</v>
      </c>
      <c r="E313" s="18" t="s">
        <v>1262</v>
      </c>
      <c r="F313" s="10">
        <v>42039</v>
      </c>
      <c r="G313" s="18" t="s">
        <v>1502</v>
      </c>
      <c r="H313" s="18">
        <v>59822</v>
      </c>
      <c r="I313" s="134" t="s">
        <v>1503</v>
      </c>
      <c r="J313" s="134" t="s">
        <v>1504</v>
      </c>
      <c r="K313" s="18" t="s">
        <v>570</v>
      </c>
      <c r="L313" s="134" t="s">
        <v>570</v>
      </c>
      <c r="M313" s="134" t="s">
        <v>364</v>
      </c>
      <c r="N313" s="134" t="s">
        <v>364</v>
      </c>
      <c r="O313" s="134" t="s">
        <v>570</v>
      </c>
      <c r="P313" s="449"/>
      <c r="Q313" s="179"/>
      <c r="R313" s="179"/>
      <c r="S313" s="179"/>
      <c r="T313" s="500" t="e">
        <f>_xlfn.XLOOKUP(H313,#REF!,#REF!,0,0)</f>
        <v>#REF!</v>
      </c>
    </row>
    <row r="314" spans="1:20" x14ac:dyDescent="0.4">
      <c r="A314" s="134" t="s">
        <v>570</v>
      </c>
      <c r="B314" s="134" t="s">
        <v>1505</v>
      </c>
      <c r="C314" s="134"/>
      <c r="D314" s="134" t="s">
        <v>567</v>
      </c>
      <c r="E314" s="18" t="s">
        <v>1262</v>
      </c>
      <c r="F314" s="10">
        <v>42039</v>
      </c>
      <c r="G314" s="18" t="s">
        <v>1506</v>
      </c>
      <c r="H314" s="18">
        <v>59823</v>
      </c>
      <c r="I314" s="134" t="s">
        <v>1507</v>
      </c>
      <c r="J314" s="134" t="s">
        <v>1508</v>
      </c>
      <c r="K314" s="18" t="s">
        <v>570</v>
      </c>
      <c r="L314" s="134" t="s">
        <v>570</v>
      </c>
      <c r="M314" s="134" t="s">
        <v>364</v>
      </c>
      <c r="N314" s="134" t="s">
        <v>364</v>
      </c>
      <c r="O314" s="134" t="s">
        <v>570</v>
      </c>
      <c r="P314" s="449"/>
      <c r="Q314" s="179"/>
      <c r="R314" s="179"/>
      <c r="S314" s="179"/>
      <c r="T314" s="500" t="e">
        <f>_xlfn.XLOOKUP(H314,#REF!,#REF!,0,0)</f>
        <v>#REF!</v>
      </c>
    </row>
    <row r="315" spans="1:20" x14ac:dyDescent="0.4">
      <c r="A315" s="134" t="s">
        <v>570</v>
      </c>
      <c r="B315" s="134" t="s">
        <v>1509</v>
      </c>
      <c r="C315" s="134"/>
      <c r="D315" s="134" t="s">
        <v>567</v>
      </c>
      <c r="E315" s="18" t="s">
        <v>1262</v>
      </c>
      <c r="F315" s="10">
        <v>42039</v>
      </c>
      <c r="G315" s="18" t="s">
        <v>1510</v>
      </c>
      <c r="H315" s="18">
        <v>59824</v>
      </c>
      <c r="I315" s="134" t="s">
        <v>1511</v>
      </c>
      <c r="J315" s="134" t="s">
        <v>1512</v>
      </c>
      <c r="K315" s="18" t="s">
        <v>570</v>
      </c>
      <c r="L315" s="134" t="s">
        <v>570</v>
      </c>
      <c r="M315" s="134" t="s">
        <v>364</v>
      </c>
      <c r="N315" s="134" t="s">
        <v>364</v>
      </c>
      <c r="O315" s="134" t="s">
        <v>570</v>
      </c>
      <c r="P315" s="449"/>
      <c r="Q315" s="179"/>
      <c r="R315" s="179"/>
      <c r="S315" s="179"/>
      <c r="T315" s="500" t="e">
        <f>_xlfn.XLOOKUP(H315,#REF!,#REF!,0,0)</f>
        <v>#REF!</v>
      </c>
    </row>
    <row r="316" spans="1:20" x14ac:dyDescent="0.4">
      <c r="A316" s="134" t="s">
        <v>570</v>
      </c>
      <c r="B316" s="134" t="s">
        <v>1513</v>
      </c>
      <c r="C316" s="134"/>
      <c r="D316" s="134" t="s">
        <v>567</v>
      </c>
      <c r="E316" s="18" t="s">
        <v>1262</v>
      </c>
      <c r="F316" s="134">
        <v>42039</v>
      </c>
      <c r="G316" s="18" t="s">
        <v>1514</v>
      </c>
      <c r="H316" s="18">
        <v>59825</v>
      </c>
      <c r="I316" s="134" t="s">
        <v>1515</v>
      </c>
      <c r="J316" s="134" t="s">
        <v>1516</v>
      </c>
      <c r="K316" s="18" t="s">
        <v>570</v>
      </c>
      <c r="L316" s="134" t="s">
        <v>570</v>
      </c>
      <c r="M316" s="134" t="s">
        <v>364</v>
      </c>
      <c r="N316" s="134" t="s">
        <v>364</v>
      </c>
      <c r="O316" s="134" t="s">
        <v>570</v>
      </c>
      <c r="P316" s="449"/>
      <c r="Q316" s="179"/>
      <c r="R316" s="179"/>
      <c r="S316" s="179"/>
      <c r="T316" s="500" t="e">
        <f>_xlfn.XLOOKUP(H316,#REF!,#REF!,0,0)</f>
        <v>#REF!</v>
      </c>
    </row>
    <row r="317" spans="1:20" x14ac:dyDescent="0.4">
      <c r="A317" s="134" t="s">
        <v>570</v>
      </c>
      <c r="B317" s="134" t="s">
        <v>1517</v>
      </c>
      <c r="C317" s="134"/>
      <c r="D317" s="134" t="s">
        <v>567</v>
      </c>
      <c r="E317" s="18" t="s">
        <v>1262</v>
      </c>
      <c r="F317" s="10">
        <v>42039</v>
      </c>
      <c r="G317" s="18" t="s">
        <v>1518</v>
      </c>
      <c r="H317" s="18">
        <v>59826</v>
      </c>
      <c r="I317" s="134" t="s">
        <v>1519</v>
      </c>
      <c r="J317" s="134" t="s">
        <v>1520</v>
      </c>
      <c r="K317" s="18" t="s">
        <v>570</v>
      </c>
      <c r="L317" s="134" t="s">
        <v>570</v>
      </c>
      <c r="M317" s="134" t="s">
        <v>364</v>
      </c>
      <c r="N317" s="134" t="s">
        <v>364</v>
      </c>
      <c r="O317" s="134" t="s">
        <v>570</v>
      </c>
      <c r="P317" s="449"/>
      <c r="Q317" s="179"/>
      <c r="R317" s="179"/>
      <c r="S317" s="179"/>
      <c r="T317" s="500" t="e">
        <f>_xlfn.XLOOKUP(H317,#REF!,#REF!,0,0)</f>
        <v>#REF!</v>
      </c>
    </row>
    <row r="318" spans="1:20" x14ac:dyDescent="0.4">
      <c r="A318" s="134" t="s">
        <v>570</v>
      </c>
      <c r="B318" s="134" t="s">
        <v>1521</v>
      </c>
      <c r="C318" s="134"/>
      <c r="D318" s="134" t="s">
        <v>567</v>
      </c>
      <c r="E318" s="18" t="s">
        <v>1262</v>
      </c>
      <c r="F318" s="10">
        <v>42039</v>
      </c>
      <c r="G318" s="18" t="s">
        <v>1522</v>
      </c>
      <c r="H318" s="18">
        <v>59827</v>
      </c>
      <c r="I318" s="134" t="s">
        <v>1523</v>
      </c>
      <c r="J318" s="134" t="s">
        <v>1524</v>
      </c>
      <c r="K318" s="18" t="s">
        <v>570</v>
      </c>
      <c r="L318" s="134" t="s">
        <v>570</v>
      </c>
      <c r="M318" s="134" t="s">
        <v>364</v>
      </c>
      <c r="N318" s="134" t="s">
        <v>364</v>
      </c>
      <c r="O318" s="134" t="s">
        <v>570</v>
      </c>
      <c r="P318" s="449"/>
      <c r="Q318" s="179"/>
      <c r="R318" s="179"/>
      <c r="S318" s="179"/>
      <c r="T318" s="500" t="e">
        <f>_xlfn.XLOOKUP(H318,#REF!,#REF!,0,0)</f>
        <v>#REF!</v>
      </c>
    </row>
    <row r="319" spans="1:20" x14ac:dyDescent="0.4">
      <c r="A319" s="134" t="s">
        <v>570</v>
      </c>
      <c r="B319" s="134" t="s">
        <v>1525</v>
      </c>
      <c r="C319" s="134"/>
      <c r="D319" s="134" t="s">
        <v>567</v>
      </c>
      <c r="E319" s="18" t="s">
        <v>1262</v>
      </c>
      <c r="F319" s="10">
        <v>42039</v>
      </c>
      <c r="G319" s="18" t="s">
        <v>1526</v>
      </c>
      <c r="H319" s="18">
        <v>59828</v>
      </c>
      <c r="I319" s="134" t="s">
        <v>1527</v>
      </c>
      <c r="J319" s="134" t="s">
        <v>1528</v>
      </c>
      <c r="K319" s="18" t="s">
        <v>570</v>
      </c>
      <c r="L319" s="134" t="s">
        <v>570</v>
      </c>
      <c r="M319" s="134" t="s">
        <v>364</v>
      </c>
      <c r="N319" s="134" t="s">
        <v>364</v>
      </c>
      <c r="O319" s="134" t="s">
        <v>570</v>
      </c>
      <c r="P319" s="449"/>
      <c r="Q319" s="179"/>
      <c r="R319" s="179"/>
      <c r="S319" s="179"/>
      <c r="T319" s="500" t="e">
        <f>_xlfn.XLOOKUP(H319,#REF!,#REF!,0,0)</f>
        <v>#REF!</v>
      </c>
    </row>
    <row r="320" spans="1:20" x14ac:dyDescent="0.4">
      <c r="A320" s="134" t="s">
        <v>570</v>
      </c>
      <c r="B320" s="134" t="s">
        <v>1529</v>
      </c>
      <c r="C320" s="134"/>
      <c r="D320" s="134" t="s">
        <v>567</v>
      </c>
      <c r="E320" s="18" t="s">
        <v>1262</v>
      </c>
      <c r="F320" s="10">
        <v>42039</v>
      </c>
      <c r="G320" s="18" t="s">
        <v>1530</v>
      </c>
      <c r="H320" s="18">
        <v>59829</v>
      </c>
      <c r="I320" s="134" t="s">
        <v>1531</v>
      </c>
      <c r="J320" s="134" t="s">
        <v>1532</v>
      </c>
      <c r="K320" s="18" t="s">
        <v>570</v>
      </c>
      <c r="L320" s="134" t="s">
        <v>570</v>
      </c>
      <c r="M320" s="134" t="s">
        <v>364</v>
      </c>
      <c r="N320" s="134" t="s">
        <v>364</v>
      </c>
      <c r="O320" s="134" t="s">
        <v>570</v>
      </c>
      <c r="P320" s="449"/>
      <c r="Q320" s="179"/>
      <c r="R320" s="179"/>
      <c r="S320" s="179"/>
      <c r="T320" s="500" t="e">
        <f>_xlfn.XLOOKUP(H320,#REF!,#REF!,0,0)</f>
        <v>#REF!</v>
      </c>
    </row>
    <row r="321" spans="1:20" x14ac:dyDescent="0.4">
      <c r="A321" s="134" t="s">
        <v>570</v>
      </c>
      <c r="B321" s="134" t="s">
        <v>1533</v>
      </c>
      <c r="C321" s="134"/>
      <c r="D321" s="134" t="s">
        <v>567</v>
      </c>
      <c r="E321" s="18" t="s">
        <v>1262</v>
      </c>
      <c r="F321" s="10">
        <v>42039</v>
      </c>
      <c r="G321" s="18" t="s">
        <v>1534</v>
      </c>
      <c r="H321" s="18">
        <v>59830</v>
      </c>
      <c r="I321" s="134" t="s">
        <v>1535</v>
      </c>
      <c r="J321" s="134" t="s">
        <v>1536</v>
      </c>
      <c r="K321" s="18" t="s">
        <v>570</v>
      </c>
      <c r="L321" s="134" t="s">
        <v>570</v>
      </c>
      <c r="M321" s="134" t="s">
        <v>364</v>
      </c>
      <c r="N321" s="134" t="s">
        <v>364</v>
      </c>
      <c r="O321" s="134" t="s">
        <v>570</v>
      </c>
      <c r="P321" s="449"/>
      <c r="Q321" s="179"/>
      <c r="R321" s="179"/>
      <c r="S321" s="179"/>
      <c r="T321" s="500" t="e">
        <f>_xlfn.XLOOKUP(H321,#REF!,#REF!,0,0)</f>
        <v>#REF!</v>
      </c>
    </row>
    <row r="322" spans="1:20" x14ac:dyDescent="0.4">
      <c r="A322" s="134" t="s">
        <v>570</v>
      </c>
      <c r="B322" s="134" t="s">
        <v>1537</v>
      </c>
      <c r="C322" s="134"/>
      <c r="D322" s="134" t="s">
        <v>567</v>
      </c>
      <c r="E322" s="18" t="s">
        <v>1262</v>
      </c>
      <c r="F322" s="10">
        <v>42039</v>
      </c>
      <c r="G322" s="18" t="s">
        <v>1538</v>
      </c>
      <c r="H322" s="18">
        <v>59831</v>
      </c>
      <c r="I322" s="134" t="s">
        <v>1539</v>
      </c>
      <c r="J322" s="134" t="s">
        <v>1540</v>
      </c>
      <c r="K322" s="18" t="s">
        <v>570</v>
      </c>
      <c r="L322" s="134" t="s">
        <v>570</v>
      </c>
      <c r="M322" s="134" t="s">
        <v>364</v>
      </c>
      <c r="N322" s="134" t="s">
        <v>364</v>
      </c>
      <c r="O322" s="134" t="s">
        <v>570</v>
      </c>
      <c r="P322" s="449"/>
      <c r="Q322" s="179"/>
      <c r="R322" s="179"/>
      <c r="S322" s="179"/>
      <c r="T322" s="500" t="e">
        <f>_xlfn.XLOOKUP(H322,#REF!,#REF!,0,0)</f>
        <v>#REF!</v>
      </c>
    </row>
    <row r="323" spans="1:20" x14ac:dyDescent="0.4">
      <c r="A323" s="135" t="s">
        <v>570</v>
      </c>
      <c r="B323" s="135" t="s">
        <v>1541</v>
      </c>
      <c r="C323" s="135"/>
      <c r="D323" s="135" t="s">
        <v>567</v>
      </c>
      <c r="E323" s="19" t="s">
        <v>1262</v>
      </c>
      <c r="F323" s="20">
        <v>42145</v>
      </c>
      <c r="G323" s="19" t="s">
        <v>1542</v>
      </c>
      <c r="H323" s="19">
        <v>60017</v>
      </c>
      <c r="I323" s="135" t="s">
        <v>1543</v>
      </c>
      <c r="J323" s="135" t="s">
        <v>1544</v>
      </c>
      <c r="K323" s="18" t="s">
        <v>570</v>
      </c>
      <c r="L323" s="134" t="s">
        <v>570</v>
      </c>
      <c r="M323" s="134" t="s">
        <v>364</v>
      </c>
      <c r="N323" s="134" t="s">
        <v>364</v>
      </c>
      <c r="O323" s="134" t="s">
        <v>570</v>
      </c>
      <c r="P323" s="449"/>
      <c r="Q323" s="179"/>
      <c r="R323" s="179"/>
      <c r="S323" s="179"/>
      <c r="T323" s="500" t="e">
        <f>_xlfn.XLOOKUP(H323,#REF!,#REF!,0,0)</f>
        <v>#REF!</v>
      </c>
    </row>
    <row r="324" spans="1:20" x14ac:dyDescent="0.4">
      <c r="A324" s="135" t="s">
        <v>570</v>
      </c>
      <c r="B324" s="135" t="s">
        <v>1545</v>
      </c>
      <c r="C324" s="135"/>
      <c r="D324" s="135" t="s">
        <v>567</v>
      </c>
      <c r="E324" s="19" t="s">
        <v>1262</v>
      </c>
      <c r="F324" s="135">
        <v>42145</v>
      </c>
      <c r="G324" s="19" t="s">
        <v>1546</v>
      </c>
      <c r="H324" s="19">
        <v>60019</v>
      </c>
      <c r="I324" s="135" t="s">
        <v>1547</v>
      </c>
      <c r="J324" s="135" t="s">
        <v>1548</v>
      </c>
      <c r="K324" s="18" t="s">
        <v>570</v>
      </c>
      <c r="L324" s="134" t="s">
        <v>570</v>
      </c>
      <c r="M324" s="134" t="s">
        <v>364</v>
      </c>
      <c r="N324" s="134" t="s">
        <v>364</v>
      </c>
      <c r="O324" s="134" t="s">
        <v>570</v>
      </c>
      <c r="P324" s="449"/>
      <c r="Q324" s="179"/>
      <c r="R324" s="179"/>
      <c r="S324" s="179"/>
      <c r="T324" s="500" t="e">
        <f>_xlfn.XLOOKUP(H324,#REF!,#REF!,0,0)</f>
        <v>#REF!</v>
      </c>
    </row>
    <row r="325" spans="1:20" x14ac:dyDescent="0.4">
      <c r="A325" s="135" t="s">
        <v>570</v>
      </c>
      <c r="B325" s="135" t="s">
        <v>1545</v>
      </c>
      <c r="C325" s="135"/>
      <c r="D325" s="135" t="s">
        <v>567</v>
      </c>
      <c r="E325" s="19" t="s">
        <v>1262</v>
      </c>
      <c r="F325" s="20">
        <v>42145</v>
      </c>
      <c r="G325" s="19" t="s">
        <v>1549</v>
      </c>
      <c r="H325" s="19">
        <v>60020</v>
      </c>
      <c r="I325" s="135" t="s">
        <v>1550</v>
      </c>
      <c r="J325" s="135" t="s">
        <v>1551</v>
      </c>
      <c r="K325" s="18" t="s">
        <v>570</v>
      </c>
      <c r="L325" s="134" t="s">
        <v>570</v>
      </c>
      <c r="M325" s="134" t="s">
        <v>364</v>
      </c>
      <c r="N325" s="134" t="s">
        <v>364</v>
      </c>
      <c r="O325" s="134" t="s">
        <v>570</v>
      </c>
      <c r="P325" s="449"/>
      <c r="Q325" s="179"/>
      <c r="R325" s="179"/>
      <c r="S325" s="179"/>
      <c r="T325" s="500" t="e">
        <f>_xlfn.XLOOKUP(H325,#REF!,#REF!,0,0)</f>
        <v>#REF!</v>
      </c>
    </row>
    <row r="326" spans="1:20" x14ac:dyDescent="0.4">
      <c r="A326" s="135" t="s">
        <v>570</v>
      </c>
      <c r="B326" s="135" t="s">
        <v>1552</v>
      </c>
      <c r="C326" s="135"/>
      <c r="D326" s="135" t="s">
        <v>567</v>
      </c>
      <c r="E326" s="19" t="s">
        <v>1262</v>
      </c>
      <c r="F326" s="135">
        <v>42145</v>
      </c>
      <c r="G326" s="19" t="s">
        <v>1553</v>
      </c>
      <c r="H326" s="19">
        <v>60018</v>
      </c>
      <c r="I326" s="135" t="s">
        <v>1554</v>
      </c>
      <c r="J326" s="135" t="s">
        <v>1555</v>
      </c>
      <c r="K326" s="18" t="s">
        <v>570</v>
      </c>
      <c r="L326" s="134" t="s">
        <v>570</v>
      </c>
      <c r="M326" s="134" t="s">
        <v>364</v>
      </c>
      <c r="N326" s="134" t="s">
        <v>364</v>
      </c>
      <c r="O326" s="134" t="s">
        <v>570</v>
      </c>
      <c r="P326" s="449"/>
      <c r="Q326" s="179"/>
      <c r="R326" s="179"/>
      <c r="S326" s="179"/>
      <c r="T326" s="500" t="e">
        <f>_xlfn.XLOOKUP(H326,#REF!,#REF!,0,0)</f>
        <v>#REF!</v>
      </c>
    </row>
    <row r="327" spans="1:20" x14ac:dyDescent="0.4">
      <c r="A327" s="135" t="s">
        <v>570</v>
      </c>
      <c r="B327" s="135" t="s">
        <v>1556</v>
      </c>
      <c r="C327" s="135"/>
      <c r="D327" s="135" t="s">
        <v>567</v>
      </c>
      <c r="E327" s="19" t="s">
        <v>1262</v>
      </c>
      <c r="F327" s="20">
        <v>42145</v>
      </c>
      <c r="G327" s="19" t="s">
        <v>1557</v>
      </c>
      <c r="H327" s="19">
        <v>60022</v>
      </c>
      <c r="I327" s="135" t="s">
        <v>1558</v>
      </c>
      <c r="J327" s="135" t="s">
        <v>1559</v>
      </c>
      <c r="K327" s="18" t="s">
        <v>570</v>
      </c>
      <c r="L327" s="134" t="s">
        <v>570</v>
      </c>
      <c r="M327" s="134" t="s">
        <v>364</v>
      </c>
      <c r="N327" s="134" t="s">
        <v>364</v>
      </c>
      <c r="O327" s="134" t="s">
        <v>570</v>
      </c>
      <c r="P327" s="449"/>
      <c r="Q327" s="179"/>
      <c r="R327" s="179"/>
      <c r="S327" s="179"/>
      <c r="T327" s="500" t="e">
        <f>_xlfn.XLOOKUP(H327,#REF!,#REF!,0,0)</f>
        <v>#REF!</v>
      </c>
    </row>
    <row r="328" spans="1:20" x14ac:dyDescent="0.4">
      <c r="A328" s="135" t="s">
        <v>570</v>
      </c>
      <c r="B328" s="135" t="s">
        <v>1560</v>
      </c>
      <c r="C328" s="135"/>
      <c r="D328" s="135" t="s">
        <v>567</v>
      </c>
      <c r="E328" s="19" t="s">
        <v>1262</v>
      </c>
      <c r="F328" s="20">
        <v>42145</v>
      </c>
      <c r="G328" s="19" t="s">
        <v>1561</v>
      </c>
      <c r="H328" s="19">
        <v>60021</v>
      </c>
      <c r="I328" s="135" t="s">
        <v>1562</v>
      </c>
      <c r="J328" s="135" t="s">
        <v>1563</v>
      </c>
      <c r="K328" s="18" t="s">
        <v>570</v>
      </c>
      <c r="L328" s="134" t="s">
        <v>570</v>
      </c>
      <c r="M328" s="134" t="s">
        <v>364</v>
      </c>
      <c r="N328" s="134" t="s">
        <v>364</v>
      </c>
      <c r="O328" s="134" t="s">
        <v>570</v>
      </c>
      <c r="P328" s="449"/>
      <c r="Q328" s="179"/>
      <c r="R328" s="179"/>
      <c r="S328" s="179"/>
      <c r="T328" s="500" t="e">
        <f>_xlfn.XLOOKUP(H328,#REF!,#REF!,0,0)</f>
        <v>#REF!</v>
      </c>
    </row>
    <row r="329" spans="1:20" x14ac:dyDescent="0.4">
      <c r="A329" s="135" t="s">
        <v>570</v>
      </c>
      <c r="B329" s="135" t="s">
        <v>1564</v>
      </c>
      <c r="C329" s="135"/>
      <c r="D329" s="135" t="s">
        <v>567</v>
      </c>
      <c r="E329" s="19" t="s">
        <v>1262</v>
      </c>
      <c r="F329" s="20">
        <v>42145</v>
      </c>
      <c r="G329" s="19" t="s">
        <v>1565</v>
      </c>
      <c r="H329" s="19">
        <v>60023</v>
      </c>
      <c r="I329" s="135" t="s">
        <v>1566</v>
      </c>
      <c r="J329" s="135"/>
      <c r="K329" s="18" t="s">
        <v>570</v>
      </c>
      <c r="L329" s="134" t="s">
        <v>570</v>
      </c>
      <c r="M329" s="134" t="s">
        <v>364</v>
      </c>
      <c r="N329" s="134" t="s">
        <v>364</v>
      </c>
      <c r="O329" s="134" t="s">
        <v>570</v>
      </c>
      <c r="P329" s="449"/>
      <c r="Q329" s="179"/>
      <c r="R329" s="179"/>
      <c r="S329" s="179"/>
      <c r="T329" s="500" t="e">
        <f>_xlfn.XLOOKUP(H329,#REF!,#REF!,0,0)</f>
        <v>#REF!</v>
      </c>
    </row>
    <row r="330" spans="1:20" x14ac:dyDescent="0.4">
      <c r="A330" s="135" t="s">
        <v>570</v>
      </c>
      <c r="B330" s="135" t="s">
        <v>1567</v>
      </c>
      <c r="C330" s="135"/>
      <c r="D330" s="135" t="s">
        <v>567</v>
      </c>
      <c r="E330" s="19" t="s">
        <v>1262</v>
      </c>
      <c r="F330" s="20">
        <v>42145</v>
      </c>
      <c r="G330" s="19" t="s">
        <v>1568</v>
      </c>
      <c r="H330" s="19">
        <v>60024</v>
      </c>
      <c r="I330" s="135" t="s">
        <v>1569</v>
      </c>
      <c r="J330" s="135"/>
      <c r="K330" s="18" t="s">
        <v>570</v>
      </c>
      <c r="L330" s="134" t="s">
        <v>570</v>
      </c>
      <c r="M330" s="134" t="s">
        <v>364</v>
      </c>
      <c r="N330" s="134" t="s">
        <v>364</v>
      </c>
      <c r="O330" s="134" t="s">
        <v>570</v>
      </c>
      <c r="P330" s="449"/>
      <c r="Q330" s="179"/>
      <c r="R330" s="179"/>
      <c r="S330" s="179"/>
      <c r="T330" s="500" t="e">
        <f>_xlfn.XLOOKUP(H330,#REF!,#REF!,0,0)</f>
        <v>#REF!</v>
      </c>
    </row>
    <row r="331" spans="1:20" x14ac:dyDescent="0.4">
      <c r="A331" s="135" t="s">
        <v>570</v>
      </c>
      <c r="B331" s="135" t="s">
        <v>1570</v>
      </c>
      <c r="C331" s="135"/>
      <c r="D331" s="135" t="s">
        <v>567</v>
      </c>
      <c r="E331" s="19" t="s">
        <v>1262</v>
      </c>
      <c r="F331" s="135">
        <v>42145</v>
      </c>
      <c r="G331" s="19" t="s">
        <v>1571</v>
      </c>
      <c r="H331" s="19">
        <v>60025</v>
      </c>
      <c r="I331" s="135" t="s">
        <v>1572</v>
      </c>
      <c r="J331" s="135" t="s">
        <v>1573</v>
      </c>
      <c r="K331" s="18" t="s">
        <v>570</v>
      </c>
      <c r="L331" s="134" t="s">
        <v>570</v>
      </c>
      <c r="M331" s="134" t="s">
        <v>364</v>
      </c>
      <c r="N331" s="134" t="s">
        <v>364</v>
      </c>
      <c r="O331" s="134" t="s">
        <v>570</v>
      </c>
      <c r="P331" s="449"/>
      <c r="Q331" s="179"/>
      <c r="R331" s="179"/>
      <c r="S331" s="179"/>
      <c r="T331" s="500" t="e">
        <f>_xlfn.XLOOKUP(H331,#REF!,#REF!,0,0)</f>
        <v>#REF!</v>
      </c>
    </row>
    <row r="332" spans="1:20" x14ac:dyDescent="0.4">
      <c r="A332" s="135" t="s">
        <v>570</v>
      </c>
      <c r="B332" s="135" t="s">
        <v>1545</v>
      </c>
      <c r="C332" s="135"/>
      <c r="D332" s="135" t="s">
        <v>567</v>
      </c>
      <c r="E332" s="19" t="s">
        <v>1262</v>
      </c>
      <c r="F332" s="20">
        <v>42145</v>
      </c>
      <c r="G332" s="19" t="s">
        <v>1574</v>
      </c>
      <c r="H332" s="19">
        <v>60030</v>
      </c>
      <c r="I332" s="135" t="s">
        <v>1575</v>
      </c>
      <c r="J332" s="135" t="s">
        <v>1576</v>
      </c>
      <c r="K332" s="18" t="s">
        <v>570</v>
      </c>
      <c r="L332" s="134" t="s">
        <v>570</v>
      </c>
      <c r="M332" s="134" t="s">
        <v>364</v>
      </c>
      <c r="N332" s="134" t="s">
        <v>364</v>
      </c>
      <c r="O332" s="134" t="s">
        <v>570</v>
      </c>
      <c r="P332" s="449"/>
      <c r="Q332" s="179"/>
      <c r="R332" s="179"/>
      <c r="S332" s="179"/>
      <c r="T332" s="500" t="e">
        <f>_xlfn.XLOOKUP(H332,#REF!,#REF!,0,0)</f>
        <v>#REF!</v>
      </c>
    </row>
    <row r="333" spans="1:20" x14ac:dyDescent="0.4">
      <c r="A333" s="135" t="s">
        <v>570</v>
      </c>
      <c r="B333" s="135" t="s">
        <v>1577</v>
      </c>
      <c r="C333" s="135"/>
      <c r="D333" s="135" t="s">
        <v>567</v>
      </c>
      <c r="E333" s="19" t="s">
        <v>1262</v>
      </c>
      <c r="F333" s="135">
        <v>42145</v>
      </c>
      <c r="G333" s="19" t="s">
        <v>1578</v>
      </c>
      <c r="H333" s="19">
        <v>60027</v>
      </c>
      <c r="I333" s="135" t="s">
        <v>1579</v>
      </c>
      <c r="J333" s="135" t="s">
        <v>1580</v>
      </c>
      <c r="K333" s="18" t="s">
        <v>570</v>
      </c>
      <c r="L333" s="134" t="s">
        <v>570</v>
      </c>
      <c r="M333" s="134" t="s">
        <v>364</v>
      </c>
      <c r="N333" s="134" t="s">
        <v>364</v>
      </c>
      <c r="O333" s="134" t="s">
        <v>570</v>
      </c>
      <c r="P333" s="449"/>
      <c r="Q333" s="179"/>
      <c r="R333" s="179"/>
      <c r="S333" s="179"/>
      <c r="T333" s="500" t="e">
        <f>_xlfn.XLOOKUP(H333,#REF!,#REF!,0,0)</f>
        <v>#REF!</v>
      </c>
    </row>
    <row r="334" spans="1:20" x14ac:dyDescent="0.4">
      <c r="A334" s="135" t="s">
        <v>570</v>
      </c>
      <c r="B334" s="135" t="s">
        <v>1581</v>
      </c>
      <c r="C334" s="135"/>
      <c r="D334" s="135" t="s">
        <v>567</v>
      </c>
      <c r="E334" s="19" t="s">
        <v>1262</v>
      </c>
      <c r="F334" s="20">
        <v>42145</v>
      </c>
      <c r="G334" s="19" t="s">
        <v>1582</v>
      </c>
      <c r="H334" s="19">
        <v>60028</v>
      </c>
      <c r="I334" s="135" t="s">
        <v>1583</v>
      </c>
      <c r="J334" s="135" t="s">
        <v>1584</v>
      </c>
      <c r="K334" s="18" t="s">
        <v>570</v>
      </c>
      <c r="L334" s="134" t="s">
        <v>570</v>
      </c>
      <c r="M334" s="134" t="s">
        <v>364</v>
      </c>
      <c r="N334" s="134" t="s">
        <v>364</v>
      </c>
      <c r="O334" s="134" t="s">
        <v>570</v>
      </c>
      <c r="P334" s="449"/>
      <c r="Q334" s="179"/>
      <c r="R334" s="179"/>
      <c r="S334" s="179"/>
      <c r="T334" s="500" t="e">
        <f>_xlfn.XLOOKUP(H334,#REF!,#REF!,0,0)</f>
        <v>#REF!</v>
      </c>
    </row>
    <row r="335" spans="1:20" x14ac:dyDescent="0.4">
      <c r="A335" s="135" t="s">
        <v>570</v>
      </c>
      <c r="B335" s="135" t="s">
        <v>1585</v>
      </c>
      <c r="C335" s="135"/>
      <c r="D335" s="135" t="s">
        <v>567</v>
      </c>
      <c r="E335" s="19" t="s">
        <v>1262</v>
      </c>
      <c r="F335" s="20">
        <v>42145</v>
      </c>
      <c r="G335" s="19" t="s">
        <v>1586</v>
      </c>
      <c r="H335" s="19">
        <v>60031</v>
      </c>
      <c r="I335" s="135" t="s">
        <v>1587</v>
      </c>
      <c r="J335" s="135" t="s">
        <v>1588</v>
      </c>
      <c r="K335" s="18" t="s">
        <v>570</v>
      </c>
      <c r="L335" s="134" t="s">
        <v>570</v>
      </c>
      <c r="M335" s="134" t="s">
        <v>364</v>
      </c>
      <c r="N335" s="134" t="s">
        <v>364</v>
      </c>
      <c r="O335" s="134" t="s">
        <v>570</v>
      </c>
      <c r="P335" s="449"/>
      <c r="Q335" s="179"/>
      <c r="R335" s="179"/>
      <c r="S335" s="179"/>
      <c r="T335" s="500" t="e">
        <f>_xlfn.XLOOKUP(H335,#REF!,#REF!,0,0)</f>
        <v>#REF!</v>
      </c>
    </row>
    <row r="336" spans="1:20" x14ac:dyDescent="0.4">
      <c r="A336" s="135" t="s">
        <v>570</v>
      </c>
      <c r="B336" s="135" t="s">
        <v>1589</v>
      </c>
      <c r="C336" s="135"/>
      <c r="D336" s="135" t="s">
        <v>567</v>
      </c>
      <c r="E336" s="19" t="s">
        <v>1262</v>
      </c>
      <c r="F336" s="135">
        <v>42145</v>
      </c>
      <c r="G336" s="19" t="s">
        <v>1590</v>
      </c>
      <c r="H336" s="19">
        <v>60026</v>
      </c>
      <c r="I336" s="135" t="s">
        <v>1591</v>
      </c>
      <c r="J336" s="135" t="s">
        <v>1592</v>
      </c>
      <c r="K336" s="18" t="s">
        <v>570</v>
      </c>
      <c r="L336" s="134" t="s">
        <v>570</v>
      </c>
      <c r="M336" s="134" t="s">
        <v>364</v>
      </c>
      <c r="N336" s="134" t="s">
        <v>364</v>
      </c>
      <c r="O336" s="134" t="s">
        <v>570</v>
      </c>
      <c r="P336" s="449"/>
      <c r="Q336" s="179"/>
      <c r="R336" s="179"/>
      <c r="S336" s="179"/>
      <c r="T336" s="500" t="e">
        <f>_xlfn.XLOOKUP(H336,#REF!,#REF!,0,0)</f>
        <v>#REF!</v>
      </c>
    </row>
    <row r="337" spans="1:20" x14ac:dyDescent="0.4">
      <c r="A337" s="135" t="s">
        <v>570</v>
      </c>
      <c r="B337" s="135" t="s">
        <v>1593</v>
      </c>
      <c r="C337" s="135"/>
      <c r="D337" s="135" t="s">
        <v>567</v>
      </c>
      <c r="E337" s="19" t="s">
        <v>1262</v>
      </c>
      <c r="F337" s="135">
        <v>42145</v>
      </c>
      <c r="G337" s="19" t="s">
        <v>48</v>
      </c>
      <c r="H337" s="19">
        <v>60033</v>
      </c>
      <c r="I337" s="135" t="s">
        <v>1594</v>
      </c>
      <c r="J337" s="135" t="s">
        <v>1595</v>
      </c>
      <c r="K337" s="18" t="s">
        <v>570</v>
      </c>
      <c r="L337" s="134" t="s">
        <v>570</v>
      </c>
      <c r="M337" s="134" t="s">
        <v>364</v>
      </c>
      <c r="N337" s="134" t="s">
        <v>364</v>
      </c>
      <c r="O337" s="134" t="s">
        <v>570</v>
      </c>
      <c r="P337" s="449"/>
      <c r="Q337" s="179"/>
      <c r="R337" s="179"/>
      <c r="S337" s="179"/>
      <c r="T337" s="500" t="e">
        <f>_xlfn.XLOOKUP(H337,#REF!,#REF!,0,0)</f>
        <v>#REF!</v>
      </c>
    </row>
    <row r="338" spans="1:20" x14ac:dyDescent="0.4">
      <c r="A338" s="135" t="s">
        <v>570</v>
      </c>
      <c r="B338" s="135" t="s">
        <v>1596</v>
      </c>
      <c r="C338" s="135"/>
      <c r="D338" s="135" t="s">
        <v>567</v>
      </c>
      <c r="E338" s="19" t="s">
        <v>1262</v>
      </c>
      <c r="F338" s="20">
        <v>42145</v>
      </c>
      <c r="G338" s="19" t="s">
        <v>1597</v>
      </c>
      <c r="H338" s="19">
        <v>60035</v>
      </c>
      <c r="I338" s="135" t="s">
        <v>1598</v>
      </c>
      <c r="J338" s="135" t="s">
        <v>1599</v>
      </c>
      <c r="K338" s="18" t="s">
        <v>570</v>
      </c>
      <c r="L338" s="134" t="s">
        <v>570</v>
      </c>
      <c r="M338" s="134" t="s">
        <v>364</v>
      </c>
      <c r="N338" s="134" t="s">
        <v>364</v>
      </c>
      <c r="O338" s="134" t="s">
        <v>570</v>
      </c>
      <c r="P338" s="449"/>
      <c r="Q338" s="179"/>
      <c r="R338" s="179"/>
      <c r="S338" s="179"/>
      <c r="T338" s="500" t="e">
        <f>_xlfn.XLOOKUP(H338,#REF!,#REF!,0,0)</f>
        <v>#REF!</v>
      </c>
    </row>
    <row r="339" spans="1:20" x14ac:dyDescent="0.4">
      <c r="A339" s="135" t="s">
        <v>570</v>
      </c>
      <c r="B339" s="135" t="s">
        <v>1600</v>
      </c>
      <c r="C339" s="135"/>
      <c r="D339" s="135" t="s">
        <v>567</v>
      </c>
      <c r="E339" s="19" t="s">
        <v>1262</v>
      </c>
      <c r="F339" s="20">
        <v>42145</v>
      </c>
      <c r="G339" s="19" t="s">
        <v>1601</v>
      </c>
      <c r="H339" s="19">
        <v>60034</v>
      </c>
      <c r="I339" s="135" t="s">
        <v>1602</v>
      </c>
      <c r="J339" s="135" t="s">
        <v>1603</v>
      </c>
      <c r="K339" s="18" t="s">
        <v>570</v>
      </c>
      <c r="L339" s="134" t="s">
        <v>570</v>
      </c>
      <c r="M339" s="134" t="s">
        <v>364</v>
      </c>
      <c r="N339" s="134" t="s">
        <v>364</v>
      </c>
      <c r="O339" s="134" t="s">
        <v>570</v>
      </c>
      <c r="P339" s="449"/>
      <c r="Q339" s="179"/>
      <c r="R339" s="179"/>
      <c r="S339" s="179"/>
      <c r="T339" s="500" t="e">
        <f>_xlfn.XLOOKUP(H339,#REF!,#REF!,0,0)</f>
        <v>#REF!</v>
      </c>
    </row>
    <row r="340" spans="1:20" x14ac:dyDescent="0.4">
      <c r="A340" s="135" t="s">
        <v>570</v>
      </c>
      <c r="B340" s="135" t="s">
        <v>1600</v>
      </c>
      <c r="C340" s="135"/>
      <c r="D340" s="135" t="s">
        <v>567</v>
      </c>
      <c r="E340" s="19" t="s">
        <v>1262</v>
      </c>
      <c r="F340" s="135">
        <v>42145</v>
      </c>
      <c r="G340" s="19" t="s">
        <v>1604</v>
      </c>
      <c r="H340" s="19">
        <v>60037</v>
      </c>
      <c r="I340" s="135" t="s">
        <v>1605</v>
      </c>
      <c r="J340" s="135" t="s">
        <v>1606</v>
      </c>
      <c r="K340" s="18" t="s">
        <v>570</v>
      </c>
      <c r="L340" s="134" t="s">
        <v>570</v>
      </c>
      <c r="M340" s="134" t="s">
        <v>364</v>
      </c>
      <c r="N340" s="134" t="s">
        <v>364</v>
      </c>
      <c r="O340" s="134" t="s">
        <v>570</v>
      </c>
      <c r="P340" s="449"/>
      <c r="Q340" s="179"/>
      <c r="R340" s="179"/>
      <c r="S340" s="179"/>
      <c r="T340" s="500" t="e">
        <f>_xlfn.XLOOKUP(H340,#REF!,#REF!,0,0)</f>
        <v>#REF!</v>
      </c>
    </row>
    <row r="341" spans="1:20" x14ac:dyDescent="0.4">
      <c r="A341" s="135" t="s">
        <v>570</v>
      </c>
      <c r="B341" s="135" t="s">
        <v>1607</v>
      </c>
      <c r="C341" s="135"/>
      <c r="D341" s="135" t="s">
        <v>567</v>
      </c>
      <c r="E341" s="19" t="s">
        <v>1262</v>
      </c>
      <c r="F341" s="20">
        <v>42145</v>
      </c>
      <c r="G341" s="19" t="s">
        <v>1608</v>
      </c>
      <c r="H341" s="19">
        <v>60038</v>
      </c>
      <c r="I341" s="135" t="s">
        <v>1609</v>
      </c>
      <c r="J341" s="135" t="s">
        <v>1610</v>
      </c>
      <c r="K341" s="18" t="s">
        <v>570</v>
      </c>
      <c r="L341" s="134" t="s">
        <v>570</v>
      </c>
      <c r="M341" s="134" t="s">
        <v>364</v>
      </c>
      <c r="N341" s="134" t="s">
        <v>364</v>
      </c>
      <c r="O341" s="134" t="s">
        <v>570</v>
      </c>
      <c r="P341" s="449"/>
      <c r="Q341" s="179"/>
      <c r="R341" s="179"/>
      <c r="S341" s="179"/>
      <c r="T341" s="500" t="e">
        <f>_xlfn.XLOOKUP(H341,#REF!,#REF!,0,0)</f>
        <v>#REF!</v>
      </c>
    </row>
    <row r="342" spans="1:20" x14ac:dyDescent="0.4">
      <c r="A342" s="135" t="s">
        <v>570</v>
      </c>
      <c r="B342" s="135" t="s">
        <v>1611</v>
      </c>
      <c r="C342" s="135"/>
      <c r="D342" s="135" t="s">
        <v>567</v>
      </c>
      <c r="E342" s="19" t="s">
        <v>1262</v>
      </c>
      <c r="F342" s="20">
        <v>42145</v>
      </c>
      <c r="G342" s="19" t="s">
        <v>1612</v>
      </c>
      <c r="H342" s="19">
        <v>60032</v>
      </c>
      <c r="I342" s="135" t="s">
        <v>1613</v>
      </c>
      <c r="J342" s="135" t="s">
        <v>1614</v>
      </c>
      <c r="K342" s="18" t="s">
        <v>570</v>
      </c>
      <c r="L342" s="134" t="s">
        <v>570</v>
      </c>
      <c r="M342" s="134" t="s">
        <v>364</v>
      </c>
      <c r="N342" s="134" t="s">
        <v>364</v>
      </c>
      <c r="O342" s="134" t="s">
        <v>570</v>
      </c>
      <c r="P342" s="449"/>
      <c r="Q342" s="179"/>
      <c r="R342" s="179"/>
      <c r="S342" s="179"/>
      <c r="T342" s="500" t="e">
        <f>_xlfn.XLOOKUP(H342,#REF!,#REF!,0,0)</f>
        <v>#REF!</v>
      </c>
    </row>
    <row r="343" spans="1:20" x14ac:dyDescent="0.4">
      <c r="A343" s="135" t="s">
        <v>570</v>
      </c>
      <c r="B343" s="135" t="s">
        <v>1615</v>
      </c>
      <c r="C343" s="135"/>
      <c r="D343" s="135" t="s">
        <v>567</v>
      </c>
      <c r="E343" s="19" t="s">
        <v>1262</v>
      </c>
      <c r="F343" s="20">
        <v>42145</v>
      </c>
      <c r="G343" s="19" t="s">
        <v>1616</v>
      </c>
      <c r="H343" s="19">
        <v>60036</v>
      </c>
      <c r="I343" s="135" t="s">
        <v>1617</v>
      </c>
      <c r="J343" s="135" t="s">
        <v>1618</v>
      </c>
      <c r="K343" s="18" t="s">
        <v>570</v>
      </c>
      <c r="L343" s="134" t="s">
        <v>570</v>
      </c>
      <c r="M343" s="134" t="s">
        <v>364</v>
      </c>
      <c r="N343" s="134" t="s">
        <v>364</v>
      </c>
      <c r="O343" s="134" t="s">
        <v>570</v>
      </c>
      <c r="P343" s="449"/>
      <c r="Q343" s="179"/>
      <c r="R343" s="179"/>
      <c r="S343" s="179"/>
      <c r="T343" s="500" t="e">
        <f>_xlfn.XLOOKUP(H343,#REF!,#REF!,0,0)</f>
        <v>#REF!</v>
      </c>
    </row>
    <row r="344" spans="1:20" x14ac:dyDescent="0.4">
      <c r="A344" s="135" t="s">
        <v>570</v>
      </c>
      <c r="B344" s="135" t="s">
        <v>1619</v>
      </c>
      <c r="C344" s="135"/>
      <c r="D344" s="135" t="s">
        <v>567</v>
      </c>
      <c r="E344" s="19" t="s">
        <v>1262</v>
      </c>
      <c r="F344" s="135">
        <v>42145</v>
      </c>
      <c r="G344" s="19" t="s">
        <v>1620</v>
      </c>
      <c r="H344" s="19">
        <v>60029</v>
      </c>
      <c r="I344" s="135" t="s">
        <v>1621</v>
      </c>
      <c r="J344" s="135" t="s">
        <v>1622</v>
      </c>
      <c r="K344" s="18" t="s">
        <v>570</v>
      </c>
      <c r="L344" s="134" t="s">
        <v>570</v>
      </c>
      <c r="M344" s="134" t="s">
        <v>364</v>
      </c>
      <c r="N344" s="134" t="s">
        <v>364</v>
      </c>
      <c r="O344" s="134" t="s">
        <v>570</v>
      </c>
      <c r="P344" s="449"/>
      <c r="Q344" s="179"/>
      <c r="R344" s="179"/>
      <c r="S344" s="179"/>
      <c r="T344" s="500" t="e">
        <f>_xlfn.XLOOKUP(H344,#REF!,#REF!,0,0)</f>
        <v>#REF!</v>
      </c>
    </row>
    <row r="345" spans="1:20" x14ac:dyDescent="0.4">
      <c r="A345" s="135" t="s">
        <v>570</v>
      </c>
      <c r="B345" s="135" t="s">
        <v>1623</v>
      </c>
      <c r="C345" s="135"/>
      <c r="D345" s="135" t="s">
        <v>567</v>
      </c>
      <c r="E345" s="19" t="s">
        <v>1262</v>
      </c>
      <c r="F345" s="135">
        <v>42145</v>
      </c>
      <c r="G345" s="19" t="s">
        <v>1624</v>
      </c>
      <c r="H345" s="19">
        <v>60041</v>
      </c>
      <c r="I345" s="135" t="s">
        <v>1625</v>
      </c>
      <c r="J345" s="135" t="s">
        <v>1626</v>
      </c>
      <c r="K345" s="18" t="s">
        <v>570</v>
      </c>
      <c r="L345" s="134" t="s">
        <v>570</v>
      </c>
      <c r="M345" s="134" t="s">
        <v>364</v>
      </c>
      <c r="N345" s="134" t="s">
        <v>364</v>
      </c>
      <c r="O345" s="134" t="s">
        <v>570</v>
      </c>
      <c r="P345" s="449"/>
      <c r="Q345" s="179"/>
      <c r="R345" s="179"/>
      <c r="S345" s="179"/>
      <c r="T345" s="500" t="e">
        <f>_xlfn.XLOOKUP(H345,#REF!,#REF!,0,0)</f>
        <v>#REF!</v>
      </c>
    </row>
    <row r="346" spans="1:20" x14ac:dyDescent="0.4">
      <c r="A346" s="135" t="s">
        <v>570</v>
      </c>
      <c r="B346" s="135" t="s">
        <v>1627</v>
      </c>
      <c r="C346" s="135"/>
      <c r="D346" s="135" t="s">
        <v>567</v>
      </c>
      <c r="E346" s="19" t="s">
        <v>1262</v>
      </c>
      <c r="F346" s="135">
        <v>42145</v>
      </c>
      <c r="G346" s="19" t="s">
        <v>1628</v>
      </c>
      <c r="H346" s="19">
        <v>60040</v>
      </c>
      <c r="I346" s="135" t="s">
        <v>1629</v>
      </c>
      <c r="J346" s="135" t="s">
        <v>1630</v>
      </c>
      <c r="K346" s="18" t="s">
        <v>570</v>
      </c>
      <c r="L346" s="134" t="s">
        <v>570</v>
      </c>
      <c r="M346" s="134" t="s">
        <v>364</v>
      </c>
      <c r="N346" s="134" t="s">
        <v>364</v>
      </c>
      <c r="O346" s="134" t="s">
        <v>570</v>
      </c>
      <c r="P346" s="449"/>
      <c r="Q346" s="179"/>
      <c r="R346" s="179"/>
      <c r="S346" s="179"/>
      <c r="T346" s="500" t="e">
        <f>_xlfn.XLOOKUP(H346,#REF!,#REF!,0,0)</f>
        <v>#REF!</v>
      </c>
    </row>
    <row r="347" spans="1:20" x14ac:dyDescent="0.4">
      <c r="A347" s="135" t="s">
        <v>570</v>
      </c>
      <c r="B347" s="135" t="s">
        <v>1631</v>
      </c>
      <c r="C347" s="135"/>
      <c r="D347" s="135" t="s">
        <v>567</v>
      </c>
      <c r="E347" s="19" t="s">
        <v>1262</v>
      </c>
      <c r="F347" s="135">
        <v>42145</v>
      </c>
      <c r="G347" s="19" t="s">
        <v>1632</v>
      </c>
      <c r="H347" s="19">
        <v>60043</v>
      </c>
      <c r="I347" s="135" t="s">
        <v>1633</v>
      </c>
      <c r="J347" s="135" t="s">
        <v>1634</v>
      </c>
      <c r="K347" s="18" t="s">
        <v>570</v>
      </c>
      <c r="L347" s="134" t="s">
        <v>570</v>
      </c>
      <c r="M347" s="134" t="s">
        <v>364</v>
      </c>
      <c r="N347" s="134" t="s">
        <v>364</v>
      </c>
      <c r="O347" s="134" t="s">
        <v>570</v>
      </c>
      <c r="P347" s="449"/>
      <c r="Q347" s="179"/>
      <c r="R347" s="179"/>
      <c r="S347" s="179"/>
      <c r="T347" s="500" t="e">
        <f>_xlfn.XLOOKUP(H347,#REF!,#REF!,0,0)</f>
        <v>#REF!</v>
      </c>
    </row>
    <row r="348" spans="1:20" x14ac:dyDescent="0.4">
      <c r="A348" s="135" t="s">
        <v>570</v>
      </c>
      <c r="B348" s="135" t="s">
        <v>1635</v>
      </c>
      <c r="C348" s="135"/>
      <c r="D348" s="135" t="s">
        <v>567</v>
      </c>
      <c r="E348" s="19" t="s">
        <v>1262</v>
      </c>
      <c r="F348" s="135">
        <v>42145</v>
      </c>
      <c r="G348" s="19" t="s">
        <v>1636</v>
      </c>
      <c r="H348" s="19">
        <v>60048</v>
      </c>
      <c r="I348" s="135" t="s">
        <v>1637</v>
      </c>
      <c r="J348" s="135" t="s">
        <v>1638</v>
      </c>
      <c r="K348" s="18" t="s">
        <v>570</v>
      </c>
      <c r="L348" s="134" t="s">
        <v>570</v>
      </c>
      <c r="M348" s="134" t="s">
        <v>364</v>
      </c>
      <c r="N348" s="134" t="s">
        <v>364</v>
      </c>
      <c r="O348" s="134" t="s">
        <v>570</v>
      </c>
      <c r="P348" s="449"/>
      <c r="Q348" s="179"/>
      <c r="R348" s="179"/>
      <c r="S348" s="179"/>
      <c r="T348" s="500" t="e">
        <f>_xlfn.XLOOKUP(H348,#REF!,#REF!,0,0)</f>
        <v>#REF!</v>
      </c>
    </row>
    <row r="349" spans="1:20" x14ac:dyDescent="0.4">
      <c r="A349" s="135" t="s">
        <v>570</v>
      </c>
      <c r="B349" s="135" t="s">
        <v>1639</v>
      </c>
      <c r="C349" s="135"/>
      <c r="D349" s="135" t="s">
        <v>567</v>
      </c>
      <c r="E349" s="19" t="s">
        <v>1262</v>
      </c>
      <c r="F349" s="20">
        <v>42145</v>
      </c>
      <c r="G349" s="19" t="s">
        <v>50</v>
      </c>
      <c r="H349" s="19">
        <v>60044</v>
      </c>
      <c r="I349" s="135" t="s">
        <v>1640</v>
      </c>
      <c r="J349" s="135" t="s">
        <v>1641</v>
      </c>
      <c r="K349" s="18" t="s">
        <v>570</v>
      </c>
      <c r="L349" s="134" t="s">
        <v>570</v>
      </c>
      <c r="M349" s="134" t="s">
        <v>364</v>
      </c>
      <c r="N349" s="134" t="s">
        <v>364</v>
      </c>
      <c r="O349" s="134" t="s">
        <v>570</v>
      </c>
      <c r="P349" s="449"/>
      <c r="Q349" s="179"/>
      <c r="R349" s="179"/>
      <c r="S349" s="179"/>
      <c r="T349" s="500" t="e">
        <f>_xlfn.XLOOKUP(H349,#REF!,#REF!,0,0)</f>
        <v>#REF!</v>
      </c>
    </row>
    <row r="350" spans="1:20" x14ac:dyDescent="0.4">
      <c r="A350" s="135" t="s">
        <v>570</v>
      </c>
      <c r="B350" s="135" t="s">
        <v>1642</v>
      </c>
      <c r="C350" s="135"/>
      <c r="D350" s="135" t="s">
        <v>567</v>
      </c>
      <c r="E350" s="19" t="s">
        <v>1262</v>
      </c>
      <c r="F350" s="20">
        <v>42145</v>
      </c>
      <c r="G350" s="19" t="s">
        <v>1643</v>
      </c>
      <c r="H350" s="19">
        <v>60046</v>
      </c>
      <c r="I350" s="135" t="s">
        <v>1644</v>
      </c>
      <c r="J350" s="135" t="s">
        <v>1645</v>
      </c>
      <c r="K350" s="18" t="s">
        <v>570</v>
      </c>
      <c r="L350" s="134" t="s">
        <v>570</v>
      </c>
      <c r="M350" s="134" t="s">
        <v>364</v>
      </c>
      <c r="N350" s="134" t="s">
        <v>364</v>
      </c>
      <c r="O350" s="134" t="s">
        <v>570</v>
      </c>
      <c r="P350" s="449"/>
      <c r="Q350" s="179"/>
      <c r="R350" s="179"/>
      <c r="S350" s="179"/>
      <c r="T350" s="500" t="e">
        <f>_xlfn.XLOOKUP(H350,#REF!,#REF!,0,0)</f>
        <v>#REF!</v>
      </c>
    </row>
    <row r="351" spans="1:20" x14ac:dyDescent="0.4">
      <c r="A351" s="135" t="s">
        <v>570</v>
      </c>
      <c r="B351" s="135" t="s">
        <v>1646</v>
      </c>
      <c r="C351" s="135"/>
      <c r="D351" s="135" t="s">
        <v>567</v>
      </c>
      <c r="E351" s="19" t="s">
        <v>1262</v>
      </c>
      <c r="F351" s="20">
        <v>42145</v>
      </c>
      <c r="G351" s="19" t="s">
        <v>1647</v>
      </c>
      <c r="H351" s="19">
        <v>60045</v>
      </c>
      <c r="I351" s="135" t="s">
        <v>1648</v>
      </c>
      <c r="J351" s="135" t="s">
        <v>1649</v>
      </c>
      <c r="K351" s="18" t="s">
        <v>570</v>
      </c>
      <c r="L351" s="134" t="s">
        <v>570</v>
      </c>
      <c r="M351" s="134" t="s">
        <v>364</v>
      </c>
      <c r="N351" s="134" t="s">
        <v>364</v>
      </c>
      <c r="O351" s="134" t="s">
        <v>570</v>
      </c>
      <c r="P351" s="449"/>
      <c r="Q351" s="179"/>
      <c r="R351" s="179"/>
      <c r="S351" s="179"/>
      <c r="T351" s="500" t="e">
        <f>_xlfn.XLOOKUP(H351,#REF!,#REF!,0,0)</f>
        <v>#REF!</v>
      </c>
    </row>
    <row r="352" spans="1:20" x14ac:dyDescent="0.4">
      <c r="A352" s="135" t="s">
        <v>570</v>
      </c>
      <c r="B352" s="135" t="s">
        <v>1650</v>
      </c>
      <c r="C352" s="135"/>
      <c r="D352" s="135" t="s">
        <v>567</v>
      </c>
      <c r="E352" s="19" t="s">
        <v>1262</v>
      </c>
      <c r="F352" s="20">
        <v>42145</v>
      </c>
      <c r="G352" s="19" t="s">
        <v>1651</v>
      </c>
      <c r="H352" s="19">
        <v>60039</v>
      </c>
      <c r="I352" s="135" t="s">
        <v>1652</v>
      </c>
      <c r="J352" s="135" t="s">
        <v>1653</v>
      </c>
      <c r="K352" s="18" t="s">
        <v>570</v>
      </c>
      <c r="L352" s="134" t="s">
        <v>570</v>
      </c>
      <c r="M352" s="134" t="s">
        <v>364</v>
      </c>
      <c r="N352" s="134" t="s">
        <v>364</v>
      </c>
      <c r="O352" s="134" t="s">
        <v>570</v>
      </c>
      <c r="P352" s="449"/>
      <c r="Q352" s="179"/>
      <c r="R352" s="179"/>
      <c r="S352" s="179"/>
      <c r="T352" s="500" t="e">
        <f>_xlfn.XLOOKUP(H352,#REF!,#REF!,0,0)</f>
        <v>#REF!</v>
      </c>
    </row>
    <row r="353" spans="1:20" x14ac:dyDescent="0.4">
      <c r="A353" s="135" t="s">
        <v>570</v>
      </c>
      <c r="B353" s="135" t="s">
        <v>1654</v>
      </c>
      <c r="C353" s="135"/>
      <c r="D353" s="135" t="s">
        <v>567</v>
      </c>
      <c r="E353" s="19" t="s">
        <v>1262</v>
      </c>
      <c r="F353" s="20">
        <v>42145</v>
      </c>
      <c r="G353" s="19" t="s">
        <v>1655</v>
      </c>
      <c r="H353" s="19">
        <v>60051</v>
      </c>
      <c r="I353" s="135" t="s">
        <v>1656</v>
      </c>
      <c r="J353" s="135" t="s">
        <v>1657</v>
      </c>
      <c r="K353" s="18" t="s">
        <v>570</v>
      </c>
      <c r="L353" s="134" t="s">
        <v>570</v>
      </c>
      <c r="M353" s="134" t="s">
        <v>364</v>
      </c>
      <c r="N353" s="134" t="s">
        <v>364</v>
      </c>
      <c r="O353" s="134" t="s">
        <v>570</v>
      </c>
      <c r="P353" s="449"/>
      <c r="Q353" s="179"/>
      <c r="R353" s="179"/>
      <c r="S353" s="179"/>
      <c r="T353" s="500" t="e">
        <f>_xlfn.XLOOKUP(H353,#REF!,#REF!,0,0)</f>
        <v>#REF!</v>
      </c>
    </row>
    <row r="354" spans="1:20" x14ac:dyDescent="0.4">
      <c r="A354" s="135" t="s">
        <v>570</v>
      </c>
      <c r="B354" s="135" t="s">
        <v>1658</v>
      </c>
      <c r="C354" s="135"/>
      <c r="D354" s="135" t="s">
        <v>567</v>
      </c>
      <c r="E354" s="19" t="s">
        <v>1262</v>
      </c>
      <c r="F354" s="20">
        <v>42145</v>
      </c>
      <c r="G354" s="19" t="s">
        <v>1659</v>
      </c>
      <c r="H354" s="19">
        <v>60055</v>
      </c>
      <c r="I354" s="135" t="s">
        <v>1660</v>
      </c>
      <c r="J354" s="135" t="s">
        <v>1661</v>
      </c>
      <c r="K354" s="18" t="s">
        <v>570</v>
      </c>
      <c r="L354" s="134" t="s">
        <v>570</v>
      </c>
      <c r="M354" s="134" t="s">
        <v>364</v>
      </c>
      <c r="N354" s="134" t="s">
        <v>364</v>
      </c>
      <c r="O354" s="134" t="s">
        <v>570</v>
      </c>
      <c r="P354" s="449"/>
      <c r="Q354" s="179"/>
      <c r="R354" s="179"/>
      <c r="S354" s="179"/>
      <c r="T354" s="500" t="e">
        <f>_xlfn.XLOOKUP(H354,#REF!,#REF!,0,0)</f>
        <v>#REF!</v>
      </c>
    </row>
    <row r="355" spans="1:20" x14ac:dyDescent="0.4">
      <c r="A355" s="135" t="s">
        <v>570</v>
      </c>
      <c r="B355" s="135" t="s">
        <v>1662</v>
      </c>
      <c r="C355" s="135"/>
      <c r="D355" s="135" t="s">
        <v>567</v>
      </c>
      <c r="E355" s="19" t="s">
        <v>1262</v>
      </c>
      <c r="F355" s="135">
        <v>42145</v>
      </c>
      <c r="G355" s="19" t="s">
        <v>1663</v>
      </c>
      <c r="H355" s="19">
        <v>60052</v>
      </c>
      <c r="I355" s="135" t="s">
        <v>1664</v>
      </c>
      <c r="J355" s="135" t="s">
        <v>1665</v>
      </c>
      <c r="K355" s="18" t="s">
        <v>570</v>
      </c>
      <c r="L355" s="134" t="s">
        <v>570</v>
      </c>
      <c r="M355" s="134" t="s">
        <v>364</v>
      </c>
      <c r="N355" s="134" t="s">
        <v>364</v>
      </c>
      <c r="O355" s="134" t="s">
        <v>570</v>
      </c>
      <c r="P355" s="449"/>
      <c r="Q355" s="179"/>
      <c r="R355" s="179"/>
      <c r="S355" s="179"/>
      <c r="T355" s="500" t="e">
        <f>_xlfn.XLOOKUP(H355,#REF!,#REF!,0,0)</f>
        <v>#REF!</v>
      </c>
    </row>
    <row r="356" spans="1:20" x14ac:dyDescent="0.4">
      <c r="A356" s="135" t="s">
        <v>570</v>
      </c>
      <c r="B356" s="135" t="s">
        <v>1666</v>
      </c>
      <c r="C356" s="135"/>
      <c r="D356" s="135" t="s">
        <v>567</v>
      </c>
      <c r="E356" s="19" t="s">
        <v>1262</v>
      </c>
      <c r="F356" s="20">
        <v>42145</v>
      </c>
      <c r="G356" s="19" t="s">
        <v>1667</v>
      </c>
      <c r="H356" s="19">
        <v>60053</v>
      </c>
      <c r="I356" s="135" t="s">
        <v>1668</v>
      </c>
      <c r="J356" s="135" t="s">
        <v>1669</v>
      </c>
      <c r="K356" s="18" t="s">
        <v>570</v>
      </c>
      <c r="L356" s="134" t="s">
        <v>570</v>
      </c>
      <c r="M356" s="134" t="s">
        <v>364</v>
      </c>
      <c r="N356" s="134" t="s">
        <v>364</v>
      </c>
      <c r="O356" s="134" t="s">
        <v>570</v>
      </c>
      <c r="P356" s="449"/>
      <c r="Q356" s="179"/>
      <c r="R356" s="179"/>
      <c r="S356" s="179"/>
      <c r="T356" s="500" t="e">
        <f>_xlfn.XLOOKUP(H356,#REF!,#REF!,0,0)</f>
        <v>#REF!</v>
      </c>
    </row>
    <row r="357" spans="1:20" x14ac:dyDescent="0.4">
      <c r="A357" s="135" t="s">
        <v>570</v>
      </c>
      <c r="B357" s="135" t="s">
        <v>1670</v>
      </c>
      <c r="C357" s="135"/>
      <c r="D357" s="135" t="s">
        <v>567</v>
      </c>
      <c r="E357" s="19" t="s">
        <v>1671</v>
      </c>
      <c r="F357" s="135">
        <v>42145</v>
      </c>
      <c r="G357" s="19" t="s">
        <v>1672</v>
      </c>
      <c r="H357" s="19">
        <v>60049</v>
      </c>
      <c r="I357" s="135" t="s">
        <v>1673</v>
      </c>
      <c r="J357" s="135" t="s">
        <v>1674</v>
      </c>
      <c r="K357" s="18" t="s">
        <v>570</v>
      </c>
      <c r="L357" s="134" t="s">
        <v>570</v>
      </c>
      <c r="M357" s="134" t="s">
        <v>364</v>
      </c>
      <c r="N357" s="134" t="s">
        <v>364</v>
      </c>
      <c r="O357" s="134" t="s">
        <v>570</v>
      </c>
      <c r="P357" s="449"/>
      <c r="Q357" s="179"/>
      <c r="R357" s="179"/>
      <c r="S357" s="179"/>
      <c r="T357" s="500" t="e">
        <f>_xlfn.XLOOKUP(H357,#REF!,#REF!,0,0)</f>
        <v>#REF!</v>
      </c>
    </row>
    <row r="358" spans="1:20" x14ac:dyDescent="0.4">
      <c r="A358" s="135" t="s">
        <v>570</v>
      </c>
      <c r="B358" s="135" t="s">
        <v>1675</v>
      </c>
      <c r="C358" s="135"/>
      <c r="D358" s="135" t="s">
        <v>567</v>
      </c>
      <c r="E358" s="19" t="s">
        <v>1671</v>
      </c>
      <c r="F358" s="135">
        <v>42145</v>
      </c>
      <c r="G358" s="19" t="s">
        <v>1676</v>
      </c>
      <c r="H358" s="19">
        <v>60056</v>
      </c>
      <c r="I358" s="135" t="s">
        <v>1677</v>
      </c>
      <c r="J358" s="135" t="s">
        <v>1678</v>
      </c>
      <c r="K358" s="18" t="s">
        <v>570</v>
      </c>
      <c r="L358" s="134" t="s">
        <v>570</v>
      </c>
      <c r="M358" s="134" t="s">
        <v>364</v>
      </c>
      <c r="N358" s="134" t="s">
        <v>364</v>
      </c>
      <c r="O358" s="134" t="s">
        <v>570</v>
      </c>
      <c r="P358" s="449"/>
      <c r="Q358" s="179"/>
      <c r="R358" s="179"/>
      <c r="S358" s="179"/>
      <c r="T358" s="500" t="e">
        <f>_xlfn.XLOOKUP(H358,#REF!,#REF!,0,0)</f>
        <v>#REF!</v>
      </c>
    </row>
    <row r="359" spans="1:20" x14ac:dyDescent="0.4">
      <c r="A359" s="135" t="s">
        <v>570</v>
      </c>
      <c r="B359" s="135" t="s">
        <v>1679</v>
      </c>
      <c r="C359" s="135"/>
      <c r="D359" s="135" t="s">
        <v>567</v>
      </c>
      <c r="E359" s="19" t="s">
        <v>1671</v>
      </c>
      <c r="F359" s="135">
        <v>42145</v>
      </c>
      <c r="G359" s="19" t="s">
        <v>1680</v>
      </c>
      <c r="H359" s="19">
        <v>60042</v>
      </c>
      <c r="I359" s="135" t="s">
        <v>1681</v>
      </c>
      <c r="J359" s="135" t="s">
        <v>1682</v>
      </c>
      <c r="K359" s="18" t="s">
        <v>570</v>
      </c>
      <c r="L359" s="134" t="s">
        <v>570</v>
      </c>
      <c r="M359" s="134" t="s">
        <v>364</v>
      </c>
      <c r="N359" s="134" t="s">
        <v>364</v>
      </c>
      <c r="O359" s="134" t="s">
        <v>570</v>
      </c>
      <c r="P359" s="449"/>
      <c r="Q359" s="179"/>
      <c r="R359" s="179"/>
      <c r="S359" s="179"/>
      <c r="T359" s="500" t="e">
        <f>_xlfn.XLOOKUP(H359,#REF!,#REF!,0,0)</f>
        <v>#REF!</v>
      </c>
    </row>
    <row r="360" spans="1:20" x14ac:dyDescent="0.4">
      <c r="A360" s="135" t="s">
        <v>570</v>
      </c>
      <c r="B360" s="136" t="s">
        <v>1683</v>
      </c>
      <c r="C360" s="135"/>
      <c r="D360" s="135" t="s">
        <v>567</v>
      </c>
      <c r="E360" s="19" t="s">
        <v>1671</v>
      </c>
      <c r="F360" s="135">
        <v>42212</v>
      </c>
      <c r="G360" s="19" t="s">
        <v>1684</v>
      </c>
      <c r="H360" s="19">
        <v>60256</v>
      </c>
      <c r="I360" s="135" t="s">
        <v>1685</v>
      </c>
      <c r="J360" s="135"/>
      <c r="K360" s="18" t="s">
        <v>570</v>
      </c>
      <c r="L360" s="134" t="s">
        <v>570</v>
      </c>
      <c r="M360" s="134" t="s">
        <v>364</v>
      </c>
      <c r="N360" s="134" t="s">
        <v>364</v>
      </c>
      <c r="O360" s="134" t="s">
        <v>570</v>
      </c>
      <c r="P360" s="449"/>
      <c r="Q360" s="179"/>
      <c r="R360" s="179"/>
      <c r="S360" s="179"/>
      <c r="T360" s="500" t="e">
        <f>_xlfn.XLOOKUP(H360,#REF!,#REF!,0,0)</f>
        <v>#REF!</v>
      </c>
    </row>
    <row r="361" spans="1:20" x14ac:dyDescent="0.4">
      <c r="A361" s="135" t="s">
        <v>570</v>
      </c>
      <c r="B361" s="135" t="s">
        <v>1686</v>
      </c>
      <c r="C361" s="135"/>
      <c r="D361" s="135" t="s">
        <v>567</v>
      </c>
      <c r="E361" s="19" t="s">
        <v>1671</v>
      </c>
      <c r="F361" s="20">
        <v>42212</v>
      </c>
      <c r="G361" s="19" t="s">
        <v>1687</v>
      </c>
      <c r="H361" s="19">
        <v>60254</v>
      </c>
      <c r="I361" s="135" t="s">
        <v>1688</v>
      </c>
      <c r="J361" s="135"/>
      <c r="K361" s="18" t="s">
        <v>570</v>
      </c>
      <c r="L361" s="134" t="s">
        <v>570</v>
      </c>
      <c r="M361" s="134" t="s">
        <v>364</v>
      </c>
      <c r="N361" s="134" t="s">
        <v>364</v>
      </c>
      <c r="O361" s="134" t="s">
        <v>570</v>
      </c>
      <c r="P361" s="449"/>
      <c r="Q361" s="179"/>
      <c r="R361" s="179"/>
      <c r="S361" s="179"/>
      <c r="T361" s="500" t="e">
        <f>_xlfn.XLOOKUP(H361,#REF!,#REF!,0,0)</f>
        <v>#REF!</v>
      </c>
    </row>
    <row r="362" spans="1:20" x14ac:dyDescent="0.4">
      <c r="A362" s="135" t="s">
        <v>570</v>
      </c>
      <c r="B362" s="136" t="s">
        <v>1689</v>
      </c>
      <c r="C362" s="135"/>
      <c r="D362" s="135" t="s">
        <v>567</v>
      </c>
      <c r="E362" s="19" t="s">
        <v>1671</v>
      </c>
      <c r="F362" s="135">
        <v>42212</v>
      </c>
      <c r="G362" s="19" t="s">
        <v>1690</v>
      </c>
      <c r="H362" s="19">
        <v>60265</v>
      </c>
      <c r="I362" s="135" t="s">
        <v>1691</v>
      </c>
      <c r="J362" s="135"/>
      <c r="K362" s="18" t="s">
        <v>570</v>
      </c>
      <c r="L362" s="134" t="s">
        <v>570</v>
      </c>
      <c r="M362" s="134" t="s">
        <v>364</v>
      </c>
      <c r="N362" s="134" t="s">
        <v>364</v>
      </c>
      <c r="O362" s="134" t="s">
        <v>570</v>
      </c>
      <c r="P362" s="449"/>
      <c r="Q362" s="179"/>
      <c r="R362" s="179"/>
      <c r="S362" s="179"/>
      <c r="T362" s="500" t="e">
        <f>_xlfn.XLOOKUP(H362,#REF!,#REF!,0,0)</f>
        <v>#REF!</v>
      </c>
    </row>
    <row r="363" spans="1:20" x14ac:dyDescent="0.4">
      <c r="A363" s="135" t="s">
        <v>570</v>
      </c>
      <c r="B363" s="135" t="s">
        <v>1692</v>
      </c>
      <c r="C363" s="135"/>
      <c r="D363" s="135" t="s">
        <v>567</v>
      </c>
      <c r="E363" s="19" t="s">
        <v>1671</v>
      </c>
      <c r="F363" s="20">
        <v>42145</v>
      </c>
      <c r="G363" s="19" t="s">
        <v>1693</v>
      </c>
      <c r="H363" s="19">
        <v>60047</v>
      </c>
      <c r="I363" s="135" t="s">
        <v>1694</v>
      </c>
      <c r="J363" s="135" t="s">
        <v>1695</v>
      </c>
      <c r="K363" s="18" t="s">
        <v>570</v>
      </c>
      <c r="L363" s="134" t="s">
        <v>570</v>
      </c>
      <c r="M363" s="134" t="s">
        <v>364</v>
      </c>
      <c r="N363" s="134" t="s">
        <v>364</v>
      </c>
      <c r="O363" s="134" t="s">
        <v>570</v>
      </c>
      <c r="P363" s="449"/>
      <c r="Q363" s="179"/>
      <c r="R363" s="179"/>
      <c r="S363" s="179"/>
      <c r="T363" s="500" t="e">
        <f>_xlfn.XLOOKUP(H363,#REF!,#REF!,0,0)</f>
        <v>#REF!</v>
      </c>
    </row>
    <row r="364" spans="1:20" x14ac:dyDescent="0.4">
      <c r="A364" s="135" t="s">
        <v>570</v>
      </c>
      <c r="B364" s="135" t="s">
        <v>1696</v>
      </c>
      <c r="C364" s="135"/>
      <c r="D364" s="135" t="s">
        <v>567</v>
      </c>
      <c r="E364" s="19" t="s">
        <v>1671</v>
      </c>
      <c r="F364" s="135">
        <v>42212</v>
      </c>
      <c r="G364" s="19" t="s">
        <v>51</v>
      </c>
      <c r="H364" s="19">
        <v>60249</v>
      </c>
      <c r="I364" s="135" t="s">
        <v>1697</v>
      </c>
      <c r="J364" s="135" t="s">
        <v>1698</v>
      </c>
      <c r="K364" s="18" t="s">
        <v>570</v>
      </c>
      <c r="L364" s="134" t="s">
        <v>570</v>
      </c>
      <c r="M364" s="134" t="s">
        <v>364</v>
      </c>
      <c r="N364" s="134" t="s">
        <v>364</v>
      </c>
      <c r="O364" s="134" t="s">
        <v>570</v>
      </c>
      <c r="P364" s="449"/>
      <c r="Q364" s="179"/>
      <c r="R364" s="179"/>
      <c r="S364" s="179"/>
      <c r="T364" s="500" t="e">
        <f>_xlfn.XLOOKUP(H364,#REF!,#REF!,0,0)</f>
        <v>#REF!</v>
      </c>
    </row>
    <row r="365" spans="1:20" x14ac:dyDescent="0.4">
      <c r="A365" s="135" t="s">
        <v>570</v>
      </c>
      <c r="B365" s="135" t="s">
        <v>1699</v>
      </c>
      <c r="C365" s="135"/>
      <c r="D365" s="135" t="s">
        <v>567</v>
      </c>
      <c r="E365" s="19" t="s">
        <v>1671</v>
      </c>
      <c r="F365" s="20">
        <v>42212</v>
      </c>
      <c r="G365" s="19" t="s">
        <v>1700</v>
      </c>
      <c r="H365" s="19">
        <v>60253</v>
      </c>
      <c r="I365" s="135" t="s">
        <v>1701</v>
      </c>
      <c r="J365" s="135"/>
      <c r="K365" s="18" t="s">
        <v>570</v>
      </c>
      <c r="L365" s="134" t="s">
        <v>570</v>
      </c>
      <c r="M365" s="134" t="s">
        <v>364</v>
      </c>
      <c r="N365" s="134" t="s">
        <v>364</v>
      </c>
      <c r="O365" s="134" t="s">
        <v>570</v>
      </c>
      <c r="P365" s="449"/>
      <c r="Q365" s="179"/>
      <c r="R365" s="179"/>
      <c r="S365" s="179"/>
      <c r="T365" s="500" t="e">
        <f>_xlfn.XLOOKUP(H365,#REF!,#REF!,0,0)</f>
        <v>#REF!</v>
      </c>
    </row>
    <row r="366" spans="1:20" x14ac:dyDescent="0.4">
      <c r="A366" s="135" t="s">
        <v>570</v>
      </c>
      <c r="B366" s="135" t="s">
        <v>1702</v>
      </c>
      <c r="C366" s="135"/>
      <c r="D366" s="135" t="s">
        <v>567</v>
      </c>
      <c r="E366" s="19" t="s">
        <v>1262</v>
      </c>
      <c r="F366" s="10">
        <v>42039</v>
      </c>
      <c r="G366" s="19" t="s">
        <v>1518</v>
      </c>
      <c r="H366" s="19">
        <v>59826</v>
      </c>
      <c r="I366" s="134" t="s">
        <v>1519</v>
      </c>
      <c r="J366" s="134" t="s">
        <v>1520</v>
      </c>
      <c r="K366" s="18" t="s">
        <v>570</v>
      </c>
      <c r="L366" s="134" t="s">
        <v>570</v>
      </c>
      <c r="M366" s="134" t="s">
        <v>364</v>
      </c>
      <c r="N366" s="134" t="s">
        <v>364</v>
      </c>
      <c r="O366" s="134" t="s">
        <v>570</v>
      </c>
      <c r="P366" s="449"/>
      <c r="Q366" s="179"/>
      <c r="R366" s="179"/>
      <c r="S366" s="179"/>
      <c r="T366" s="500" t="e">
        <f>_xlfn.XLOOKUP(H366,#REF!,#REF!,0,0)</f>
        <v>#REF!</v>
      </c>
    </row>
    <row r="367" spans="1:20" x14ac:dyDescent="0.4">
      <c r="A367" s="135" t="s">
        <v>570</v>
      </c>
      <c r="B367" s="135" t="s">
        <v>1703</v>
      </c>
      <c r="C367" s="135"/>
      <c r="D367" s="135" t="s">
        <v>567</v>
      </c>
      <c r="E367" s="19" t="s">
        <v>1671</v>
      </c>
      <c r="F367" s="135">
        <v>42212</v>
      </c>
      <c r="G367" s="19" t="s">
        <v>1704</v>
      </c>
      <c r="H367" s="19">
        <v>60250</v>
      </c>
      <c r="I367" s="135" t="s">
        <v>1705</v>
      </c>
      <c r="J367" s="135" t="s">
        <v>1706</v>
      </c>
      <c r="K367" s="18" t="s">
        <v>570</v>
      </c>
      <c r="L367" s="134" t="s">
        <v>570</v>
      </c>
      <c r="M367" s="134" t="s">
        <v>364</v>
      </c>
      <c r="N367" s="134" t="s">
        <v>364</v>
      </c>
      <c r="O367" s="134" t="s">
        <v>570</v>
      </c>
      <c r="P367" s="449"/>
      <c r="Q367" s="179"/>
      <c r="R367" s="179"/>
      <c r="S367" s="179"/>
      <c r="T367" s="500" t="e">
        <f>_xlfn.XLOOKUP(H367,#REF!,#REF!,0,0)</f>
        <v>#REF!</v>
      </c>
    </row>
    <row r="368" spans="1:20" x14ac:dyDescent="0.4">
      <c r="A368" s="135" t="s">
        <v>570</v>
      </c>
      <c r="B368" s="135" t="s">
        <v>1707</v>
      </c>
      <c r="C368" s="135"/>
      <c r="D368" s="135" t="s">
        <v>567</v>
      </c>
      <c r="E368" s="19" t="s">
        <v>1671</v>
      </c>
      <c r="F368" s="135">
        <v>42145</v>
      </c>
      <c r="G368" s="19" t="s">
        <v>1708</v>
      </c>
      <c r="H368" s="19">
        <v>60050</v>
      </c>
      <c r="I368" s="135" t="s">
        <v>1709</v>
      </c>
      <c r="J368" s="135" t="s">
        <v>1710</v>
      </c>
      <c r="K368" s="18" t="s">
        <v>570</v>
      </c>
      <c r="L368" s="134" t="s">
        <v>570</v>
      </c>
      <c r="M368" s="134" t="s">
        <v>364</v>
      </c>
      <c r="N368" s="134" t="s">
        <v>364</v>
      </c>
      <c r="O368" s="134" t="s">
        <v>570</v>
      </c>
      <c r="P368" s="449"/>
      <c r="Q368" s="179"/>
      <c r="R368" s="179"/>
      <c r="S368" s="179"/>
      <c r="T368" s="500" t="e">
        <f>_xlfn.XLOOKUP(H368,#REF!,#REF!,0,0)</f>
        <v>#REF!</v>
      </c>
    </row>
    <row r="369" spans="1:20" x14ac:dyDescent="0.4">
      <c r="A369" s="135" t="s">
        <v>570</v>
      </c>
      <c r="B369" s="135" t="s">
        <v>1711</v>
      </c>
      <c r="C369" s="135"/>
      <c r="D369" s="135" t="s">
        <v>567</v>
      </c>
      <c r="E369" s="19" t="s">
        <v>1671</v>
      </c>
      <c r="F369" s="135">
        <v>42212</v>
      </c>
      <c r="G369" s="19" t="s">
        <v>1712</v>
      </c>
      <c r="H369" s="19">
        <v>60255</v>
      </c>
      <c r="I369" s="135" t="s">
        <v>1713</v>
      </c>
      <c r="J369" s="135" t="s">
        <v>1714</v>
      </c>
      <c r="K369" s="18" t="s">
        <v>570</v>
      </c>
      <c r="L369" s="134" t="s">
        <v>570</v>
      </c>
      <c r="M369" s="134" t="s">
        <v>364</v>
      </c>
      <c r="N369" s="134" t="s">
        <v>364</v>
      </c>
      <c r="O369" s="134" t="s">
        <v>570</v>
      </c>
      <c r="P369" s="449"/>
      <c r="Q369" s="179"/>
      <c r="R369" s="179"/>
      <c r="S369" s="179"/>
      <c r="T369" s="500" t="e">
        <f>_xlfn.XLOOKUP(H369,#REF!,#REF!,0,0)</f>
        <v>#REF!</v>
      </c>
    </row>
    <row r="370" spans="1:20" x14ac:dyDescent="0.4">
      <c r="A370" s="135" t="s">
        <v>570</v>
      </c>
      <c r="B370" s="134" t="s">
        <v>1715</v>
      </c>
      <c r="C370" s="134"/>
      <c r="D370" s="135" t="s">
        <v>567</v>
      </c>
      <c r="E370" s="19" t="s">
        <v>1671</v>
      </c>
      <c r="F370" s="20">
        <v>42212</v>
      </c>
      <c r="G370" s="19" t="s">
        <v>1716</v>
      </c>
      <c r="H370" s="19">
        <v>60266</v>
      </c>
      <c r="I370" s="135" t="s">
        <v>1717</v>
      </c>
      <c r="J370" s="135" t="s">
        <v>1718</v>
      </c>
      <c r="K370" s="18" t="s">
        <v>570</v>
      </c>
      <c r="L370" s="134" t="s">
        <v>570</v>
      </c>
      <c r="M370" s="134" t="s">
        <v>364</v>
      </c>
      <c r="N370" s="134" t="s">
        <v>364</v>
      </c>
      <c r="O370" s="134" t="s">
        <v>570</v>
      </c>
      <c r="P370" s="449"/>
      <c r="Q370" s="179"/>
      <c r="R370" s="179"/>
      <c r="S370" s="179"/>
      <c r="T370" s="500" t="e">
        <f>_xlfn.XLOOKUP(H370,#REF!,#REF!,0,0)</f>
        <v>#REF!</v>
      </c>
    </row>
    <row r="371" spans="1:20" x14ac:dyDescent="0.4">
      <c r="A371" s="135" t="s">
        <v>570</v>
      </c>
      <c r="B371" s="135" t="s">
        <v>1719</v>
      </c>
      <c r="C371" s="135"/>
      <c r="D371" s="135" t="s">
        <v>567</v>
      </c>
      <c r="E371" s="19" t="s">
        <v>1671</v>
      </c>
      <c r="F371" s="20">
        <v>42212</v>
      </c>
      <c r="G371" s="19" t="s">
        <v>1720</v>
      </c>
      <c r="H371" s="19">
        <v>60258</v>
      </c>
      <c r="I371" s="135" t="s">
        <v>1721</v>
      </c>
      <c r="J371" s="135" t="s">
        <v>1722</v>
      </c>
      <c r="K371" s="18" t="s">
        <v>570</v>
      </c>
      <c r="L371" s="134" t="s">
        <v>570</v>
      </c>
      <c r="M371" s="134" t="s">
        <v>364</v>
      </c>
      <c r="N371" s="134" t="s">
        <v>364</v>
      </c>
      <c r="O371" s="134" t="s">
        <v>570</v>
      </c>
      <c r="P371" s="449"/>
      <c r="Q371" s="179"/>
      <c r="R371" s="179"/>
      <c r="S371" s="179"/>
      <c r="T371" s="500" t="e">
        <f>_xlfn.XLOOKUP(H371,#REF!,#REF!,0,0)</f>
        <v>#REF!</v>
      </c>
    </row>
    <row r="372" spans="1:20" x14ac:dyDescent="0.4">
      <c r="A372" s="135" t="s">
        <v>570</v>
      </c>
      <c r="B372" s="135" t="s">
        <v>1723</v>
      </c>
      <c r="C372" s="135"/>
      <c r="D372" s="135" t="s">
        <v>567</v>
      </c>
      <c r="E372" s="19" t="s">
        <v>1671</v>
      </c>
      <c r="F372" s="135">
        <v>42212</v>
      </c>
      <c r="G372" s="19" t="s">
        <v>1724</v>
      </c>
      <c r="H372" s="19">
        <v>60259</v>
      </c>
      <c r="I372" s="135" t="s">
        <v>1725</v>
      </c>
      <c r="J372" s="135" t="s">
        <v>1726</v>
      </c>
      <c r="K372" s="18" t="s">
        <v>570</v>
      </c>
      <c r="L372" s="134" t="s">
        <v>570</v>
      </c>
      <c r="M372" s="134" t="s">
        <v>364</v>
      </c>
      <c r="N372" s="134" t="s">
        <v>364</v>
      </c>
      <c r="O372" s="134" t="s">
        <v>570</v>
      </c>
      <c r="P372" s="449"/>
      <c r="Q372" s="179"/>
      <c r="R372" s="179"/>
      <c r="S372" s="179"/>
      <c r="T372" s="500" t="e">
        <f>_xlfn.XLOOKUP(H372,#REF!,#REF!,0,0)</f>
        <v>#REF!</v>
      </c>
    </row>
    <row r="373" spans="1:20" x14ac:dyDescent="0.4">
      <c r="A373" s="135" t="s">
        <v>570</v>
      </c>
      <c r="B373" s="135" t="s">
        <v>1727</v>
      </c>
      <c r="C373" s="135"/>
      <c r="D373" s="135" t="s">
        <v>567</v>
      </c>
      <c r="E373" s="19" t="s">
        <v>1671</v>
      </c>
      <c r="F373" s="20">
        <v>42145</v>
      </c>
      <c r="G373" s="19" t="s">
        <v>1728</v>
      </c>
      <c r="H373" s="19">
        <v>60054</v>
      </c>
      <c r="I373" s="135" t="s">
        <v>1729</v>
      </c>
      <c r="J373" s="135" t="s">
        <v>1730</v>
      </c>
      <c r="K373" s="18" t="s">
        <v>570</v>
      </c>
      <c r="L373" s="134" t="s">
        <v>570</v>
      </c>
      <c r="M373" s="134" t="s">
        <v>364</v>
      </c>
      <c r="N373" s="134" t="s">
        <v>364</v>
      </c>
      <c r="O373" s="134" t="s">
        <v>570</v>
      </c>
      <c r="P373" s="449"/>
      <c r="Q373" s="179"/>
      <c r="R373" s="179"/>
      <c r="S373" s="179"/>
      <c r="T373" s="500" t="e">
        <f>_xlfn.XLOOKUP(H373,#REF!,#REF!,0,0)</f>
        <v>#REF!</v>
      </c>
    </row>
    <row r="374" spans="1:20" x14ac:dyDescent="0.4">
      <c r="A374" s="135" t="s">
        <v>570</v>
      </c>
      <c r="B374" s="135" t="s">
        <v>1731</v>
      </c>
      <c r="C374" s="135"/>
      <c r="D374" s="135" t="s">
        <v>567</v>
      </c>
      <c r="E374" s="19" t="s">
        <v>1671</v>
      </c>
      <c r="F374" s="135">
        <v>42212</v>
      </c>
      <c r="G374" s="19" t="s">
        <v>1732</v>
      </c>
      <c r="H374" s="19">
        <v>60251</v>
      </c>
      <c r="I374" s="135" t="s">
        <v>1733</v>
      </c>
      <c r="J374" s="135"/>
      <c r="K374" s="18" t="s">
        <v>570</v>
      </c>
      <c r="L374" s="134" t="s">
        <v>570</v>
      </c>
      <c r="M374" s="134" t="s">
        <v>364</v>
      </c>
      <c r="N374" s="134" t="s">
        <v>364</v>
      </c>
      <c r="O374" s="134" t="s">
        <v>570</v>
      </c>
      <c r="P374" s="449"/>
      <c r="Q374" s="179"/>
      <c r="R374" s="179"/>
      <c r="S374" s="179"/>
      <c r="T374" s="500" t="e">
        <f>_xlfn.XLOOKUP(H374,#REF!,#REF!,0,0)</f>
        <v>#REF!</v>
      </c>
    </row>
    <row r="375" spans="1:20" x14ac:dyDescent="0.4">
      <c r="A375" s="135" t="s">
        <v>570</v>
      </c>
      <c r="B375" s="135" t="s">
        <v>1734</v>
      </c>
      <c r="C375" s="135"/>
      <c r="D375" s="135" t="s">
        <v>567</v>
      </c>
      <c r="E375" s="19" t="s">
        <v>1671</v>
      </c>
      <c r="F375" s="135">
        <v>42265</v>
      </c>
      <c r="G375" s="19" t="s">
        <v>1735</v>
      </c>
      <c r="H375" s="19">
        <v>60448</v>
      </c>
      <c r="I375" s="135" t="s">
        <v>1736</v>
      </c>
      <c r="J375" s="135" t="s">
        <v>1737</v>
      </c>
      <c r="K375" s="18" t="s">
        <v>570</v>
      </c>
      <c r="L375" s="134" t="s">
        <v>570</v>
      </c>
      <c r="M375" s="134" t="s">
        <v>364</v>
      </c>
      <c r="N375" s="134" t="s">
        <v>364</v>
      </c>
      <c r="O375" s="134" t="s">
        <v>570</v>
      </c>
      <c r="P375" s="449"/>
      <c r="Q375" s="179"/>
      <c r="R375" s="179"/>
      <c r="S375" s="179"/>
      <c r="T375" s="500" t="e">
        <f>_xlfn.XLOOKUP(H375,#REF!,#REF!,0,0)</f>
        <v>#REF!</v>
      </c>
    </row>
    <row r="376" spans="1:20" x14ac:dyDescent="0.4">
      <c r="A376" s="135" t="s">
        <v>570</v>
      </c>
      <c r="B376" s="135" t="s">
        <v>1738</v>
      </c>
      <c r="C376" s="135"/>
      <c r="D376" s="135" t="s">
        <v>567</v>
      </c>
      <c r="E376" s="19" t="s">
        <v>1671</v>
      </c>
      <c r="F376" s="20">
        <v>42212</v>
      </c>
      <c r="G376" s="19" t="s">
        <v>762</v>
      </c>
      <c r="H376" s="19">
        <v>60260</v>
      </c>
      <c r="I376" s="135" t="s">
        <v>1739</v>
      </c>
      <c r="J376" s="135" t="s">
        <v>763</v>
      </c>
      <c r="K376" s="18" t="s">
        <v>570</v>
      </c>
      <c r="L376" s="134" t="s">
        <v>570</v>
      </c>
      <c r="M376" s="134" t="s">
        <v>364</v>
      </c>
      <c r="N376" s="134" t="s">
        <v>364</v>
      </c>
      <c r="O376" s="134" t="s">
        <v>570</v>
      </c>
      <c r="P376" s="449"/>
      <c r="Q376" s="179"/>
      <c r="R376" s="179"/>
      <c r="S376" s="179"/>
      <c r="T376" s="500" t="e">
        <f>_xlfn.XLOOKUP(H376,#REF!,#REF!,0,0)</f>
        <v>#REF!</v>
      </c>
    </row>
    <row r="377" spans="1:20" x14ac:dyDescent="0.4">
      <c r="A377" s="135" t="s">
        <v>570</v>
      </c>
      <c r="B377" s="135" t="s">
        <v>1740</v>
      </c>
      <c r="C377" s="135"/>
      <c r="D377" s="135" t="s">
        <v>567</v>
      </c>
      <c r="E377" s="19" t="s">
        <v>1671</v>
      </c>
      <c r="F377" s="20">
        <v>42265</v>
      </c>
      <c r="G377" s="19" t="s">
        <v>1741</v>
      </c>
      <c r="H377" s="19">
        <v>60447</v>
      </c>
      <c r="I377" s="135" t="s">
        <v>1742</v>
      </c>
      <c r="J377" s="135" t="s">
        <v>1743</v>
      </c>
      <c r="K377" s="18" t="s">
        <v>570</v>
      </c>
      <c r="L377" s="134" t="s">
        <v>570</v>
      </c>
      <c r="M377" s="134" t="s">
        <v>364</v>
      </c>
      <c r="N377" s="134" t="s">
        <v>364</v>
      </c>
      <c r="O377" s="134" t="s">
        <v>570</v>
      </c>
      <c r="P377" s="449"/>
      <c r="Q377" s="179"/>
      <c r="R377" s="179"/>
      <c r="S377" s="179"/>
      <c r="T377" s="500" t="e">
        <f>_xlfn.XLOOKUP(H377,#REF!,#REF!,0,0)</f>
        <v>#REF!</v>
      </c>
    </row>
    <row r="378" spans="1:20" x14ac:dyDescent="0.4">
      <c r="A378" s="135" t="s">
        <v>570</v>
      </c>
      <c r="B378" s="135" t="s">
        <v>1744</v>
      </c>
      <c r="C378" s="135"/>
      <c r="D378" s="135" t="s">
        <v>567</v>
      </c>
      <c r="E378" s="19" t="s">
        <v>1671</v>
      </c>
      <c r="F378" s="20">
        <v>42265</v>
      </c>
      <c r="G378" s="19" t="s">
        <v>1745</v>
      </c>
      <c r="H378" s="19">
        <v>60446</v>
      </c>
      <c r="I378" s="135" t="s">
        <v>1746</v>
      </c>
      <c r="J378" s="135" t="s">
        <v>1747</v>
      </c>
      <c r="K378" s="18" t="s">
        <v>570</v>
      </c>
      <c r="L378" s="134" t="s">
        <v>570</v>
      </c>
      <c r="M378" s="134" t="s">
        <v>364</v>
      </c>
      <c r="N378" s="134" t="s">
        <v>364</v>
      </c>
      <c r="O378" s="134" t="s">
        <v>570</v>
      </c>
      <c r="P378" s="449"/>
      <c r="Q378" s="179"/>
      <c r="R378" s="179"/>
      <c r="S378" s="179"/>
      <c r="T378" s="500" t="e">
        <f>_xlfn.XLOOKUP(H378,#REF!,#REF!,0,0)</f>
        <v>#REF!</v>
      </c>
    </row>
    <row r="379" spans="1:20" x14ac:dyDescent="0.4">
      <c r="A379" s="135" t="s">
        <v>570</v>
      </c>
      <c r="B379" s="135" t="s">
        <v>1748</v>
      </c>
      <c r="C379" s="135"/>
      <c r="D379" s="135" t="s">
        <v>567</v>
      </c>
      <c r="E379" s="19" t="s">
        <v>1671</v>
      </c>
      <c r="F379" s="20">
        <v>42265</v>
      </c>
      <c r="G379" s="19" t="s">
        <v>1749</v>
      </c>
      <c r="H379" s="19">
        <v>60449</v>
      </c>
      <c r="I379" s="135" t="s">
        <v>1750</v>
      </c>
      <c r="J379" s="135" t="s">
        <v>1751</v>
      </c>
      <c r="K379" s="18" t="s">
        <v>570</v>
      </c>
      <c r="L379" s="134" t="s">
        <v>570</v>
      </c>
      <c r="M379" s="134" t="s">
        <v>364</v>
      </c>
      <c r="N379" s="134" t="s">
        <v>364</v>
      </c>
      <c r="O379" s="134" t="s">
        <v>570</v>
      </c>
      <c r="P379" s="449"/>
      <c r="Q379" s="179"/>
      <c r="R379" s="179"/>
      <c r="S379" s="179"/>
      <c r="T379" s="500" t="e">
        <f>_xlfn.XLOOKUP(H379,#REF!,#REF!,0,0)</f>
        <v>#REF!</v>
      </c>
    </row>
    <row r="380" spans="1:20" x14ac:dyDescent="0.4">
      <c r="A380" s="135" t="s">
        <v>570</v>
      </c>
      <c r="B380" s="135" t="s">
        <v>1748</v>
      </c>
      <c r="C380" s="135"/>
      <c r="D380" s="135" t="s">
        <v>567</v>
      </c>
      <c r="E380" s="19" t="s">
        <v>1671</v>
      </c>
      <c r="F380" s="135">
        <v>42265</v>
      </c>
      <c r="G380" s="19" t="s">
        <v>1752</v>
      </c>
      <c r="H380" s="19">
        <v>60450</v>
      </c>
      <c r="I380" s="135" t="s">
        <v>1753</v>
      </c>
      <c r="J380" s="135" t="s">
        <v>1754</v>
      </c>
      <c r="K380" s="18" t="s">
        <v>570</v>
      </c>
      <c r="L380" s="134" t="s">
        <v>570</v>
      </c>
      <c r="M380" s="134" t="s">
        <v>364</v>
      </c>
      <c r="N380" s="134" t="s">
        <v>364</v>
      </c>
      <c r="O380" s="134" t="s">
        <v>570</v>
      </c>
      <c r="P380" s="449"/>
      <c r="Q380" s="179"/>
      <c r="R380" s="179"/>
      <c r="S380" s="179"/>
      <c r="T380" s="500" t="e">
        <f>_xlfn.XLOOKUP(H380,#REF!,#REF!,0,0)</f>
        <v>#REF!</v>
      </c>
    </row>
    <row r="381" spans="1:20" x14ac:dyDescent="0.4">
      <c r="A381" s="135" t="s">
        <v>570</v>
      </c>
      <c r="B381" s="135" t="s">
        <v>1755</v>
      </c>
      <c r="C381" s="135"/>
      <c r="D381" s="135" t="s">
        <v>567</v>
      </c>
      <c r="E381" s="19" t="s">
        <v>1671</v>
      </c>
      <c r="F381" s="135">
        <v>42212</v>
      </c>
      <c r="G381" s="19" t="s">
        <v>1756</v>
      </c>
      <c r="H381" s="19">
        <v>60252</v>
      </c>
      <c r="I381" s="135" t="s">
        <v>1757</v>
      </c>
      <c r="J381" s="135"/>
      <c r="K381" s="18" t="s">
        <v>570</v>
      </c>
      <c r="L381" s="134" t="s">
        <v>570</v>
      </c>
      <c r="M381" s="134" t="s">
        <v>364</v>
      </c>
      <c r="N381" s="134" t="s">
        <v>364</v>
      </c>
      <c r="O381" s="134" t="s">
        <v>570</v>
      </c>
      <c r="P381" s="449"/>
      <c r="Q381" s="179"/>
      <c r="R381" s="179"/>
      <c r="S381" s="179"/>
      <c r="T381" s="500" t="e">
        <f>_xlfn.XLOOKUP(H381,#REF!,#REF!,0,0)</f>
        <v>#REF!</v>
      </c>
    </row>
    <row r="382" spans="1:20" x14ac:dyDescent="0.4">
      <c r="A382" s="135" t="s">
        <v>570</v>
      </c>
      <c r="B382" s="135" t="s">
        <v>1758</v>
      </c>
      <c r="C382" s="135"/>
      <c r="D382" s="135" t="s">
        <v>567</v>
      </c>
      <c r="E382" s="19" t="s">
        <v>1671</v>
      </c>
      <c r="F382" s="20">
        <v>42265</v>
      </c>
      <c r="G382" s="19" t="s">
        <v>1759</v>
      </c>
      <c r="H382" s="19">
        <v>60445</v>
      </c>
      <c r="I382" s="135" t="s">
        <v>1760</v>
      </c>
      <c r="J382" s="135" t="s">
        <v>1761</v>
      </c>
      <c r="K382" s="18" t="s">
        <v>570</v>
      </c>
      <c r="L382" s="134" t="s">
        <v>570</v>
      </c>
      <c r="M382" s="134" t="s">
        <v>364</v>
      </c>
      <c r="N382" s="134" t="s">
        <v>364</v>
      </c>
      <c r="O382" s="134" t="s">
        <v>570</v>
      </c>
      <c r="P382" s="449"/>
      <c r="Q382" s="179"/>
      <c r="R382" s="179"/>
      <c r="S382" s="179"/>
      <c r="T382" s="500" t="e">
        <f>_xlfn.XLOOKUP(H382,#REF!,#REF!,0,0)</f>
        <v>#REF!</v>
      </c>
    </row>
    <row r="383" spans="1:20" x14ac:dyDescent="0.4">
      <c r="A383" s="135" t="s">
        <v>570</v>
      </c>
      <c r="B383" s="135" t="s">
        <v>1762</v>
      </c>
      <c r="C383" s="135"/>
      <c r="D383" s="135" t="s">
        <v>567</v>
      </c>
      <c r="E383" s="19" t="s">
        <v>1671</v>
      </c>
      <c r="F383" s="135">
        <v>42212</v>
      </c>
      <c r="G383" s="19" t="s">
        <v>1763</v>
      </c>
      <c r="H383" s="19">
        <v>60261</v>
      </c>
      <c r="I383" s="135" t="s">
        <v>1764</v>
      </c>
      <c r="J383" s="135" t="s">
        <v>1765</v>
      </c>
      <c r="K383" s="18" t="s">
        <v>570</v>
      </c>
      <c r="L383" s="134" t="s">
        <v>570</v>
      </c>
      <c r="M383" s="134" t="s">
        <v>364</v>
      </c>
      <c r="N383" s="134" t="s">
        <v>364</v>
      </c>
      <c r="O383" s="134" t="s">
        <v>570</v>
      </c>
      <c r="P383" s="449"/>
      <c r="Q383" s="179"/>
      <c r="R383" s="179"/>
      <c r="S383" s="179"/>
      <c r="T383" s="500" t="e">
        <f>_xlfn.XLOOKUP(H383,#REF!,#REF!,0,0)</f>
        <v>#REF!</v>
      </c>
    </row>
    <row r="384" spans="1:20" x14ac:dyDescent="0.4">
      <c r="A384" s="135" t="s">
        <v>570</v>
      </c>
      <c r="B384" s="135" t="s">
        <v>1766</v>
      </c>
      <c r="C384" s="135"/>
      <c r="D384" s="135" t="s">
        <v>567</v>
      </c>
      <c r="E384" s="19" t="s">
        <v>1671</v>
      </c>
      <c r="F384" s="20">
        <v>42212</v>
      </c>
      <c r="G384" s="19" t="s">
        <v>1767</v>
      </c>
      <c r="H384" s="19">
        <v>60257</v>
      </c>
      <c r="I384" s="135" t="s">
        <v>1768</v>
      </c>
      <c r="J384" s="135" t="s">
        <v>1769</v>
      </c>
      <c r="K384" s="18" t="s">
        <v>570</v>
      </c>
      <c r="L384" s="134" t="s">
        <v>570</v>
      </c>
      <c r="M384" s="134" t="s">
        <v>364</v>
      </c>
      <c r="N384" s="134" t="s">
        <v>364</v>
      </c>
      <c r="O384" s="134" t="s">
        <v>570</v>
      </c>
      <c r="P384" s="449"/>
      <c r="Q384" s="179"/>
      <c r="R384" s="179"/>
      <c r="S384" s="179"/>
      <c r="T384" s="500" t="e">
        <f>_xlfn.XLOOKUP(H384,#REF!,#REF!,0,0)</f>
        <v>#REF!</v>
      </c>
    </row>
    <row r="385" spans="1:20" x14ac:dyDescent="0.4">
      <c r="A385" s="135" t="s">
        <v>570</v>
      </c>
      <c r="B385" s="135" t="s">
        <v>1770</v>
      </c>
      <c r="C385" s="135"/>
      <c r="D385" s="135" t="s">
        <v>567</v>
      </c>
      <c r="E385" s="19" t="s">
        <v>1671</v>
      </c>
      <c r="F385" s="20">
        <v>42212</v>
      </c>
      <c r="G385" s="19" t="s">
        <v>1771</v>
      </c>
      <c r="H385" s="19">
        <v>60248</v>
      </c>
      <c r="I385" s="135" t="s">
        <v>1772</v>
      </c>
      <c r="J385" s="135"/>
      <c r="K385" s="19" t="s">
        <v>570</v>
      </c>
      <c r="L385" s="135" t="s">
        <v>570</v>
      </c>
      <c r="M385" s="135" t="s">
        <v>570</v>
      </c>
      <c r="N385" s="135" t="s">
        <v>570</v>
      </c>
      <c r="O385" s="135" t="s">
        <v>570</v>
      </c>
      <c r="P385" s="449"/>
      <c r="Q385" s="179"/>
      <c r="R385" s="179"/>
      <c r="S385" s="179"/>
      <c r="T385" s="500" t="e">
        <f>_xlfn.XLOOKUP(H385,#REF!,#REF!,0,0)</f>
        <v>#REF!</v>
      </c>
    </row>
    <row r="386" spans="1:20" x14ac:dyDescent="0.4">
      <c r="A386" s="135" t="s">
        <v>570</v>
      </c>
      <c r="B386" s="135" t="s">
        <v>1773</v>
      </c>
      <c r="C386" s="135"/>
      <c r="D386" s="135" t="s">
        <v>567</v>
      </c>
      <c r="E386" s="19" t="s">
        <v>1671</v>
      </c>
      <c r="F386" s="20">
        <v>42212</v>
      </c>
      <c r="G386" s="19" t="s">
        <v>1774</v>
      </c>
      <c r="H386" s="19">
        <v>60262</v>
      </c>
      <c r="I386" s="135" t="s">
        <v>1775</v>
      </c>
      <c r="J386" s="135"/>
      <c r="K386" s="19" t="s">
        <v>570</v>
      </c>
      <c r="L386" s="135" t="s">
        <v>570</v>
      </c>
      <c r="M386" s="135" t="s">
        <v>570</v>
      </c>
      <c r="N386" s="135" t="s">
        <v>570</v>
      </c>
      <c r="O386" s="135" t="s">
        <v>570</v>
      </c>
      <c r="P386" s="449"/>
      <c r="Q386" s="179"/>
      <c r="R386" s="179"/>
      <c r="S386" s="179"/>
      <c r="T386" s="500" t="e">
        <f>_xlfn.XLOOKUP(H386,#REF!,#REF!,0,0)</f>
        <v>#REF!</v>
      </c>
    </row>
    <row r="387" spans="1:20" x14ac:dyDescent="0.4">
      <c r="A387" s="135" t="s">
        <v>570</v>
      </c>
      <c r="B387" s="135" t="s">
        <v>1776</v>
      </c>
      <c r="C387" s="135"/>
      <c r="D387" s="135" t="s">
        <v>567</v>
      </c>
      <c r="E387" s="19" t="s">
        <v>1671</v>
      </c>
      <c r="F387" s="135">
        <v>42212</v>
      </c>
      <c r="G387" s="19" t="s">
        <v>1777</v>
      </c>
      <c r="H387" s="19">
        <v>60264</v>
      </c>
      <c r="I387" s="135" t="s">
        <v>1778</v>
      </c>
      <c r="J387" s="135"/>
      <c r="K387" s="19" t="s">
        <v>570</v>
      </c>
      <c r="L387" s="135" t="s">
        <v>570</v>
      </c>
      <c r="M387" s="135" t="s">
        <v>570</v>
      </c>
      <c r="N387" s="135" t="s">
        <v>570</v>
      </c>
      <c r="O387" s="135" t="s">
        <v>570</v>
      </c>
      <c r="P387" s="449"/>
      <c r="Q387" s="179"/>
      <c r="R387" s="179"/>
      <c r="S387" s="179"/>
      <c r="T387" s="500" t="e">
        <f>_xlfn.XLOOKUP(H387,#REF!,#REF!,0,0)</f>
        <v>#REF!</v>
      </c>
    </row>
    <row r="388" spans="1:20" x14ac:dyDescent="0.4">
      <c r="A388" s="135" t="s">
        <v>570</v>
      </c>
      <c r="B388" s="135" t="s">
        <v>1779</v>
      </c>
      <c r="C388" s="135"/>
      <c r="D388" s="135" t="s">
        <v>567</v>
      </c>
      <c r="E388" s="19" t="s">
        <v>1671</v>
      </c>
      <c r="F388" s="20">
        <v>42212</v>
      </c>
      <c r="G388" s="19" t="s">
        <v>1780</v>
      </c>
      <c r="H388" s="19">
        <v>60263</v>
      </c>
      <c r="I388" s="135" t="s">
        <v>1781</v>
      </c>
      <c r="J388" s="135"/>
      <c r="K388" s="19" t="s">
        <v>570</v>
      </c>
      <c r="L388" s="135" t="s">
        <v>570</v>
      </c>
      <c r="M388" s="135" t="s">
        <v>570</v>
      </c>
      <c r="N388" s="135" t="s">
        <v>570</v>
      </c>
      <c r="O388" s="135" t="s">
        <v>570</v>
      </c>
      <c r="P388" s="449"/>
      <c r="Q388" s="179"/>
      <c r="R388" s="179"/>
      <c r="S388" s="179"/>
      <c r="T388" s="500" t="e">
        <f>_xlfn.XLOOKUP(H388,#REF!,#REF!,0,0)</f>
        <v>#REF!</v>
      </c>
    </row>
    <row r="389" spans="1:20" x14ac:dyDescent="0.4">
      <c r="A389" s="135" t="s">
        <v>570</v>
      </c>
      <c r="B389" s="135" t="s">
        <v>1782</v>
      </c>
      <c r="C389" s="135"/>
      <c r="D389" s="135" t="s">
        <v>567</v>
      </c>
      <c r="E389" s="19" t="s">
        <v>1671</v>
      </c>
      <c r="F389" s="20">
        <v>42212</v>
      </c>
      <c r="G389" s="19" t="s">
        <v>1783</v>
      </c>
      <c r="H389" s="19">
        <v>60247</v>
      </c>
      <c r="I389" s="135" t="s">
        <v>1784</v>
      </c>
      <c r="J389" s="135"/>
      <c r="K389" s="19" t="s">
        <v>570</v>
      </c>
      <c r="L389" s="135" t="s">
        <v>570</v>
      </c>
      <c r="M389" s="135" t="s">
        <v>570</v>
      </c>
      <c r="N389" s="135" t="s">
        <v>570</v>
      </c>
      <c r="O389" s="135" t="s">
        <v>570</v>
      </c>
      <c r="P389" s="449"/>
      <c r="Q389" s="179"/>
      <c r="R389" s="179"/>
      <c r="S389" s="179"/>
      <c r="T389" s="500" t="e">
        <f>_xlfn.XLOOKUP(H389,#REF!,#REF!,0,0)</f>
        <v>#REF!</v>
      </c>
    </row>
    <row r="390" spans="1:20" x14ac:dyDescent="0.4">
      <c r="A390" s="135" t="s">
        <v>570</v>
      </c>
      <c r="B390" s="135" t="s">
        <v>1785</v>
      </c>
      <c r="C390" s="135"/>
      <c r="D390" s="135" t="s">
        <v>567</v>
      </c>
      <c r="E390" s="19" t="s">
        <v>1671</v>
      </c>
      <c r="F390" s="20">
        <v>42265</v>
      </c>
      <c r="G390" s="19" t="s">
        <v>1786</v>
      </c>
      <c r="H390" s="19">
        <v>60444</v>
      </c>
      <c r="I390" s="135" t="s">
        <v>1787</v>
      </c>
      <c r="J390" s="135" t="s">
        <v>1788</v>
      </c>
      <c r="K390" s="19" t="s">
        <v>570</v>
      </c>
      <c r="L390" s="135" t="s">
        <v>570</v>
      </c>
      <c r="M390" s="135" t="s">
        <v>570</v>
      </c>
      <c r="N390" s="135" t="s">
        <v>570</v>
      </c>
      <c r="O390" s="135" t="s">
        <v>570</v>
      </c>
      <c r="P390" s="449"/>
      <c r="Q390" s="179"/>
      <c r="R390" s="179"/>
      <c r="S390" s="179"/>
      <c r="T390" s="500" t="e">
        <f>_xlfn.XLOOKUP(H390,#REF!,#REF!,0,0)</f>
        <v>#REF!</v>
      </c>
    </row>
    <row r="391" spans="1:20" x14ac:dyDescent="0.4">
      <c r="A391" s="135" t="s">
        <v>570</v>
      </c>
      <c r="B391" s="135" t="s">
        <v>1789</v>
      </c>
      <c r="C391" s="135"/>
      <c r="D391" s="135" t="s">
        <v>567</v>
      </c>
      <c r="E391" s="19" t="s">
        <v>1671</v>
      </c>
      <c r="F391" s="20">
        <v>42265</v>
      </c>
      <c r="G391" s="19" t="s">
        <v>1790</v>
      </c>
      <c r="H391" s="19">
        <v>60440</v>
      </c>
      <c r="I391" s="135" t="s">
        <v>1791</v>
      </c>
      <c r="J391" s="135" t="s">
        <v>1792</v>
      </c>
      <c r="K391" s="19" t="s">
        <v>570</v>
      </c>
      <c r="L391" s="135" t="s">
        <v>570</v>
      </c>
      <c r="M391" s="135" t="s">
        <v>570</v>
      </c>
      <c r="N391" s="135" t="s">
        <v>570</v>
      </c>
      <c r="O391" s="135" t="s">
        <v>570</v>
      </c>
      <c r="P391" s="449"/>
      <c r="Q391" s="179"/>
      <c r="R391" s="179"/>
      <c r="S391" s="179"/>
      <c r="T391" s="500" t="e">
        <f>_xlfn.XLOOKUP(H391,#REF!,#REF!,0,0)</f>
        <v>#REF!</v>
      </c>
    </row>
    <row r="392" spans="1:20" x14ac:dyDescent="0.4">
      <c r="A392" s="135" t="s">
        <v>570</v>
      </c>
      <c r="B392" s="135" t="s">
        <v>1793</v>
      </c>
      <c r="C392" s="135"/>
      <c r="D392" s="135" t="s">
        <v>567</v>
      </c>
      <c r="E392" s="19" t="s">
        <v>1671</v>
      </c>
      <c r="F392" s="135">
        <v>42265</v>
      </c>
      <c r="G392" s="19" t="s">
        <v>1794</v>
      </c>
      <c r="H392" s="19">
        <v>60441</v>
      </c>
      <c r="I392" s="135" t="s">
        <v>1795</v>
      </c>
      <c r="J392" s="135" t="s">
        <v>1796</v>
      </c>
      <c r="K392" s="19" t="s">
        <v>570</v>
      </c>
      <c r="L392" s="135" t="s">
        <v>570</v>
      </c>
      <c r="M392" s="135" t="s">
        <v>570</v>
      </c>
      <c r="N392" s="135" t="s">
        <v>570</v>
      </c>
      <c r="O392" s="135" t="s">
        <v>570</v>
      </c>
      <c r="P392" s="449"/>
      <c r="Q392" s="179"/>
      <c r="R392" s="179"/>
      <c r="S392" s="179"/>
      <c r="T392" s="500" t="e">
        <f>_xlfn.XLOOKUP(H392,#REF!,#REF!,0,0)</f>
        <v>#REF!</v>
      </c>
    </row>
    <row r="393" spans="1:20" x14ac:dyDescent="0.4">
      <c r="A393" s="135" t="s">
        <v>570</v>
      </c>
      <c r="B393" s="135" t="s">
        <v>1797</v>
      </c>
      <c r="C393" s="135"/>
      <c r="D393" s="135" t="s">
        <v>567</v>
      </c>
      <c r="E393" s="19" t="s">
        <v>1671</v>
      </c>
      <c r="F393" s="20">
        <v>42265</v>
      </c>
      <c r="G393" s="19" t="s">
        <v>1798</v>
      </c>
      <c r="H393" s="19">
        <v>60439</v>
      </c>
      <c r="I393" s="135" t="s">
        <v>1799</v>
      </c>
      <c r="J393" s="135" t="s">
        <v>1800</v>
      </c>
      <c r="K393" s="19" t="s">
        <v>570</v>
      </c>
      <c r="L393" s="135" t="s">
        <v>570</v>
      </c>
      <c r="M393" s="135" t="s">
        <v>570</v>
      </c>
      <c r="N393" s="135" t="s">
        <v>570</v>
      </c>
      <c r="O393" s="135" t="s">
        <v>570</v>
      </c>
      <c r="P393" s="449"/>
      <c r="Q393" s="179"/>
      <c r="R393" s="179"/>
      <c r="S393" s="179"/>
      <c r="T393" s="500" t="e">
        <f>_xlfn.XLOOKUP(H393,#REF!,#REF!,0,0)</f>
        <v>#REF!</v>
      </c>
    </row>
    <row r="394" spans="1:20" x14ac:dyDescent="0.4">
      <c r="A394" s="135" t="s">
        <v>570</v>
      </c>
      <c r="B394" s="135" t="s">
        <v>1801</v>
      </c>
      <c r="C394" s="135"/>
      <c r="D394" s="135" t="s">
        <v>567</v>
      </c>
      <c r="E394" s="19" t="s">
        <v>1671</v>
      </c>
      <c r="F394" s="20">
        <v>42265</v>
      </c>
      <c r="G394" s="19" t="s">
        <v>1802</v>
      </c>
      <c r="H394" s="19">
        <v>60442</v>
      </c>
      <c r="I394" s="135" t="s">
        <v>1803</v>
      </c>
      <c r="J394" s="135" t="s">
        <v>1804</v>
      </c>
      <c r="K394" s="19" t="s">
        <v>570</v>
      </c>
      <c r="L394" s="135" t="s">
        <v>570</v>
      </c>
      <c r="M394" s="135" t="s">
        <v>570</v>
      </c>
      <c r="N394" s="135" t="s">
        <v>570</v>
      </c>
      <c r="O394" s="135" t="s">
        <v>570</v>
      </c>
      <c r="P394" s="449"/>
      <c r="Q394" s="179"/>
      <c r="R394" s="179"/>
      <c r="S394" s="179"/>
      <c r="T394" s="500" t="e">
        <f>_xlfn.XLOOKUP(H394,#REF!,#REF!,0,0)</f>
        <v>#REF!</v>
      </c>
    </row>
    <row r="395" spans="1:20" x14ac:dyDescent="0.4">
      <c r="A395" s="135" t="s">
        <v>570</v>
      </c>
      <c r="B395" s="135" t="s">
        <v>1805</v>
      </c>
      <c r="C395" s="135"/>
      <c r="D395" s="135" t="s">
        <v>567</v>
      </c>
      <c r="E395" s="19" t="s">
        <v>1671</v>
      </c>
      <c r="F395" s="20">
        <v>42265</v>
      </c>
      <c r="G395" s="19" t="s">
        <v>1806</v>
      </c>
      <c r="H395" s="19">
        <v>60443</v>
      </c>
      <c r="I395" s="135" t="s">
        <v>1807</v>
      </c>
      <c r="J395" s="135" t="s">
        <v>1808</v>
      </c>
      <c r="K395" s="19" t="s">
        <v>570</v>
      </c>
      <c r="L395" s="135" t="s">
        <v>570</v>
      </c>
      <c r="M395" s="135" t="s">
        <v>570</v>
      </c>
      <c r="N395" s="135" t="s">
        <v>570</v>
      </c>
      <c r="O395" s="135" t="s">
        <v>570</v>
      </c>
      <c r="P395" s="449"/>
      <c r="Q395" s="179"/>
      <c r="R395" s="179"/>
      <c r="S395" s="179"/>
      <c r="T395" s="500" t="e">
        <f>_xlfn.XLOOKUP(H395,#REF!,#REF!,0,0)</f>
        <v>#REF!</v>
      </c>
    </row>
    <row r="396" spans="1:20" x14ac:dyDescent="0.4">
      <c r="A396" s="135" t="s">
        <v>570</v>
      </c>
      <c r="B396" s="135" t="s">
        <v>1809</v>
      </c>
      <c r="C396" s="135"/>
      <c r="D396" s="135" t="s">
        <v>567</v>
      </c>
      <c r="E396" s="19" t="s">
        <v>1671</v>
      </c>
      <c r="F396" s="20">
        <v>42342</v>
      </c>
      <c r="G396" s="19" t="s">
        <v>1810</v>
      </c>
      <c r="H396" s="19">
        <v>60610</v>
      </c>
      <c r="I396" s="135" t="s">
        <v>1811</v>
      </c>
      <c r="J396" s="135" t="s">
        <v>1812</v>
      </c>
      <c r="K396" s="19" t="s">
        <v>570</v>
      </c>
      <c r="L396" s="135" t="s">
        <v>570</v>
      </c>
      <c r="M396" s="135" t="s">
        <v>570</v>
      </c>
      <c r="N396" s="135" t="s">
        <v>570</v>
      </c>
      <c r="O396" s="135" t="s">
        <v>570</v>
      </c>
      <c r="P396" s="449"/>
      <c r="Q396" s="179"/>
      <c r="R396" s="179"/>
      <c r="S396" s="179"/>
      <c r="T396" s="500" t="e">
        <f>_xlfn.XLOOKUP(H396,#REF!,#REF!,0,0)</f>
        <v>#REF!</v>
      </c>
    </row>
    <row r="397" spans="1:20" x14ac:dyDescent="0.4">
      <c r="A397" s="135" t="s">
        <v>570</v>
      </c>
      <c r="B397" s="135" t="s">
        <v>1809</v>
      </c>
      <c r="C397" s="135"/>
      <c r="D397" s="135" t="s">
        <v>567</v>
      </c>
      <c r="E397" s="19" t="s">
        <v>1671</v>
      </c>
      <c r="F397" s="20">
        <v>42342</v>
      </c>
      <c r="G397" s="19" t="s">
        <v>1813</v>
      </c>
      <c r="H397" s="19">
        <v>60611</v>
      </c>
      <c r="I397" s="135" t="s">
        <v>1814</v>
      </c>
      <c r="J397" s="135" t="s">
        <v>1815</v>
      </c>
      <c r="K397" s="19" t="s">
        <v>570</v>
      </c>
      <c r="L397" s="135" t="s">
        <v>570</v>
      </c>
      <c r="M397" s="135" t="s">
        <v>570</v>
      </c>
      <c r="N397" s="135" t="s">
        <v>570</v>
      </c>
      <c r="O397" s="135" t="s">
        <v>570</v>
      </c>
      <c r="P397" s="449"/>
      <c r="Q397" s="179"/>
      <c r="R397" s="179"/>
      <c r="S397" s="179"/>
      <c r="T397" s="500" t="e">
        <f>_xlfn.XLOOKUP(H397,#REF!,#REF!,0,0)</f>
        <v>#REF!</v>
      </c>
    </row>
    <row r="398" spans="1:20" x14ac:dyDescent="0.4">
      <c r="A398" s="135" t="s">
        <v>570</v>
      </c>
      <c r="B398" s="135" t="s">
        <v>1816</v>
      </c>
      <c r="C398" s="135"/>
      <c r="D398" s="135" t="s">
        <v>567</v>
      </c>
      <c r="E398" s="19" t="s">
        <v>1671</v>
      </c>
      <c r="F398" s="135">
        <v>42265</v>
      </c>
      <c r="G398" s="19" t="s">
        <v>1817</v>
      </c>
      <c r="H398" s="19">
        <v>60438</v>
      </c>
      <c r="I398" s="135" t="s">
        <v>1818</v>
      </c>
      <c r="J398" s="135" t="s">
        <v>1819</v>
      </c>
      <c r="K398" s="19" t="s">
        <v>570</v>
      </c>
      <c r="L398" s="135" t="s">
        <v>570</v>
      </c>
      <c r="M398" s="135" t="s">
        <v>570</v>
      </c>
      <c r="N398" s="135" t="s">
        <v>570</v>
      </c>
      <c r="O398" s="135" t="s">
        <v>570</v>
      </c>
      <c r="P398" s="449"/>
      <c r="Q398" s="179"/>
      <c r="R398" s="179"/>
      <c r="S398" s="179"/>
      <c r="T398" s="500" t="e">
        <f>_xlfn.XLOOKUP(H398,#REF!,#REF!,0,0)</f>
        <v>#REF!</v>
      </c>
    </row>
    <row r="399" spans="1:20" x14ac:dyDescent="0.4">
      <c r="A399" s="135" t="s">
        <v>570</v>
      </c>
      <c r="B399" s="135" t="s">
        <v>1820</v>
      </c>
      <c r="C399" s="135"/>
      <c r="D399" s="135" t="s">
        <v>567</v>
      </c>
      <c r="E399" s="19" t="s">
        <v>1671</v>
      </c>
      <c r="F399" s="135">
        <v>42342</v>
      </c>
      <c r="G399" s="19" t="s">
        <v>1821</v>
      </c>
      <c r="H399" s="19">
        <v>60615</v>
      </c>
      <c r="I399" s="135" t="s">
        <v>1822</v>
      </c>
      <c r="J399" s="135" t="s">
        <v>1823</v>
      </c>
      <c r="K399" s="19" t="s">
        <v>570</v>
      </c>
      <c r="L399" s="135" t="s">
        <v>570</v>
      </c>
      <c r="M399" s="135" t="s">
        <v>570</v>
      </c>
      <c r="N399" s="135" t="s">
        <v>570</v>
      </c>
      <c r="O399" s="135" t="s">
        <v>570</v>
      </c>
      <c r="P399" s="449"/>
      <c r="Q399" s="179"/>
      <c r="R399" s="179"/>
      <c r="S399" s="179"/>
      <c r="T399" s="500" t="e">
        <f>_xlfn.XLOOKUP(H399,#REF!,#REF!,0,0)</f>
        <v>#REF!</v>
      </c>
    </row>
    <row r="400" spans="1:20" x14ac:dyDescent="0.4">
      <c r="A400" s="135" t="s">
        <v>570</v>
      </c>
      <c r="B400" s="135" t="s">
        <v>1824</v>
      </c>
      <c r="C400" s="135"/>
      <c r="D400" s="135" t="s">
        <v>567</v>
      </c>
      <c r="E400" s="19" t="s">
        <v>1671</v>
      </c>
      <c r="F400" s="135">
        <v>42342</v>
      </c>
      <c r="G400" s="19" t="s">
        <v>1825</v>
      </c>
      <c r="H400" s="19">
        <v>60616</v>
      </c>
      <c r="I400" s="135" t="s">
        <v>1826</v>
      </c>
      <c r="J400" s="135" t="s">
        <v>1827</v>
      </c>
      <c r="K400" s="19" t="s">
        <v>570</v>
      </c>
      <c r="L400" s="135" t="s">
        <v>570</v>
      </c>
      <c r="M400" s="135" t="s">
        <v>570</v>
      </c>
      <c r="N400" s="135" t="s">
        <v>570</v>
      </c>
      <c r="O400" s="135" t="s">
        <v>570</v>
      </c>
      <c r="P400" s="449"/>
      <c r="Q400" s="179"/>
      <c r="R400" s="179"/>
      <c r="S400" s="179"/>
      <c r="T400" s="500" t="e">
        <f>_xlfn.XLOOKUP(H400,#REF!,#REF!,0,0)</f>
        <v>#REF!</v>
      </c>
    </row>
    <row r="401" spans="1:20" x14ac:dyDescent="0.4">
      <c r="A401" s="135" t="s">
        <v>570</v>
      </c>
      <c r="B401" s="135" t="s">
        <v>1828</v>
      </c>
      <c r="C401" s="135"/>
      <c r="D401" s="135" t="s">
        <v>567</v>
      </c>
      <c r="E401" s="19" t="s">
        <v>1671</v>
      </c>
      <c r="F401" s="135">
        <v>42342</v>
      </c>
      <c r="G401" s="19" t="s">
        <v>1829</v>
      </c>
      <c r="H401" s="19">
        <v>60612</v>
      </c>
      <c r="I401" s="135" t="s">
        <v>1830</v>
      </c>
      <c r="J401" s="135" t="s">
        <v>1831</v>
      </c>
      <c r="K401" s="19" t="s">
        <v>570</v>
      </c>
      <c r="L401" s="135" t="s">
        <v>570</v>
      </c>
      <c r="M401" s="135" t="s">
        <v>570</v>
      </c>
      <c r="N401" s="135" t="s">
        <v>570</v>
      </c>
      <c r="O401" s="135" t="s">
        <v>570</v>
      </c>
      <c r="P401" s="449"/>
      <c r="Q401" s="179"/>
      <c r="R401" s="179"/>
      <c r="S401" s="179"/>
      <c r="T401" s="500" t="e">
        <f>_xlfn.XLOOKUP(H401,#REF!,#REF!,0,0)</f>
        <v>#REF!</v>
      </c>
    </row>
    <row r="402" spans="1:20" x14ac:dyDescent="0.4">
      <c r="A402" s="135" t="s">
        <v>570</v>
      </c>
      <c r="B402" s="135" t="s">
        <v>1832</v>
      </c>
      <c r="C402" s="135"/>
      <c r="D402" s="135" t="s">
        <v>567</v>
      </c>
      <c r="E402" s="19" t="s">
        <v>1671</v>
      </c>
      <c r="F402" s="135">
        <v>42342</v>
      </c>
      <c r="G402" s="19" t="s">
        <v>1833</v>
      </c>
      <c r="H402" s="19">
        <v>60613</v>
      </c>
      <c r="I402" s="135" t="s">
        <v>1834</v>
      </c>
      <c r="J402" s="135" t="s">
        <v>1835</v>
      </c>
      <c r="K402" s="19" t="s">
        <v>570</v>
      </c>
      <c r="L402" s="135" t="s">
        <v>570</v>
      </c>
      <c r="M402" s="135" t="s">
        <v>570</v>
      </c>
      <c r="N402" s="135" t="s">
        <v>570</v>
      </c>
      <c r="O402" s="135" t="s">
        <v>570</v>
      </c>
      <c r="P402" s="449"/>
      <c r="Q402" s="179"/>
      <c r="R402" s="179"/>
      <c r="S402" s="179"/>
      <c r="T402" s="500" t="e">
        <f>_xlfn.XLOOKUP(H402,#REF!,#REF!,0,0)</f>
        <v>#REF!</v>
      </c>
    </row>
    <row r="403" spans="1:20" x14ac:dyDescent="0.4">
      <c r="A403" s="135" t="s">
        <v>570</v>
      </c>
      <c r="B403" s="135" t="s">
        <v>1836</v>
      </c>
      <c r="C403" s="135"/>
      <c r="D403" s="135" t="s">
        <v>567</v>
      </c>
      <c r="E403" s="19" t="s">
        <v>1671</v>
      </c>
      <c r="F403" s="20">
        <v>42342</v>
      </c>
      <c r="G403" s="19" t="s">
        <v>1837</v>
      </c>
      <c r="H403" s="19">
        <v>60609</v>
      </c>
      <c r="I403" s="135" t="s">
        <v>1838</v>
      </c>
      <c r="J403" s="135" t="s">
        <v>1839</v>
      </c>
      <c r="K403" s="19" t="s">
        <v>570</v>
      </c>
      <c r="L403" s="135" t="s">
        <v>570</v>
      </c>
      <c r="M403" s="135" t="s">
        <v>570</v>
      </c>
      <c r="N403" s="135" t="s">
        <v>570</v>
      </c>
      <c r="O403" s="135" t="s">
        <v>570</v>
      </c>
      <c r="P403" s="449"/>
      <c r="Q403" s="179"/>
      <c r="R403" s="179"/>
      <c r="S403" s="179"/>
      <c r="T403" s="500" t="e">
        <f>_xlfn.XLOOKUP(H403,#REF!,#REF!,0,0)</f>
        <v>#REF!</v>
      </c>
    </row>
    <row r="404" spans="1:20" x14ac:dyDescent="0.4">
      <c r="A404" s="135" t="s">
        <v>570</v>
      </c>
      <c r="B404" s="135" t="s">
        <v>1840</v>
      </c>
      <c r="C404" s="135"/>
      <c r="D404" s="135" t="s">
        <v>567</v>
      </c>
      <c r="E404" s="19" t="s">
        <v>1671</v>
      </c>
      <c r="F404" s="20">
        <v>42342</v>
      </c>
      <c r="G404" s="19" t="s">
        <v>1841</v>
      </c>
      <c r="H404" s="19">
        <v>60603</v>
      </c>
      <c r="I404" s="135" t="s">
        <v>1842</v>
      </c>
      <c r="J404" s="135" t="s">
        <v>1843</v>
      </c>
      <c r="K404" s="19" t="s">
        <v>570</v>
      </c>
      <c r="L404" s="135" t="s">
        <v>570</v>
      </c>
      <c r="M404" s="135" t="s">
        <v>570</v>
      </c>
      <c r="N404" s="135" t="s">
        <v>570</v>
      </c>
      <c r="O404" s="135" t="s">
        <v>570</v>
      </c>
      <c r="P404" s="449"/>
      <c r="Q404" s="179"/>
      <c r="R404" s="179"/>
      <c r="S404" s="179"/>
      <c r="T404" s="500" t="e">
        <f>_xlfn.XLOOKUP(H404,#REF!,#REF!,0,0)</f>
        <v>#REF!</v>
      </c>
    </row>
    <row r="405" spans="1:20" x14ac:dyDescent="0.4">
      <c r="A405" s="135" t="s">
        <v>570</v>
      </c>
      <c r="B405" s="135" t="s">
        <v>1844</v>
      </c>
      <c r="C405" s="135"/>
      <c r="D405" s="135" t="s">
        <v>567</v>
      </c>
      <c r="E405" s="19" t="s">
        <v>1671</v>
      </c>
      <c r="F405" s="20">
        <v>42342</v>
      </c>
      <c r="G405" s="19" t="s">
        <v>1845</v>
      </c>
      <c r="H405" s="19">
        <v>60606</v>
      </c>
      <c r="I405" s="135" t="s">
        <v>1846</v>
      </c>
      <c r="J405" s="135" t="s">
        <v>1847</v>
      </c>
      <c r="K405" s="19" t="s">
        <v>570</v>
      </c>
      <c r="L405" s="135" t="s">
        <v>570</v>
      </c>
      <c r="M405" s="135" t="s">
        <v>570</v>
      </c>
      <c r="N405" s="135" t="s">
        <v>570</v>
      </c>
      <c r="O405" s="135" t="s">
        <v>570</v>
      </c>
      <c r="P405" s="449"/>
      <c r="Q405" s="179"/>
      <c r="R405" s="179"/>
      <c r="S405" s="179"/>
      <c r="T405" s="500" t="e">
        <f>_xlfn.XLOOKUP(H405,#REF!,#REF!,0,0)</f>
        <v>#REF!</v>
      </c>
    </row>
    <row r="406" spans="1:20" x14ac:dyDescent="0.4">
      <c r="A406" s="135" t="s">
        <v>570</v>
      </c>
      <c r="B406" s="135" t="s">
        <v>1848</v>
      </c>
      <c r="C406" s="135"/>
      <c r="D406" s="135" t="s">
        <v>567</v>
      </c>
      <c r="E406" s="19" t="s">
        <v>1671</v>
      </c>
      <c r="F406" s="20"/>
      <c r="G406" s="19" t="s">
        <v>1849</v>
      </c>
      <c r="H406" s="19">
        <v>59806</v>
      </c>
      <c r="I406" s="135"/>
      <c r="J406" s="135"/>
      <c r="K406" s="19" t="s">
        <v>570</v>
      </c>
      <c r="L406" s="135" t="s">
        <v>570</v>
      </c>
      <c r="M406" s="135" t="s">
        <v>570</v>
      </c>
      <c r="N406" s="135" t="s">
        <v>570</v>
      </c>
      <c r="O406" s="135" t="s">
        <v>570</v>
      </c>
      <c r="P406" s="449"/>
      <c r="Q406" s="179"/>
      <c r="R406" s="179"/>
      <c r="S406" s="179"/>
      <c r="T406" s="500" t="e">
        <f>_xlfn.XLOOKUP(H406,#REF!,#REF!,0,0)</f>
        <v>#REF!</v>
      </c>
    </row>
    <row r="407" spans="1:20" x14ac:dyDescent="0.4">
      <c r="A407" s="135" t="s">
        <v>570</v>
      </c>
      <c r="B407" s="135" t="s">
        <v>1850</v>
      </c>
      <c r="C407" s="135"/>
      <c r="D407" s="135" t="s">
        <v>567</v>
      </c>
      <c r="E407" s="19" t="s">
        <v>1671</v>
      </c>
      <c r="F407" s="20">
        <v>42342</v>
      </c>
      <c r="G407" s="19" t="s">
        <v>1851</v>
      </c>
      <c r="H407" s="19">
        <v>60599</v>
      </c>
      <c r="I407" s="135" t="s">
        <v>1852</v>
      </c>
      <c r="J407" s="135" t="s">
        <v>1853</v>
      </c>
      <c r="K407" s="19" t="s">
        <v>570</v>
      </c>
      <c r="L407" s="135" t="s">
        <v>570</v>
      </c>
      <c r="M407" s="135" t="s">
        <v>570</v>
      </c>
      <c r="N407" s="135" t="s">
        <v>570</v>
      </c>
      <c r="O407" s="135" t="s">
        <v>570</v>
      </c>
      <c r="P407" s="449"/>
      <c r="Q407" s="179"/>
      <c r="R407" s="179"/>
      <c r="S407" s="179"/>
      <c r="T407" s="500" t="e">
        <f>_xlfn.XLOOKUP(H407,#REF!,#REF!,0,0)</f>
        <v>#REF!</v>
      </c>
    </row>
    <row r="408" spans="1:20" x14ac:dyDescent="0.4">
      <c r="A408" s="135" t="s">
        <v>570</v>
      </c>
      <c r="B408" s="135" t="s">
        <v>1854</v>
      </c>
      <c r="C408" s="135"/>
      <c r="D408" s="135" t="s">
        <v>567</v>
      </c>
      <c r="E408" s="19" t="s">
        <v>1671</v>
      </c>
      <c r="F408" s="20">
        <v>42342</v>
      </c>
      <c r="G408" s="19" t="s">
        <v>1855</v>
      </c>
      <c r="H408" s="19">
        <v>60602</v>
      </c>
      <c r="I408" s="135" t="s">
        <v>1856</v>
      </c>
      <c r="J408" s="135" t="s">
        <v>1857</v>
      </c>
      <c r="K408" s="19" t="s">
        <v>570</v>
      </c>
      <c r="L408" s="135" t="s">
        <v>570</v>
      </c>
      <c r="M408" s="135" t="s">
        <v>570</v>
      </c>
      <c r="N408" s="135" t="s">
        <v>570</v>
      </c>
      <c r="O408" s="135" t="s">
        <v>570</v>
      </c>
      <c r="P408" s="449"/>
      <c r="Q408" s="179"/>
      <c r="R408" s="179"/>
      <c r="S408" s="179"/>
      <c r="T408" s="500" t="e">
        <f>_xlfn.XLOOKUP(H408,#REF!,#REF!,0,0)</f>
        <v>#REF!</v>
      </c>
    </row>
    <row r="409" spans="1:20" x14ac:dyDescent="0.4">
      <c r="A409" s="135" t="s">
        <v>570</v>
      </c>
      <c r="B409" s="135" t="s">
        <v>1858</v>
      </c>
      <c r="C409" s="135"/>
      <c r="D409" s="135" t="s">
        <v>567</v>
      </c>
      <c r="E409" s="19" t="s">
        <v>1671</v>
      </c>
      <c r="F409" s="20">
        <v>42342</v>
      </c>
      <c r="G409" s="19" t="s">
        <v>1859</v>
      </c>
      <c r="H409" s="19">
        <v>60597</v>
      </c>
      <c r="I409" s="135" t="s">
        <v>1860</v>
      </c>
      <c r="J409" s="135" t="s">
        <v>1861</v>
      </c>
      <c r="K409" s="19" t="s">
        <v>570</v>
      </c>
      <c r="L409" s="135" t="s">
        <v>570</v>
      </c>
      <c r="M409" s="135" t="s">
        <v>570</v>
      </c>
      <c r="N409" s="135" t="s">
        <v>570</v>
      </c>
      <c r="O409" s="135" t="s">
        <v>570</v>
      </c>
      <c r="P409" s="449"/>
      <c r="Q409" s="179"/>
      <c r="R409" s="179"/>
      <c r="S409" s="179"/>
      <c r="T409" s="500" t="e">
        <f>_xlfn.XLOOKUP(H409,#REF!,#REF!,0,0)</f>
        <v>#REF!</v>
      </c>
    </row>
    <row r="410" spans="1:20" x14ac:dyDescent="0.4">
      <c r="A410" s="135" t="s">
        <v>570</v>
      </c>
      <c r="B410" s="135" t="s">
        <v>1862</v>
      </c>
      <c r="C410" s="135"/>
      <c r="D410" s="135" t="s">
        <v>567</v>
      </c>
      <c r="E410" s="19" t="s">
        <v>1671</v>
      </c>
      <c r="F410" s="135">
        <v>42342</v>
      </c>
      <c r="G410" s="19" t="s">
        <v>1863</v>
      </c>
      <c r="H410" s="19">
        <v>60607</v>
      </c>
      <c r="I410" s="135" t="s">
        <v>1864</v>
      </c>
      <c r="J410" s="135" t="s">
        <v>1865</v>
      </c>
      <c r="K410" s="19" t="s">
        <v>570</v>
      </c>
      <c r="L410" s="135" t="s">
        <v>570</v>
      </c>
      <c r="M410" s="135" t="s">
        <v>570</v>
      </c>
      <c r="N410" s="135" t="s">
        <v>570</v>
      </c>
      <c r="O410" s="135" t="s">
        <v>570</v>
      </c>
      <c r="P410" s="449"/>
      <c r="Q410" s="179"/>
      <c r="R410" s="179"/>
      <c r="S410" s="179"/>
      <c r="T410" s="500" t="e">
        <f>_xlfn.XLOOKUP(H410,#REF!,#REF!,0,0)</f>
        <v>#REF!</v>
      </c>
    </row>
    <row r="411" spans="1:20" x14ac:dyDescent="0.4">
      <c r="A411" s="135" t="s">
        <v>570</v>
      </c>
      <c r="B411" s="135" t="s">
        <v>1866</v>
      </c>
      <c r="C411" s="135"/>
      <c r="D411" s="135" t="s">
        <v>567</v>
      </c>
      <c r="E411" s="19" t="s">
        <v>1671</v>
      </c>
      <c r="F411" s="20">
        <v>42342</v>
      </c>
      <c r="G411" s="19" t="s">
        <v>1867</v>
      </c>
      <c r="H411" s="19">
        <v>60598</v>
      </c>
      <c r="I411" s="135" t="s">
        <v>1868</v>
      </c>
      <c r="J411" s="135" t="s">
        <v>1869</v>
      </c>
      <c r="K411" s="19" t="s">
        <v>570</v>
      </c>
      <c r="L411" s="135" t="s">
        <v>570</v>
      </c>
      <c r="M411" s="135" t="s">
        <v>570</v>
      </c>
      <c r="N411" s="135" t="s">
        <v>570</v>
      </c>
      <c r="O411" s="135" t="s">
        <v>570</v>
      </c>
      <c r="P411" s="449"/>
      <c r="Q411" s="179"/>
      <c r="R411" s="179"/>
      <c r="S411" s="179"/>
      <c r="T411" s="500" t="e">
        <f>_xlfn.XLOOKUP(H411,#REF!,#REF!,0,0)</f>
        <v>#REF!</v>
      </c>
    </row>
    <row r="412" spans="1:20" x14ac:dyDescent="0.4">
      <c r="A412" s="135" t="s">
        <v>864</v>
      </c>
      <c r="B412" s="135" t="s">
        <v>1870</v>
      </c>
      <c r="C412" s="135"/>
      <c r="D412" s="135" t="s">
        <v>567</v>
      </c>
      <c r="E412" s="19" t="s">
        <v>1671</v>
      </c>
      <c r="F412" s="135">
        <v>42342</v>
      </c>
      <c r="G412" s="19" t="s">
        <v>1871</v>
      </c>
      <c r="H412" s="19">
        <v>60605</v>
      </c>
      <c r="I412" s="135" t="s">
        <v>1872</v>
      </c>
      <c r="J412" s="135" t="s">
        <v>1873</v>
      </c>
      <c r="K412" s="19" t="s">
        <v>570</v>
      </c>
      <c r="L412" s="135" t="s">
        <v>570</v>
      </c>
      <c r="M412" s="135" t="s">
        <v>570</v>
      </c>
      <c r="N412" s="135" t="s">
        <v>570</v>
      </c>
      <c r="O412" s="135" t="s">
        <v>570</v>
      </c>
      <c r="P412" s="449"/>
      <c r="Q412" s="179"/>
      <c r="R412" s="179"/>
      <c r="S412" s="179"/>
      <c r="T412" s="500" t="e">
        <f>_xlfn.XLOOKUP(H412,#REF!,#REF!,0,0)</f>
        <v>#REF!</v>
      </c>
    </row>
    <row r="413" spans="1:20" x14ac:dyDescent="0.4">
      <c r="A413" s="135" t="s">
        <v>864</v>
      </c>
      <c r="B413" s="135" t="s">
        <v>1874</v>
      </c>
      <c r="C413" s="135"/>
      <c r="D413" s="135" t="s">
        <v>567</v>
      </c>
      <c r="E413" s="19" t="s">
        <v>1671</v>
      </c>
      <c r="F413" s="20">
        <v>42342</v>
      </c>
      <c r="G413" s="19" t="s">
        <v>1875</v>
      </c>
      <c r="H413" s="19">
        <v>60600</v>
      </c>
      <c r="I413" s="135" t="s">
        <v>1876</v>
      </c>
      <c r="J413" s="135" t="s">
        <v>1877</v>
      </c>
      <c r="K413" s="19" t="s">
        <v>570</v>
      </c>
      <c r="L413" s="135" t="s">
        <v>570</v>
      </c>
      <c r="M413" s="135" t="s">
        <v>570</v>
      </c>
      <c r="N413" s="135" t="s">
        <v>570</v>
      </c>
      <c r="O413" s="135" t="s">
        <v>570</v>
      </c>
      <c r="P413" s="449"/>
      <c r="Q413" s="179"/>
      <c r="R413" s="179"/>
      <c r="S413" s="179"/>
      <c r="T413" s="500" t="e">
        <f>_xlfn.XLOOKUP(H413,#REF!,#REF!,0,0)</f>
        <v>#REF!</v>
      </c>
    </row>
    <row r="414" spans="1:20" x14ac:dyDescent="0.4">
      <c r="A414" s="134" t="s">
        <v>864</v>
      </c>
      <c r="B414" s="134" t="s">
        <v>1878</v>
      </c>
      <c r="C414" s="134"/>
      <c r="D414" s="134" t="s">
        <v>567</v>
      </c>
      <c r="E414" s="18" t="s">
        <v>1671</v>
      </c>
      <c r="F414" s="10">
        <v>42342</v>
      </c>
      <c r="G414" s="18" t="s">
        <v>1879</v>
      </c>
      <c r="H414" s="18">
        <v>60601</v>
      </c>
      <c r="I414" s="134" t="s">
        <v>1880</v>
      </c>
      <c r="J414" s="134" t="s">
        <v>1881</v>
      </c>
      <c r="K414" s="19" t="s">
        <v>570</v>
      </c>
      <c r="L414" s="135" t="s">
        <v>570</v>
      </c>
      <c r="M414" s="135" t="s">
        <v>570</v>
      </c>
      <c r="N414" s="135" t="s">
        <v>570</v>
      </c>
      <c r="O414" s="135" t="s">
        <v>570</v>
      </c>
      <c r="P414" s="449"/>
      <c r="Q414" s="179"/>
      <c r="R414" s="179"/>
      <c r="S414" s="179"/>
      <c r="T414" s="500" t="e">
        <f>_xlfn.XLOOKUP(H414,#REF!,#REF!,0,0)</f>
        <v>#REF!</v>
      </c>
    </row>
    <row r="415" spans="1:20" x14ac:dyDescent="0.4">
      <c r="A415" s="135" t="s">
        <v>570</v>
      </c>
      <c r="B415" s="135" t="s">
        <v>1882</v>
      </c>
      <c r="C415" s="135"/>
      <c r="D415" s="135" t="s">
        <v>567</v>
      </c>
      <c r="E415" s="19" t="s">
        <v>1671</v>
      </c>
      <c r="F415" s="135">
        <v>42342</v>
      </c>
      <c r="G415" s="19" t="s">
        <v>1883</v>
      </c>
      <c r="H415" s="19">
        <v>60614</v>
      </c>
      <c r="I415" s="135" t="s">
        <v>1884</v>
      </c>
      <c r="J415" s="135" t="s">
        <v>1885</v>
      </c>
      <c r="K415" s="19" t="s">
        <v>570</v>
      </c>
      <c r="L415" s="135" t="s">
        <v>570</v>
      </c>
      <c r="M415" s="135" t="s">
        <v>570</v>
      </c>
      <c r="N415" s="135" t="s">
        <v>570</v>
      </c>
      <c r="O415" s="135" t="s">
        <v>570</v>
      </c>
      <c r="P415" s="449"/>
      <c r="Q415" s="179"/>
      <c r="R415" s="179"/>
      <c r="S415" s="179"/>
      <c r="T415" s="500" t="e">
        <f>_xlfn.XLOOKUP(H415,#REF!,#REF!,0,0)</f>
        <v>#REF!</v>
      </c>
    </row>
    <row r="416" spans="1:20" x14ac:dyDescent="0.4">
      <c r="A416" s="134" t="s">
        <v>570</v>
      </c>
      <c r="B416" s="135" t="s">
        <v>1886</v>
      </c>
      <c r="C416" s="135"/>
      <c r="D416" s="135" t="s">
        <v>567</v>
      </c>
      <c r="E416" s="19" t="s">
        <v>1671</v>
      </c>
      <c r="F416" s="20">
        <v>42342</v>
      </c>
      <c r="G416" s="19" t="s">
        <v>1887</v>
      </c>
      <c r="H416" s="19">
        <v>60604</v>
      </c>
      <c r="I416" s="135" t="s">
        <v>1888</v>
      </c>
      <c r="J416" s="135" t="s">
        <v>1889</v>
      </c>
      <c r="K416" s="19" t="s">
        <v>570</v>
      </c>
      <c r="L416" s="135" t="s">
        <v>570</v>
      </c>
      <c r="M416" s="135" t="s">
        <v>570</v>
      </c>
      <c r="N416" s="135" t="s">
        <v>570</v>
      </c>
      <c r="O416" s="135" t="s">
        <v>570</v>
      </c>
      <c r="P416" s="449"/>
      <c r="Q416" s="179"/>
      <c r="R416" s="179"/>
      <c r="S416" s="179"/>
      <c r="T416" s="500" t="e">
        <f>_xlfn.XLOOKUP(H416,#REF!,#REF!,0,0)</f>
        <v>#REF!</v>
      </c>
    </row>
    <row r="417" spans="1:20" x14ac:dyDescent="0.4">
      <c r="A417" s="135" t="s">
        <v>570</v>
      </c>
      <c r="B417" s="135" t="s">
        <v>1890</v>
      </c>
      <c r="C417" s="135"/>
      <c r="D417" s="135" t="s">
        <v>567</v>
      </c>
      <c r="E417" s="19" t="s">
        <v>1671</v>
      </c>
      <c r="F417" s="135">
        <v>42342</v>
      </c>
      <c r="G417" s="19" t="s">
        <v>1891</v>
      </c>
      <c r="H417" s="19">
        <v>60608</v>
      </c>
      <c r="I417" s="135" t="s">
        <v>1892</v>
      </c>
      <c r="J417" s="135" t="s">
        <v>1893</v>
      </c>
      <c r="K417" s="19" t="s">
        <v>570</v>
      </c>
      <c r="L417" s="135" t="s">
        <v>570</v>
      </c>
      <c r="M417" s="135" t="s">
        <v>570</v>
      </c>
      <c r="N417" s="135" t="s">
        <v>570</v>
      </c>
      <c r="O417" s="135" t="s">
        <v>570</v>
      </c>
      <c r="P417" s="449"/>
      <c r="Q417" s="179"/>
      <c r="R417" s="179"/>
      <c r="S417" s="179"/>
      <c r="T417" s="500" t="e">
        <f>_xlfn.XLOOKUP(H417,#REF!,#REF!,0,0)</f>
        <v>#REF!</v>
      </c>
    </row>
    <row r="418" spans="1:20" x14ac:dyDescent="0.4">
      <c r="A418" s="135" t="s">
        <v>570</v>
      </c>
      <c r="B418" s="135" t="s">
        <v>1894</v>
      </c>
      <c r="C418" s="135"/>
      <c r="D418" s="135" t="s">
        <v>567</v>
      </c>
      <c r="E418" s="19" t="s">
        <v>1895</v>
      </c>
      <c r="F418" s="135">
        <v>42436</v>
      </c>
      <c r="G418" s="19" t="s">
        <v>1896</v>
      </c>
      <c r="H418" s="19">
        <v>63531</v>
      </c>
      <c r="I418" s="135" t="s">
        <v>1897</v>
      </c>
      <c r="J418" s="135" t="s">
        <v>1898</v>
      </c>
      <c r="K418" s="19" t="s">
        <v>570</v>
      </c>
      <c r="L418" s="135" t="s">
        <v>570</v>
      </c>
      <c r="M418" s="135" t="s">
        <v>570</v>
      </c>
      <c r="N418" s="135" t="s">
        <v>570</v>
      </c>
      <c r="O418" s="135" t="s">
        <v>570</v>
      </c>
      <c r="P418" s="449"/>
      <c r="Q418" s="179"/>
      <c r="R418" s="179"/>
      <c r="S418" s="179"/>
      <c r="T418" s="500" t="e">
        <f>_xlfn.XLOOKUP(H418,#REF!,#REF!,0,0)</f>
        <v>#REF!</v>
      </c>
    </row>
    <row r="419" spans="1:20" x14ac:dyDescent="0.4">
      <c r="A419" s="135" t="s">
        <v>570</v>
      </c>
      <c r="B419" s="135" t="s">
        <v>1899</v>
      </c>
      <c r="C419" s="135"/>
      <c r="D419" s="135" t="s">
        <v>567</v>
      </c>
      <c r="E419" s="19" t="s">
        <v>1895</v>
      </c>
      <c r="F419" s="20">
        <v>42436</v>
      </c>
      <c r="G419" s="19" t="s">
        <v>1900</v>
      </c>
      <c r="H419" s="19">
        <v>63532</v>
      </c>
      <c r="I419" s="135" t="s">
        <v>1901</v>
      </c>
      <c r="J419" s="135" t="s">
        <v>1902</v>
      </c>
      <c r="K419" s="19" t="s">
        <v>570</v>
      </c>
      <c r="L419" s="135" t="s">
        <v>570</v>
      </c>
      <c r="M419" s="135" t="s">
        <v>570</v>
      </c>
      <c r="N419" s="135" t="s">
        <v>570</v>
      </c>
      <c r="O419" s="135" t="s">
        <v>570</v>
      </c>
      <c r="P419" s="449"/>
      <c r="Q419" s="179"/>
      <c r="R419" s="179"/>
      <c r="S419" s="179"/>
      <c r="T419" s="500" t="e">
        <f>_xlfn.XLOOKUP(H419,#REF!,#REF!,0,0)</f>
        <v>#REF!</v>
      </c>
    </row>
    <row r="420" spans="1:20" x14ac:dyDescent="0.4">
      <c r="A420" s="135" t="s">
        <v>570</v>
      </c>
      <c r="B420" s="135" t="s">
        <v>1903</v>
      </c>
      <c r="C420" s="135"/>
      <c r="D420" s="135" t="s">
        <v>567</v>
      </c>
      <c r="E420" s="19" t="s">
        <v>1895</v>
      </c>
      <c r="F420" s="20">
        <v>42436</v>
      </c>
      <c r="G420" s="19" t="s">
        <v>1904</v>
      </c>
      <c r="H420" s="19">
        <v>63533</v>
      </c>
      <c r="I420" s="135" t="s">
        <v>1905</v>
      </c>
      <c r="J420" s="135" t="s">
        <v>1906</v>
      </c>
      <c r="K420" s="19" t="s">
        <v>570</v>
      </c>
      <c r="L420" s="135" t="s">
        <v>570</v>
      </c>
      <c r="M420" s="135" t="s">
        <v>570</v>
      </c>
      <c r="N420" s="135" t="s">
        <v>570</v>
      </c>
      <c r="O420" s="135" t="s">
        <v>570</v>
      </c>
      <c r="P420" s="421"/>
      <c r="Q420" s="179"/>
      <c r="R420" s="179"/>
      <c r="S420" s="179"/>
      <c r="T420" s="500" t="e">
        <f>_xlfn.XLOOKUP(H420,#REF!,#REF!,0,0)</f>
        <v>#REF!</v>
      </c>
    </row>
    <row r="421" spans="1:20" x14ac:dyDescent="0.4">
      <c r="A421" s="135" t="s">
        <v>570</v>
      </c>
      <c r="B421" s="135" t="s">
        <v>1907</v>
      </c>
      <c r="C421" s="135"/>
      <c r="D421" s="135" t="s">
        <v>567</v>
      </c>
      <c r="E421" s="19" t="s">
        <v>1895</v>
      </c>
      <c r="F421" s="20">
        <v>42436</v>
      </c>
      <c r="G421" s="19" t="s">
        <v>1908</v>
      </c>
      <c r="H421" s="19">
        <v>63535</v>
      </c>
      <c r="I421" s="135" t="s">
        <v>1909</v>
      </c>
      <c r="J421" s="135" t="s">
        <v>1910</v>
      </c>
      <c r="K421" s="19" t="s">
        <v>570</v>
      </c>
      <c r="L421" s="135" t="s">
        <v>570</v>
      </c>
      <c r="M421" s="135" t="s">
        <v>570</v>
      </c>
      <c r="N421" s="135" t="s">
        <v>570</v>
      </c>
      <c r="O421" s="135" t="s">
        <v>570</v>
      </c>
      <c r="P421" s="449"/>
      <c r="Q421" s="179"/>
      <c r="R421" s="179"/>
      <c r="S421" s="179"/>
      <c r="T421" s="500" t="e">
        <f>_xlfn.XLOOKUP(H421,#REF!,#REF!,0,0)</f>
        <v>#REF!</v>
      </c>
    </row>
    <row r="422" spans="1:20" x14ac:dyDescent="0.4">
      <c r="A422" s="135" t="s">
        <v>570</v>
      </c>
      <c r="B422" s="135" t="s">
        <v>1911</v>
      </c>
      <c r="C422" s="135"/>
      <c r="D422" s="135" t="s">
        <v>567</v>
      </c>
      <c r="E422" s="19" t="s">
        <v>1895</v>
      </c>
      <c r="F422" s="20">
        <v>42436</v>
      </c>
      <c r="G422" s="19" t="s">
        <v>1912</v>
      </c>
      <c r="H422" s="19">
        <v>63528</v>
      </c>
      <c r="I422" s="135" t="s">
        <v>1913</v>
      </c>
      <c r="J422" s="135" t="s">
        <v>1914</v>
      </c>
      <c r="K422" s="19" t="s">
        <v>570</v>
      </c>
      <c r="L422" s="135" t="s">
        <v>570</v>
      </c>
      <c r="M422" s="135" t="s">
        <v>570</v>
      </c>
      <c r="N422" s="135" t="s">
        <v>570</v>
      </c>
      <c r="O422" s="135" t="s">
        <v>570</v>
      </c>
      <c r="P422" s="449"/>
      <c r="Q422" s="179"/>
      <c r="R422" s="179"/>
      <c r="S422" s="179"/>
      <c r="T422" s="500" t="e">
        <f>_xlfn.XLOOKUP(H422,#REF!,#REF!,0,0)</f>
        <v>#REF!</v>
      </c>
    </row>
    <row r="423" spans="1:20" x14ac:dyDescent="0.4">
      <c r="A423" s="135" t="s">
        <v>570</v>
      </c>
      <c r="B423" s="135" t="s">
        <v>1915</v>
      </c>
      <c r="C423" s="135"/>
      <c r="D423" s="135" t="s">
        <v>567</v>
      </c>
      <c r="E423" s="19" t="s">
        <v>1895</v>
      </c>
      <c r="F423" s="20">
        <v>42436</v>
      </c>
      <c r="G423" s="19" t="s">
        <v>1916</v>
      </c>
      <c r="H423" s="19">
        <v>63525</v>
      </c>
      <c r="I423" s="135" t="s">
        <v>1917</v>
      </c>
      <c r="J423" s="135" t="s">
        <v>1918</v>
      </c>
      <c r="K423" s="19" t="s">
        <v>570</v>
      </c>
      <c r="L423" s="135" t="s">
        <v>570</v>
      </c>
      <c r="M423" s="135" t="s">
        <v>570</v>
      </c>
      <c r="N423" s="135" t="s">
        <v>570</v>
      </c>
      <c r="O423" s="135" t="s">
        <v>570</v>
      </c>
      <c r="P423" s="449"/>
      <c r="Q423" s="179"/>
      <c r="R423" s="179"/>
      <c r="S423" s="179"/>
      <c r="T423" s="500" t="e">
        <f>_xlfn.XLOOKUP(H423,#REF!,#REF!,0,0)</f>
        <v>#REF!</v>
      </c>
    </row>
    <row r="424" spans="1:20" x14ac:dyDescent="0.4">
      <c r="A424" s="135" t="s">
        <v>570</v>
      </c>
      <c r="B424" s="135" t="s">
        <v>1919</v>
      </c>
      <c r="C424" s="135"/>
      <c r="D424" s="135" t="s">
        <v>567</v>
      </c>
      <c r="E424" s="19" t="s">
        <v>1895</v>
      </c>
      <c r="F424" s="20">
        <v>42436</v>
      </c>
      <c r="G424" s="19" t="s">
        <v>1920</v>
      </c>
      <c r="H424" s="19">
        <v>63547</v>
      </c>
      <c r="I424" s="135" t="s">
        <v>1921</v>
      </c>
      <c r="J424" s="135" t="s">
        <v>1922</v>
      </c>
      <c r="K424" s="19" t="s">
        <v>570</v>
      </c>
      <c r="L424" s="135" t="s">
        <v>570</v>
      </c>
      <c r="M424" s="135" t="s">
        <v>570</v>
      </c>
      <c r="N424" s="135" t="s">
        <v>570</v>
      </c>
      <c r="O424" s="135" t="s">
        <v>570</v>
      </c>
      <c r="P424" s="449"/>
      <c r="Q424" s="179"/>
      <c r="R424" s="179"/>
      <c r="S424" s="179"/>
      <c r="T424" s="500" t="e">
        <f>_xlfn.XLOOKUP(H424,#REF!,#REF!,0,0)</f>
        <v>#REF!</v>
      </c>
    </row>
    <row r="425" spans="1:20" x14ac:dyDescent="0.4">
      <c r="A425" s="135" t="s">
        <v>570</v>
      </c>
      <c r="B425" s="135" t="s">
        <v>1923</v>
      </c>
      <c r="C425" s="135"/>
      <c r="D425" s="135" t="s">
        <v>567</v>
      </c>
      <c r="E425" s="19" t="s">
        <v>1895</v>
      </c>
      <c r="F425" s="135">
        <v>42436</v>
      </c>
      <c r="G425" s="19" t="s">
        <v>1924</v>
      </c>
      <c r="H425" s="19">
        <v>63527</v>
      </c>
      <c r="I425" s="135" t="s">
        <v>1925</v>
      </c>
      <c r="J425" s="135" t="s">
        <v>1926</v>
      </c>
      <c r="K425" s="19" t="s">
        <v>570</v>
      </c>
      <c r="L425" s="135" t="s">
        <v>570</v>
      </c>
      <c r="M425" s="135" t="s">
        <v>570</v>
      </c>
      <c r="N425" s="135" t="s">
        <v>570</v>
      </c>
      <c r="O425" s="135" t="s">
        <v>570</v>
      </c>
      <c r="P425" s="449"/>
      <c r="Q425" s="179"/>
      <c r="R425" s="179"/>
      <c r="S425" s="179"/>
      <c r="T425" s="500" t="e">
        <f>_xlfn.XLOOKUP(H425,#REF!,#REF!,0,0)</f>
        <v>#REF!</v>
      </c>
    </row>
    <row r="426" spans="1:20" x14ac:dyDescent="0.4">
      <c r="A426" s="135" t="s">
        <v>570</v>
      </c>
      <c r="B426" s="135" t="s">
        <v>1927</v>
      </c>
      <c r="C426" s="135"/>
      <c r="D426" s="135" t="s">
        <v>567</v>
      </c>
      <c r="E426" s="19" t="s">
        <v>1895</v>
      </c>
      <c r="F426" s="135">
        <v>42436</v>
      </c>
      <c r="G426" s="19" t="s">
        <v>1928</v>
      </c>
      <c r="H426" s="19">
        <v>63546</v>
      </c>
      <c r="I426" s="135" t="s">
        <v>1929</v>
      </c>
      <c r="J426" s="135" t="s">
        <v>1930</v>
      </c>
      <c r="K426" s="19" t="s">
        <v>570</v>
      </c>
      <c r="L426" s="135" t="s">
        <v>570</v>
      </c>
      <c r="M426" s="135" t="s">
        <v>570</v>
      </c>
      <c r="N426" s="135" t="s">
        <v>570</v>
      </c>
      <c r="O426" s="135" t="s">
        <v>570</v>
      </c>
      <c r="P426" s="449"/>
      <c r="Q426" s="179"/>
      <c r="R426" s="179"/>
      <c r="S426" s="179"/>
      <c r="T426" s="500" t="e">
        <f>_xlfn.XLOOKUP(H426,#REF!,#REF!,0,0)</f>
        <v>#REF!</v>
      </c>
    </row>
    <row r="427" spans="1:20" x14ac:dyDescent="0.4">
      <c r="A427" s="135" t="s">
        <v>570</v>
      </c>
      <c r="B427" s="135" t="s">
        <v>1931</v>
      </c>
      <c r="C427" s="135"/>
      <c r="D427" s="135" t="s">
        <v>567</v>
      </c>
      <c r="E427" s="19" t="s">
        <v>1895</v>
      </c>
      <c r="F427" s="20">
        <v>42436</v>
      </c>
      <c r="G427" s="19" t="s">
        <v>1932</v>
      </c>
      <c r="H427" s="19">
        <v>63526</v>
      </c>
      <c r="I427" s="135" t="s">
        <v>1933</v>
      </c>
      <c r="J427" s="135" t="s">
        <v>1934</v>
      </c>
      <c r="K427" s="19" t="s">
        <v>570</v>
      </c>
      <c r="L427" s="135" t="s">
        <v>570</v>
      </c>
      <c r="M427" s="135" t="s">
        <v>570</v>
      </c>
      <c r="N427" s="135" t="s">
        <v>570</v>
      </c>
      <c r="O427" s="135" t="s">
        <v>570</v>
      </c>
      <c r="P427" s="449"/>
      <c r="Q427" s="179"/>
      <c r="R427" s="179"/>
      <c r="S427" s="179"/>
      <c r="T427" s="500" t="e">
        <f>_xlfn.XLOOKUP(H427,#REF!,#REF!,0,0)</f>
        <v>#REF!</v>
      </c>
    </row>
    <row r="428" spans="1:20" x14ac:dyDescent="0.4">
      <c r="A428" s="135" t="s">
        <v>570</v>
      </c>
      <c r="B428" s="135" t="s">
        <v>1935</v>
      </c>
      <c r="C428" s="135"/>
      <c r="D428" s="135" t="s">
        <v>567</v>
      </c>
      <c r="E428" s="19" t="s">
        <v>1895</v>
      </c>
      <c r="F428" s="20">
        <v>42436</v>
      </c>
      <c r="G428" s="19" t="s">
        <v>1936</v>
      </c>
      <c r="H428" s="19">
        <v>63551</v>
      </c>
      <c r="I428" s="135" t="s">
        <v>1937</v>
      </c>
      <c r="J428" s="135" t="s">
        <v>1938</v>
      </c>
      <c r="K428" s="19" t="s">
        <v>570</v>
      </c>
      <c r="L428" s="135" t="s">
        <v>570</v>
      </c>
      <c r="M428" s="135" t="s">
        <v>570</v>
      </c>
      <c r="N428" s="135" t="s">
        <v>570</v>
      </c>
      <c r="O428" s="135" t="s">
        <v>570</v>
      </c>
      <c r="P428" s="449"/>
      <c r="Q428" s="179"/>
      <c r="R428" s="179"/>
      <c r="S428" s="179"/>
      <c r="T428" s="500" t="e">
        <f>_xlfn.XLOOKUP(H428,#REF!,#REF!,0,0)</f>
        <v>#REF!</v>
      </c>
    </row>
    <row r="429" spans="1:20" x14ac:dyDescent="0.4">
      <c r="A429" s="135" t="s">
        <v>570</v>
      </c>
      <c r="B429" s="135" t="s">
        <v>1939</v>
      </c>
      <c r="C429" s="135"/>
      <c r="D429" s="135" t="s">
        <v>567</v>
      </c>
      <c r="E429" s="19" t="s">
        <v>1895</v>
      </c>
      <c r="F429" s="20">
        <v>42436</v>
      </c>
      <c r="G429" s="19" t="s">
        <v>1940</v>
      </c>
      <c r="H429" s="19">
        <v>63550</v>
      </c>
      <c r="I429" s="135" t="s">
        <v>1941</v>
      </c>
      <c r="J429" s="135" t="s">
        <v>1942</v>
      </c>
      <c r="K429" s="19" t="s">
        <v>570</v>
      </c>
      <c r="L429" s="135" t="s">
        <v>570</v>
      </c>
      <c r="M429" s="135" t="s">
        <v>570</v>
      </c>
      <c r="N429" s="135" t="s">
        <v>570</v>
      </c>
      <c r="O429" s="135" t="s">
        <v>570</v>
      </c>
      <c r="P429" s="449"/>
      <c r="Q429" s="179"/>
      <c r="R429" s="179"/>
      <c r="S429" s="179"/>
      <c r="T429" s="500" t="e">
        <f>_xlfn.XLOOKUP(H429,#REF!,#REF!,0,0)</f>
        <v>#REF!</v>
      </c>
    </row>
    <row r="430" spans="1:20" x14ac:dyDescent="0.4">
      <c r="A430" s="135" t="s">
        <v>570</v>
      </c>
      <c r="B430" s="135" t="s">
        <v>1943</v>
      </c>
      <c r="C430" s="135"/>
      <c r="D430" s="135" t="s">
        <v>567</v>
      </c>
      <c r="E430" s="19" t="s">
        <v>1895</v>
      </c>
      <c r="F430" s="20">
        <v>42436</v>
      </c>
      <c r="G430" s="19" t="s">
        <v>1944</v>
      </c>
      <c r="H430" s="19">
        <v>63529</v>
      </c>
      <c r="I430" s="135" t="s">
        <v>1945</v>
      </c>
      <c r="J430" s="135" t="s">
        <v>1946</v>
      </c>
      <c r="K430" s="19" t="s">
        <v>570</v>
      </c>
      <c r="L430" s="135" t="s">
        <v>570</v>
      </c>
      <c r="M430" s="135" t="s">
        <v>570</v>
      </c>
      <c r="N430" s="135" t="s">
        <v>570</v>
      </c>
      <c r="O430" s="135" t="s">
        <v>570</v>
      </c>
      <c r="P430" s="449"/>
      <c r="Q430" s="179"/>
      <c r="R430" s="179"/>
      <c r="S430" s="179"/>
      <c r="T430" s="500" t="e">
        <f>_xlfn.XLOOKUP(H430,#REF!,#REF!,0,0)</f>
        <v>#REF!</v>
      </c>
    </row>
    <row r="431" spans="1:20" x14ac:dyDescent="0.4">
      <c r="A431" s="135" t="s">
        <v>570</v>
      </c>
      <c r="B431" s="135" t="s">
        <v>1947</v>
      </c>
      <c r="C431" s="135"/>
      <c r="D431" s="135" t="s">
        <v>567</v>
      </c>
      <c r="E431" s="19" t="s">
        <v>1895</v>
      </c>
      <c r="F431" s="20">
        <v>42436</v>
      </c>
      <c r="G431" s="19" t="s">
        <v>1948</v>
      </c>
      <c r="H431" s="19">
        <v>63545</v>
      </c>
      <c r="I431" s="135" t="s">
        <v>1949</v>
      </c>
      <c r="J431" s="135" t="s">
        <v>1950</v>
      </c>
      <c r="K431" s="19" t="s">
        <v>570</v>
      </c>
      <c r="L431" s="135" t="s">
        <v>570</v>
      </c>
      <c r="M431" s="135" t="s">
        <v>570</v>
      </c>
      <c r="N431" s="135" t="s">
        <v>570</v>
      </c>
      <c r="O431" s="135" t="s">
        <v>570</v>
      </c>
      <c r="P431" s="449"/>
      <c r="Q431" s="179"/>
      <c r="R431" s="179"/>
      <c r="S431" s="179"/>
      <c r="T431" s="500" t="e">
        <f>_xlfn.XLOOKUP(H431,#REF!,#REF!,0,0)</f>
        <v>#REF!</v>
      </c>
    </row>
    <row r="432" spans="1:20" x14ac:dyDescent="0.4">
      <c r="A432" s="135" t="s">
        <v>570</v>
      </c>
      <c r="B432" s="135" t="s">
        <v>1951</v>
      </c>
      <c r="C432" s="135"/>
      <c r="D432" s="135" t="s">
        <v>567</v>
      </c>
      <c r="E432" s="19" t="s">
        <v>1895</v>
      </c>
      <c r="F432" s="135">
        <v>42436</v>
      </c>
      <c r="G432" s="19" t="s">
        <v>1952</v>
      </c>
      <c r="H432" s="19">
        <v>63523</v>
      </c>
      <c r="I432" s="135" t="s">
        <v>1953</v>
      </c>
      <c r="J432" s="135" t="s">
        <v>1954</v>
      </c>
      <c r="K432" s="19" t="s">
        <v>570</v>
      </c>
      <c r="L432" s="135" t="s">
        <v>570</v>
      </c>
      <c r="M432" s="135" t="s">
        <v>570</v>
      </c>
      <c r="N432" s="135" t="s">
        <v>570</v>
      </c>
      <c r="O432" s="135" t="s">
        <v>570</v>
      </c>
      <c r="P432" s="449"/>
      <c r="Q432" s="179"/>
      <c r="R432" s="179"/>
      <c r="S432" s="179"/>
      <c r="T432" s="500" t="e">
        <f>_xlfn.XLOOKUP(H432,#REF!,#REF!,0,0)</f>
        <v>#REF!</v>
      </c>
    </row>
    <row r="433" spans="1:20" x14ac:dyDescent="0.4">
      <c r="A433" s="135" t="s">
        <v>570</v>
      </c>
      <c r="B433" s="135" t="s">
        <v>1955</v>
      </c>
      <c r="C433" s="135"/>
      <c r="D433" s="135" t="s">
        <v>567</v>
      </c>
      <c r="E433" s="19" t="s">
        <v>1895</v>
      </c>
      <c r="F433" s="20">
        <v>42436</v>
      </c>
      <c r="G433" s="19" t="s">
        <v>1956</v>
      </c>
      <c r="H433" s="19">
        <v>63548</v>
      </c>
      <c r="I433" s="135" t="s">
        <v>1957</v>
      </c>
      <c r="J433" s="135" t="s">
        <v>1958</v>
      </c>
      <c r="K433" s="19" t="s">
        <v>570</v>
      </c>
      <c r="L433" s="135" t="s">
        <v>570</v>
      </c>
      <c r="M433" s="135" t="s">
        <v>570</v>
      </c>
      <c r="N433" s="135" t="s">
        <v>570</v>
      </c>
      <c r="O433" s="135" t="s">
        <v>570</v>
      </c>
      <c r="P433" s="449"/>
      <c r="Q433" s="179"/>
      <c r="R433" s="179"/>
      <c r="S433" s="179"/>
      <c r="T433" s="500" t="e">
        <f>_xlfn.XLOOKUP(H433,#REF!,#REF!,0,0)</f>
        <v>#REF!</v>
      </c>
    </row>
    <row r="434" spans="1:20" x14ac:dyDescent="0.4">
      <c r="A434" s="135" t="s">
        <v>570</v>
      </c>
      <c r="B434" s="135" t="s">
        <v>1959</v>
      </c>
      <c r="C434" s="135"/>
      <c r="D434" s="135" t="s">
        <v>567</v>
      </c>
      <c r="E434" s="19" t="s">
        <v>1895</v>
      </c>
      <c r="F434" s="20">
        <v>42436</v>
      </c>
      <c r="G434" s="19" t="s">
        <v>1960</v>
      </c>
      <c r="H434" s="19">
        <v>63544</v>
      </c>
      <c r="I434" s="135" t="s">
        <v>1961</v>
      </c>
      <c r="J434" s="135" t="s">
        <v>1962</v>
      </c>
      <c r="K434" s="19" t="s">
        <v>570</v>
      </c>
      <c r="L434" s="135" t="s">
        <v>570</v>
      </c>
      <c r="M434" s="135" t="s">
        <v>570</v>
      </c>
      <c r="N434" s="135" t="s">
        <v>570</v>
      </c>
      <c r="O434" s="135" t="s">
        <v>570</v>
      </c>
      <c r="P434" s="449"/>
      <c r="Q434" s="179"/>
      <c r="R434" s="179"/>
      <c r="S434" s="179"/>
      <c r="T434" s="500" t="e">
        <f>_xlfn.XLOOKUP(H434,#REF!,#REF!,0,0)</f>
        <v>#REF!</v>
      </c>
    </row>
    <row r="435" spans="1:20" x14ac:dyDescent="0.4">
      <c r="A435" s="135" t="s">
        <v>570</v>
      </c>
      <c r="B435" s="135" t="s">
        <v>1963</v>
      </c>
      <c r="C435" s="135"/>
      <c r="D435" s="135" t="s">
        <v>567</v>
      </c>
      <c r="E435" s="19" t="s">
        <v>1895</v>
      </c>
      <c r="F435" s="20">
        <v>42436</v>
      </c>
      <c r="G435" s="19" t="s">
        <v>1964</v>
      </c>
      <c r="H435" s="19">
        <v>63549</v>
      </c>
      <c r="I435" s="135" t="s">
        <v>1965</v>
      </c>
      <c r="J435" s="135" t="s">
        <v>1966</v>
      </c>
      <c r="K435" s="19" t="s">
        <v>570</v>
      </c>
      <c r="L435" s="135" t="s">
        <v>570</v>
      </c>
      <c r="M435" s="135" t="s">
        <v>570</v>
      </c>
      <c r="N435" s="135" t="s">
        <v>570</v>
      </c>
      <c r="O435" s="135" t="s">
        <v>570</v>
      </c>
      <c r="P435" s="449"/>
      <c r="Q435" s="179"/>
      <c r="R435" s="179"/>
      <c r="S435" s="179"/>
      <c r="T435" s="500" t="e">
        <f>_xlfn.XLOOKUP(H435,#REF!,#REF!,0,0)</f>
        <v>#REF!</v>
      </c>
    </row>
    <row r="436" spans="1:20" x14ac:dyDescent="0.4">
      <c r="A436" s="135" t="s">
        <v>570</v>
      </c>
      <c r="B436" s="135" t="s">
        <v>1967</v>
      </c>
      <c r="C436" s="135"/>
      <c r="D436" s="135" t="s">
        <v>567</v>
      </c>
      <c r="E436" s="19" t="s">
        <v>1895</v>
      </c>
      <c r="F436" s="135">
        <v>42436</v>
      </c>
      <c r="G436" s="19" t="s">
        <v>1968</v>
      </c>
      <c r="H436" s="19">
        <v>63534</v>
      </c>
      <c r="I436" s="135" t="s">
        <v>1969</v>
      </c>
      <c r="J436" s="135" t="s">
        <v>1970</v>
      </c>
      <c r="K436" s="19" t="s">
        <v>570</v>
      </c>
      <c r="L436" s="135" t="s">
        <v>570</v>
      </c>
      <c r="M436" s="135" t="s">
        <v>570</v>
      </c>
      <c r="N436" s="135" t="s">
        <v>570</v>
      </c>
      <c r="O436" s="135" t="s">
        <v>570</v>
      </c>
      <c r="P436" s="449"/>
      <c r="Q436" s="179"/>
      <c r="R436" s="179"/>
      <c r="S436" s="179"/>
      <c r="T436" s="500" t="e">
        <f>_xlfn.XLOOKUP(H436,#REF!,#REF!,0,0)</f>
        <v>#REF!</v>
      </c>
    </row>
    <row r="437" spans="1:20" x14ac:dyDescent="0.4">
      <c r="A437" s="135" t="s">
        <v>570</v>
      </c>
      <c r="B437" s="135" t="s">
        <v>1971</v>
      </c>
      <c r="C437" s="135"/>
      <c r="D437" s="135" t="s">
        <v>567</v>
      </c>
      <c r="E437" s="19" t="s">
        <v>1895</v>
      </c>
      <c r="F437" s="20">
        <v>42436</v>
      </c>
      <c r="G437" s="19" t="s">
        <v>1972</v>
      </c>
      <c r="H437" s="19">
        <v>63522</v>
      </c>
      <c r="I437" s="135" t="s">
        <v>1973</v>
      </c>
      <c r="J437" s="135" t="s">
        <v>1974</v>
      </c>
      <c r="K437" s="19" t="s">
        <v>570</v>
      </c>
      <c r="L437" s="135" t="s">
        <v>570</v>
      </c>
      <c r="M437" s="135" t="s">
        <v>570</v>
      </c>
      <c r="N437" s="135" t="s">
        <v>570</v>
      </c>
      <c r="O437" s="135" t="s">
        <v>570</v>
      </c>
      <c r="P437" s="449"/>
      <c r="Q437" s="179"/>
      <c r="R437" s="179"/>
      <c r="S437" s="179"/>
      <c r="T437" s="500" t="e">
        <f>_xlfn.XLOOKUP(H437,#REF!,#REF!,0,0)</f>
        <v>#REF!</v>
      </c>
    </row>
    <row r="438" spans="1:20" x14ac:dyDescent="0.4">
      <c r="A438" s="135" t="s">
        <v>570</v>
      </c>
      <c r="B438" s="135" t="s">
        <v>1975</v>
      </c>
      <c r="C438" s="135"/>
      <c r="D438" s="135" t="s">
        <v>567</v>
      </c>
      <c r="E438" s="19" t="s">
        <v>1895</v>
      </c>
      <c r="F438" s="20">
        <v>42436</v>
      </c>
      <c r="G438" s="19" t="s">
        <v>1976</v>
      </c>
      <c r="H438" s="19">
        <v>63540</v>
      </c>
      <c r="I438" s="135" t="s">
        <v>1977</v>
      </c>
      <c r="J438" s="135" t="s">
        <v>1978</v>
      </c>
      <c r="K438" s="19" t="s">
        <v>570</v>
      </c>
      <c r="L438" s="135" t="s">
        <v>570</v>
      </c>
      <c r="M438" s="135" t="s">
        <v>570</v>
      </c>
      <c r="N438" s="135" t="s">
        <v>570</v>
      </c>
      <c r="O438" s="135" t="s">
        <v>570</v>
      </c>
      <c r="P438" s="449"/>
      <c r="Q438" s="179"/>
      <c r="R438" s="179"/>
      <c r="S438" s="179"/>
      <c r="T438" s="500" t="e">
        <f>_xlfn.XLOOKUP(H438,#REF!,#REF!,0,0)</f>
        <v>#REF!</v>
      </c>
    </row>
    <row r="439" spans="1:20" x14ac:dyDescent="0.4">
      <c r="A439" s="135" t="s">
        <v>570</v>
      </c>
      <c r="B439" s="135" t="s">
        <v>1979</v>
      </c>
      <c r="C439" s="135"/>
      <c r="D439" s="135" t="s">
        <v>567</v>
      </c>
      <c r="E439" s="19" t="s">
        <v>1895</v>
      </c>
      <c r="F439" s="20">
        <v>42471</v>
      </c>
      <c r="G439" s="19" t="s">
        <v>1980</v>
      </c>
      <c r="H439" s="19">
        <v>63570</v>
      </c>
      <c r="I439" s="135" t="s">
        <v>1981</v>
      </c>
      <c r="J439" s="135"/>
      <c r="K439" s="19" t="s">
        <v>570</v>
      </c>
      <c r="L439" s="135" t="s">
        <v>570</v>
      </c>
      <c r="M439" s="135" t="s">
        <v>570</v>
      </c>
      <c r="N439" s="135" t="s">
        <v>570</v>
      </c>
      <c r="O439" s="135" t="s">
        <v>570</v>
      </c>
      <c r="P439" s="449"/>
      <c r="Q439" s="179"/>
      <c r="R439" s="179"/>
      <c r="S439" s="179"/>
      <c r="T439" s="500" t="e">
        <f>_xlfn.XLOOKUP(H439,#REF!,#REF!,0,0)</f>
        <v>#REF!</v>
      </c>
    </row>
    <row r="440" spans="1:20" x14ac:dyDescent="0.4">
      <c r="A440" s="135" t="s">
        <v>570</v>
      </c>
      <c r="B440" s="135" t="s">
        <v>1982</v>
      </c>
      <c r="C440" s="135"/>
      <c r="D440" s="135" t="s">
        <v>567</v>
      </c>
      <c r="E440" s="19" t="s">
        <v>1895</v>
      </c>
      <c r="F440" s="135">
        <v>42436</v>
      </c>
      <c r="G440" s="19" t="s">
        <v>1983</v>
      </c>
      <c r="H440" s="19">
        <v>63538</v>
      </c>
      <c r="I440" s="135" t="s">
        <v>1984</v>
      </c>
      <c r="J440" s="135" t="s">
        <v>1985</v>
      </c>
      <c r="K440" s="19" t="s">
        <v>570</v>
      </c>
      <c r="L440" s="135" t="s">
        <v>570</v>
      </c>
      <c r="M440" s="135" t="s">
        <v>570</v>
      </c>
      <c r="N440" s="135" t="s">
        <v>570</v>
      </c>
      <c r="O440" s="135" t="s">
        <v>570</v>
      </c>
      <c r="P440" s="449"/>
      <c r="Q440" s="179"/>
      <c r="R440" s="179"/>
      <c r="S440" s="179"/>
      <c r="T440" s="500" t="e">
        <f>_xlfn.XLOOKUP(H440,#REF!,#REF!,0,0)</f>
        <v>#REF!</v>
      </c>
    </row>
    <row r="441" spans="1:20" x14ac:dyDescent="0.4">
      <c r="A441" s="135" t="s">
        <v>570</v>
      </c>
      <c r="B441" s="135" t="s">
        <v>1986</v>
      </c>
      <c r="C441" s="135"/>
      <c r="D441" s="135" t="s">
        <v>567</v>
      </c>
      <c r="E441" s="19" t="s">
        <v>1895</v>
      </c>
      <c r="F441" s="135">
        <v>42436</v>
      </c>
      <c r="G441" s="19" t="s">
        <v>1987</v>
      </c>
      <c r="H441" s="19">
        <v>63537</v>
      </c>
      <c r="I441" s="135" t="s">
        <v>1988</v>
      </c>
      <c r="J441" s="135" t="s">
        <v>1989</v>
      </c>
      <c r="K441" s="19" t="s">
        <v>570</v>
      </c>
      <c r="L441" s="135" t="s">
        <v>570</v>
      </c>
      <c r="M441" s="135" t="s">
        <v>570</v>
      </c>
      <c r="N441" s="135" t="s">
        <v>570</v>
      </c>
      <c r="O441" s="135" t="s">
        <v>570</v>
      </c>
      <c r="P441" s="449"/>
      <c r="Q441" s="179"/>
      <c r="R441" s="179"/>
      <c r="S441" s="179"/>
      <c r="T441" s="500" t="e">
        <f>_xlfn.XLOOKUP(H441,#REF!,#REF!,0,0)</f>
        <v>#REF!</v>
      </c>
    </row>
    <row r="442" spans="1:20" x14ac:dyDescent="0.4">
      <c r="A442" s="135" t="s">
        <v>570</v>
      </c>
      <c r="B442" s="135" t="s">
        <v>1990</v>
      </c>
      <c r="C442" s="135"/>
      <c r="D442" s="135" t="s">
        <v>567</v>
      </c>
      <c r="E442" s="19" t="s">
        <v>1895</v>
      </c>
      <c r="F442" s="20">
        <v>42436</v>
      </c>
      <c r="G442" s="19" t="s">
        <v>1991</v>
      </c>
      <c r="H442" s="19">
        <v>63539</v>
      </c>
      <c r="I442" s="135" t="s">
        <v>1992</v>
      </c>
      <c r="J442" s="135" t="s">
        <v>1993</v>
      </c>
      <c r="K442" s="19" t="s">
        <v>570</v>
      </c>
      <c r="L442" s="135" t="s">
        <v>570</v>
      </c>
      <c r="M442" s="135" t="s">
        <v>570</v>
      </c>
      <c r="N442" s="135" t="s">
        <v>570</v>
      </c>
      <c r="O442" s="135" t="s">
        <v>570</v>
      </c>
      <c r="P442" s="449"/>
      <c r="Q442" s="179"/>
      <c r="R442" s="179"/>
      <c r="S442" s="179"/>
      <c r="T442" s="500" t="e">
        <f>_xlfn.XLOOKUP(H442,#REF!,#REF!,0,0)</f>
        <v>#REF!</v>
      </c>
    </row>
    <row r="443" spans="1:20" x14ac:dyDescent="0.4">
      <c r="A443" s="135" t="s">
        <v>570</v>
      </c>
      <c r="B443" s="135" t="s">
        <v>1994</v>
      </c>
      <c r="C443" s="135"/>
      <c r="D443" s="135" t="s">
        <v>567</v>
      </c>
      <c r="E443" s="19" t="s">
        <v>1895</v>
      </c>
      <c r="F443" s="20">
        <v>42471</v>
      </c>
      <c r="G443" s="19" t="s">
        <v>1995</v>
      </c>
      <c r="H443" s="19">
        <v>63572</v>
      </c>
      <c r="I443" s="135" t="s">
        <v>1996</v>
      </c>
      <c r="J443" s="135"/>
      <c r="K443" s="19" t="s">
        <v>570</v>
      </c>
      <c r="L443" s="135" t="s">
        <v>570</v>
      </c>
      <c r="M443" s="135" t="s">
        <v>570</v>
      </c>
      <c r="N443" s="135" t="s">
        <v>570</v>
      </c>
      <c r="O443" s="135" t="s">
        <v>570</v>
      </c>
      <c r="P443" s="449"/>
      <c r="Q443" s="179"/>
      <c r="R443" s="179"/>
      <c r="S443" s="179"/>
      <c r="T443" s="500" t="e">
        <f>_xlfn.XLOOKUP(H443,#REF!,#REF!,0,0)</f>
        <v>#REF!</v>
      </c>
    </row>
    <row r="444" spans="1:20" x14ac:dyDescent="0.4">
      <c r="A444" s="135" t="s">
        <v>570</v>
      </c>
      <c r="B444" s="135" t="s">
        <v>1997</v>
      </c>
      <c r="C444" s="135"/>
      <c r="D444" s="135" t="s">
        <v>567</v>
      </c>
      <c r="E444" s="19" t="s">
        <v>1895</v>
      </c>
      <c r="F444" s="20">
        <v>42436</v>
      </c>
      <c r="G444" s="19" t="s">
        <v>1998</v>
      </c>
      <c r="H444" s="19">
        <v>63542</v>
      </c>
      <c r="I444" s="135" t="s">
        <v>1999</v>
      </c>
      <c r="J444" s="135" t="s">
        <v>2000</v>
      </c>
      <c r="K444" s="19" t="s">
        <v>570</v>
      </c>
      <c r="L444" s="135" t="s">
        <v>570</v>
      </c>
      <c r="M444" s="135" t="s">
        <v>570</v>
      </c>
      <c r="N444" s="135" t="s">
        <v>570</v>
      </c>
      <c r="O444" s="135" t="s">
        <v>570</v>
      </c>
      <c r="P444" s="449"/>
      <c r="Q444" s="179"/>
      <c r="R444" s="179"/>
      <c r="S444" s="179"/>
      <c r="T444" s="500" t="e">
        <f>_xlfn.XLOOKUP(H444,#REF!,#REF!,0,0)</f>
        <v>#REF!</v>
      </c>
    </row>
    <row r="445" spans="1:20" x14ac:dyDescent="0.4">
      <c r="A445" s="135" t="s">
        <v>570</v>
      </c>
      <c r="B445" s="135" t="s">
        <v>2001</v>
      </c>
      <c r="C445" s="135"/>
      <c r="D445" s="135" t="s">
        <v>567</v>
      </c>
      <c r="E445" s="19" t="s">
        <v>1895</v>
      </c>
      <c r="F445" s="135">
        <v>42436</v>
      </c>
      <c r="G445" s="19" t="s">
        <v>2002</v>
      </c>
      <c r="H445" s="19">
        <v>63543</v>
      </c>
      <c r="I445" s="135" t="s">
        <v>2003</v>
      </c>
      <c r="J445" s="135" t="s">
        <v>2004</v>
      </c>
      <c r="K445" s="19" t="s">
        <v>570</v>
      </c>
      <c r="L445" s="135" t="s">
        <v>570</v>
      </c>
      <c r="M445" s="135" t="s">
        <v>570</v>
      </c>
      <c r="N445" s="135" t="s">
        <v>570</v>
      </c>
      <c r="O445" s="135" t="s">
        <v>570</v>
      </c>
      <c r="P445" s="449"/>
      <c r="Q445" s="179"/>
      <c r="R445" s="179"/>
      <c r="S445" s="179"/>
      <c r="T445" s="500" t="e">
        <f>_xlfn.XLOOKUP(H445,#REF!,#REF!,0,0)</f>
        <v>#REF!</v>
      </c>
    </row>
    <row r="446" spans="1:20" x14ac:dyDescent="0.4">
      <c r="A446" s="135" t="s">
        <v>570</v>
      </c>
      <c r="B446" s="135" t="s">
        <v>2005</v>
      </c>
      <c r="C446" s="135"/>
      <c r="D446" s="135" t="s">
        <v>567</v>
      </c>
      <c r="E446" s="19" t="s">
        <v>1895</v>
      </c>
      <c r="F446" s="20">
        <v>42471</v>
      </c>
      <c r="G446" s="19" t="s">
        <v>2006</v>
      </c>
      <c r="H446" s="19">
        <v>63574</v>
      </c>
      <c r="I446" s="135" t="s">
        <v>2007</v>
      </c>
      <c r="J446" s="135"/>
      <c r="K446" s="19" t="s">
        <v>570</v>
      </c>
      <c r="L446" s="135" t="s">
        <v>570</v>
      </c>
      <c r="M446" s="135" t="s">
        <v>570</v>
      </c>
      <c r="N446" s="135" t="s">
        <v>570</v>
      </c>
      <c r="O446" s="135" t="s">
        <v>570</v>
      </c>
      <c r="P446" s="449"/>
      <c r="Q446" s="179"/>
      <c r="R446" s="179"/>
      <c r="S446" s="179"/>
      <c r="T446" s="500" t="e">
        <f>_xlfn.XLOOKUP(H446,#REF!,#REF!,0,0)</f>
        <v>#REF!</v>
      </c>
    </row>
    <row r="447" spans="1:20" x14ac:dyDescent="0.4">
      <c r="A447" s="135" t="s">
        <v>570</v>
      </c>
      <c r="B447" s="135" t="s">
        <v>2008</v>
      </c>
      <c r="C447" s="135"/>
      <c r="D447" s="135" t="s">
        <v>567</v>
      </c>
      <c r="E447" s="19" t="s">
        <v>1895</v>
      </c>
      <c r="F447" s="20">
        <v>42471</v>
      </c>
      <c r="G447" s="19" t="s">
        <v>1700</v>
      </c>
      <c r="H447" s="19">
        <v>60253</v>
      </c>
      <c r="I447" s="135" t="s">
        <v>1701</v>
      </c>
      <c r="J447" s="135"/>
      <c r="K447" s="19" t="s">
        <v>570</v>
      </c>
      <c r="L447" s="135" t="s">
        <v>570</v>
      </c>
      <c r="M447" s="135" t="s">
        <v>570</v>
      </c>
      <c r="N447" s="135" t="s">
        <v>570</v>
      </c>
      <c r="O447" s="135" t="s">
        <v>570</v>
      </c>
      <c r="P447" s="449"/>
      <c r="Q447" s="179"/>
      <c r="R447" s="179"/>
      <c r="S447" s="179"/>
      <c r="T447" s="500" t="e">
        <f>_xlfn.XLOOKUP(H447,#REF!,#REF!,0,0)</f>
        <v>#REF!</v>
      </c>
    </row>
    <row r="448" spans="1:20" x14ac:dyDescent="0.4">
      <c r="A448" s="135" t="s">
        <v>570</v>
      </c>
      <c r="B448" s="135" t="s">
        <v>2009</v>
      </c>
      <c r="C448" s="135"/>
      <c r="D448" s="135" t="s">
        <v>567</v>
      </c>
      <c r="E448" s="19" t="s">
        <v>1895</v>
      </c>
      <c r="F448" s="20">
        <v>42471</v>
      </c>
      <c r="G448" s="19" t="s">
        <v>2010</v>
      </c>
      <c r="H448" s="19">
        <v>63571</v>
      </c>
      <c r="I448" s="135" t="s">
        <v>2011</v>
      </c>
      <c r="J448" s="135"/>
      <c r="K448" s="19" t="s">
        <v>570</v>
      </c>
      <c r="L448" s="135" t="s">
        <v>570</v>
      </c>
      <c r="M448" s="135" t="s">
        <v>570</v>
      </c>
      <c r="N448" s="135" t="s">
        <v>570</v>
      </c>
      <c r="O448" s="135" t="s">
        <v>570</v>
      </c>
      <c r="P448" s="449"/>
      <c r="Q448" s="179"/>
      <c r="R448" s="179"/>
      <c r="S448" s="179"/>
      <c r="T448" s="500" t="e">
        <f>_xlfn.XLOOKUP(H448,#REF!,#REF!,0,0)</f>
        <v>#REF!</v>
      </c>
    </row>
    <row r="449" spans="1:20" x14ac:dyDescent="0.4">
      <c r="A449" s="135" t="s">
        <v>570</v>
      </c>
      <c r="B449" s="135" t="s">
        <v>2012</v>
      </c>
      <c r="C449" s="135"/>
      <c r="D449" s="135" t="s">
        <v>567</v>
      </c>
      <c r="E449" s="19" t="s">
        <v>1895</v>
      </c>
      <c r="F449" s="20">
        <v>42436</v>
      </c>
      <c r="G449" s="19" t="s">
        <v>2013</v>
      </c>
      <c r="H449" s="19">
        <v>63541</v>
      </c>
      <c r="I449" s="135" t="s">
        <v>2014</v>
      </c>
      <c r="J449" s="135" t="s">
        <v>2015</v>
      </c>
      <c r="K449" s="19" t="s">
        <v>570</v>
      </c>
      <c r="L449" s="135" t="s">
        <v>570</v>
      </c>
      <c r="M449" s="135" t="s">
        <v>570</v>
      </c>
      <c r="N449" s="135" t="s">
        <v>570</v>
      </c>
      <c r="O449" s="135" t="s">
        <v>570</v>
      </c>
      <c r="P449" s="449"/>
      <c r="Q449" s="179"/>
      <c r="R449" s="179"/>
      <c r="S449" s="179"/>
      <c r="T449" s="500" t="e">
        <f>_xlfn.XLOOKUP(H449,#REF!,#REF!,0,0)</f>
        <v>#REF!</v>
      </c>
    </row>
    <row r="450" spans="1:20" x14ac:dyDescent="0.4">
      <c r="A450" s="135" t="s">
        <v>570</v>
      </c>
      <c r="B450" s="135" t="s">
        <v>2016</v>
      </c>
      <c r="C450" s="135"/>
      <c r="D450" s="135" t="s">
        <v>567</v>
      </c>
      <c r="E450" s="19" t="s">
        <v>1895</v>
      </c>
      <c r="F450" s="20">
        <v>42436</v>
      </c>
      <c r="G450" s="19" t="s">
        <v>2017</v>
      </c>
      <c r="H450" s="19">
        <v>63536</v>
      </c>
      <c r="I450" s="135" t="s">
        <v>2018</v>
      </c>
      <c r="J450" s="135" t="s">
        <v>2019</v>
      </c>
      <c r="K450" s="19" t="s">
        <v>570</v>
      </c>
      <c r="L450" s="135" t="s">
        <v>570</v>
      </c>
      <c r="M450" s="135" t="s">
        <v>570</v>
      </c>
      <c r="N450" s="135" t="s">
        <v>570</v>
      </c>
      <c r="O450" s="135" t="s">
        <v>570</v>
      </c>
      <c r="P450" s="449"/>
      <c r="Q450" s="179"/>
      <c r="R450" s="179"/>
      <c r="S450" s="179"/>
      <c r="T450" s="500" t="e">
        <f>_xlfn.XLOOKUP(H450,#REF!,#REF!,0,0)</f>
        <v>#REF!</v>
      </c>
    </row>
    <row r="451" spans="1:20" x14ac:dyDescent="0.4">
      <c r="A451" s="135" t="s">
        <v>570</v>
      </c>
      <c r="B451" s="135" t="s">
        <v>2020</v>
      </c>
      <c r="C451" s="135"/>
      <c r="D451" s="135" t="s">
        <v>567</v>
      </c>
      <c r="E451" s="19" t="s">
        <v>1895</v>
      </c>
      <c r="F451" s="135">
        <v>42471</v>
      </c>
      <c r="G451" s="19" t="s">
        <v>1195</v>
      </c>
      <c r="H451" s="19">
        <v>63573</v>
      </c>
      <c r="I451" s="135" t="s">
        <v>2021</v>
      </c>
      <c r="J451" s="135"/>
      <c r="K451" s="19" t="s">
        <v>570</v>
      </c>
      <c r="L451" s="135" t="s">
        <v>570</v>
      </c>
      <c r="M451" s="135" t="s">
        <v>570</v>
      </c>
      <c r="N451" s="135" t="s">
        <v>570</v>
      </c>
      <c r="O451" s="135" t="s">
        <v>570</v>
      </c>
      <c r="P451" s="449"/>
      <c r="Q451" s="179"/>
      <c r="R451" s="179"/>
      <c r="S451" s="179"/>
      <c r="T451" s="500" t="e">
        <f>_xlfn.XLOOKUP(H451,#REF!,#REF!,0,0)</f>
        <v>#REF!</v>
      </c>
    </row>
    <row r="452" spans="1:20" x14ac:dyDescent="0.4">
      <c r="A452" s="135"/>
      <c r="B452" s="135" t="s">
        <v>2022</v>
      </c>
      <c r="C452" s="135"/>
      <c r="D452" s="135" t="s">
        <v>567</v>
      </c>
      <c r="E452" s="19" t="s">
        <v>1895</v>
      </c>
      <c r="F452" s="20"/>
      <c r="G452" s="19" t="s">
        <v>1195</v>
      </c>
      <c r="H452" s="19">
        <v>58886</v>
      </c>
      <c r="I452" s="135"/>
      <c r="J452" s="135"/>
      <c r="K452" s="19" t="s">
        <v>570</v>
      </c>
      <c r="L452" s="135" t="s">
        <v>570</v>
      </c>
      <c r="M452" s="135" t="s">
        <v>570</v>
      </c>
      <c r="N452" s="135" t="s">
        <v>570</v>
      </c>
      <c r="O452" s="135" t="s">
        <v>570</v>
      </c>
      <c r="P452" s="449"/>
      <c r="Q452" s="179"/>
      <c r="R452" s="179"/>
      <c r="S452" s="179"/>
      <c r="T452" s="500" t="e">
        <f>_xlfn.XLOOKUP(H452,#REF!,#REF!,0,0)</f>
        <v>#REF!</v>
      </c>
    </row>
    <row r="453" spans="1:20" x14ac:dyDescent="0.4">
      <c r="A453" s="135"/>
      <c r="B453" s="135" t="s">
        <v>2023</v>
      </c>
      <c r="C453" s="135"/>
      <c r="D453" s="135" t="s">
        <v>567</v>
      </c>
      <c r="E453" s="19" t="s">
        <v>1895</v>
      </c>
      <c r="F453" s="20"/>
      <c r="G453" s="19" t="s">
        <v>1291</v>
      </c>
      <c r="H453" s="19">
        <v>59105</v>
      </c>
      <c r="I453" s="135"/>
      <c r="J453" s="135"/>
      <c r="K453" s="19" t="s">
        <v>570</v>
      </c>
      <c r="L453" s="135" t="s">
        <v>570</v>
      </c>
      <c r="M453" s="135" t="s">
        <v>570</v>
      </c>
      <c r="N453" s="135" t="s">
        <v>570</v>
      </c>
      <c r="O453" s="135" t="s">
        <v>570</v>
      </c>
      <c r="P453" s="449"/>
      <c r="Q453" s="179"/>
      <c r="R453" s="179"/>
      <c r="S453" s="179"/>
      <c r="T453" s="500" t="e">
        <f>_xlfn.XLOOKUP(H453,#REF!,#REF!,0,0)</f>
        <v>#REF!</v>
      </c>
    </row>
    <row r="454" spans="1:20" x14ac:dyDescent="0.4">
      <c r="A454" s="135" t="s">
        <v>570</v>
      </c>
      <c r="B454" s="135" t="s">
        <v>2024</v>
      </c>
      <c r="C454" s="135"/>
      <c r="D454" s="135" t="s">
        <v>567</v>
      </c>
      <c r="E454" s="19" t="s">
        <v>1895</v>
      </c>
      <c r="F454" s="135">
        <v>42436</v>
      </c>
      <c r="G454" s="19" t="s">
        <v>2025</v>
      </c>
      <c r="H454" s="19">
        <v>63530</v>
      </c>
      <c r="I454" s="135" t="s">
        <v>2026</v>
      </c>
      <c r="J454" s="135" t="s">
        <v>2027</v>
      </c>
      <c r="K454" s="19" t="s">
        <v>570</v>
      </c>
      <c r="L454" s="135" t="s">
        <v>570</v>
      </c>
      <c r="M454" s="135" t="s">
        <v>570</v>
      </c>
      <c r="N454" s="135" t="s">
        <v>570</v>
      </c>
      <c r="O454" s="135" t="s">
        <v>570</v>
      </c>
      <c r="P454" s="449"/>
      <c r="Q454" s="179"/>
      <c r="R454" s="179"/>
      <c r="S454" s="179"/>
      <c r="T454" s="500" t="e">
        <f>_xlfn.XLOOKUP(H454,#REF!,#REF!,0,0)</f>
        <v>#REF!</v>
      </c>
    </row>
    <row r="455" spans="1:20" x14ac:dyDescent="0.4">
      <c r="A455" s="135" t="s">
        <v>570</v>
      </c>
      <c r="B455" s="135" t="s">
        <v>2028</v>
      </c>
      <c r="C455" s="135"/>
      <c r="D455" s="135" t="s">
        <v>567</v>
      </c>
      <c r="E455" s="19" t="s">
        <v>1895</v>
      </c>
      <c r="F455" s="20">
        <v>42471</v>
      </c>
      <c r="G455" s="19" t="s">
        <v>2029</v>
      </c>
      <c r="H455" s="19">
        <v>63569</v>
      </c>
      <c r="I455" s="135" t="s">
        <v>2030</v>
      </c>
      <c r="J455" s="135"/>
      <c r="K455" s="19" t="s">
        <v>570</v>
      </c>
      <c r="L455" s="135" t="s">
        <v>570</v>
      </c>
      <c r="M455" s="135" t="s">
        <v>570</v>
      </c>
      <c r="N455" s="135" t="s">
        <v>570</v>
      </c>
      <c r="O455" s="135" t="s">
        <v>570</v>
      </c>
      <c r="P455" s="449"/>
      <c r="Q455" s="179"/>
      <c r="R455" s="179"/>
      <c r="S455" s="179"/>
      <c r="T455" s="500" t="e">
        <f>_xlfn.XLOOKUP(H455,#REF!,#REF!,0,0)</f>
        <v>#REF!</v>
      </c>
    </row>
    <row r="456" spans="1:20" x14ac:dyDescent="0.4">
      <c r="A456" s="135" t="s">
        <v>570</v>
      </c>
      <c r="B456" s="135" t="s">
        <v>2031</v>
      </c>
      <c r="C456" s="135"/>
      <c r="D456" s="135" t="s">
        <v>567</v>
      </c>
      <c r="E456" s="19" t="s">
        <v>1182</v>
      </c>
      <c r="F456" s="20">
        <v>42552</v>
      </c>
      <c r="G456" s="19" t="s">
        <v>2032</v>
      </c>
      <c r="H456" s="19">
        <v>63913</v>
      </c>
      <c r="I456" s="135" t="s">
        <v>2033</v>
      </c>
      <c r="J456" s="135" t="s">
        <v>2034</v>
      </c>
      <c r="K456" s="19" t="s">
        <v>570</v>
      </c>
      <c r="L456" s="135" t="s">
        <v>570</v>
      </c>
      <c r="M456" s="135" t="s">
        <v>570</v>
      </c>
      <c r="N456" s="135" t="s">
        <v>570</v>
      </c>
      <c r="O456" s="135" t="s">
        <v>570</v>
      </c>
      <c r="P456" s="421"/>
      <c r="Q456" s="179"/>
      <c r="R456" s="179"/>
      <c r="S456" s="179"/>
      <c r="T456" s="500" t="e">
        <f>_xlfn.XLOOKUP(H456,#REF!,#REF!,0,0)</f>
        <v>#REF!</v>
      </c>
    </row>
    <row r="457" spans="1:20" x14ac:dyDescent="0.4">
      <c r="A457" s="135" t="s">
        <v>570</v>
      </c>
      <c r="B457" s="135" t="s">
        <v>2035</v>
      </c>
      <c r="C457" s="135"/>
      <c r="D457" s="135" t="s">
        <v>567</v>
      </c>
      <c r="E457" s="19" t="s">
        <v>1182</v>
      </c>
      <c r="F457" s="135">
        <v>42552</v>
      </c>
      <c r="G457" s="19" t="s">
        <v>2036</v>
      </c>
      <c r="H457" s="19">
        <v>63905</v>
      </c>
      <c r="I457" s="135" t="s">
        <v>2037</v>
      </c>
      <c r="J457" s="135" t="s">
        <v>2038</v>
      </c>
      <c r="K457" s="19" t="s">
        <v>570</v>
      </c>
      <c r="L457" s="135" t="s">
        <v>570</v>
      </c>
      <c r="M457" s="135" t="s">
        <v>570</v>
      </c>
      <c r="N457" s="135" t="s">
        <v>570</v>
      </c>
      <c r="O457" s="135" t="s">
        <v>570</v>
      </c>
      <c r="P457" s="421"/>
      <c r="Q457" s="179"/>
      <c r="R457" s="179"/>
      <c r="S457" s="179"/>
      <c r="T457" s="500" t="e">
        <f>_xlfn.XLOOKUP(H457,#REF!,#REF!,0,0)</f>
        <v>#REF!</v>
      </c>
    </row>
    <row r="458" spans="1:20" x14ac:dyDescent="0.4">
      <c r="A458" s="135" t="s">
        <v>570</v>
      </c>
      <c r="B458" s="135" t="s">
        <v>2039</v>
      </c>
      <c r="C458" s="135"/>
      <c r="D458" s="135" t="s">
        <v>567</v>
      </c>
      <c r="E458" s="19" t="s">
        <v>1182</v>
      </c>
      <c r="F458" s="20">
        <v>42552</v>
      </c>
      <c r="G458" s="19" t="s">
        <v>2040</v>
      </c>
      <c r="H458" s="19">
        <v>63911</v>
      </c>
      <c r="I458" s="135" t="s">
        <v>2041</v>
      </c>
      <c r="J458" s="135" t="s">
        <v>2042</v>
      </c>
      <c r="K458" s="19" t="s">
        <v>570</v>
      </c>
      <c r="L458" s="135" t="s">
        <v>570</v>
      </c>
      <c r="M458" s="135" t="s">
        <v>570</v>
      </c>
      <c r="N458" s="135" t="s">
        <v>570</v>
      </c>
      <c r="O458" s="135" t="s">
        <v>570</v>
      </c>
      <c r="P458" s="421"/>
      <c r="Q458" s="179"/>
      <c r="R458" s="179"/>
      <c r="S458" s="179"/>
      <c r="T458" s="500" t="e">
        <f>_xlfn.XLOOKUP(H458,#REF!,#REF!,0,0)</f>
        <v>#REF!</v>
      </c>
    </row>
    <row r="459" spans="1:20" x14ac:dyDescent="0.4">
      <c r="A459" s="135" t="s">
        <v>570</v>
      </c>
      <c r="B459" s="135" t="s">
        <v>2043</v>
      </c>
      <c r="C459" s="135"/>
      <c r="D459" s="135" t="s">
        <v>567</v>
      </c>
      <c r="E459" s="19" t="s">
        <v>1182</v>
      </c>
      <c r="F459" s="20">
        <v>42552</v>
      </c>
      <c r="G459" s="19" t="s">
        <v>2044</v>
      </c>
      <c r="H459" s="19">
        <v>63874</v>
      </c>
      <c r="I459" s="135"/>
      <c r="J459" s="135"/>
      <c r="K459" s="19" t="s">
        <v>570</v>
      </c>
      <c r="L459" s="135" t="s">
        <v>570</v>
      </c>
      <c r="M459" s="135" t="s">
        <v>570</v>
      </c>
      <c r="N459" s="135" t="s">
        <v>570</v>
      </c>
      <c r="O459" s="135" t="s">
        <v>570</v>
      </c>
      <c r="P459" s="421"/>
      <c r="Q459" s="179"/>
      <c r="R459" s="179"/>
      <c r="S459" s="179"/>
      <c r="T459" s="500" t="e">
        <f>_xlfn.XLOOKUP(H459,#REF!,#REF!,0,0)</f>
        <v>#REF!</v>
      </c>
    </row>
    <row r="460" spans="1:20" x14ac:dyDescent="0.4">
      <c r="A460" s="135" t="s">
        <v>570</v>
      </c>
      <c r="B460" s="135" t="s">
        <v>2045</v>
      </c>
      <c r="C460" s="135"/>
      <c r="D460" s="135" t="s">
        <v>567</v>
      </c>
      <c r="E460" s="19" t="s">
        <v>1182</v>
      </c>
      <c r="F460" s="20">
        <v>42552</v>
      </c>
      <c r="G460" s="19" t="s">
        <v>2046</v>
      </c>
      <c r="H460" s="19">
        <v>63899</v>
      </c>
      <c r="I460" s="135" t="s">
        <v>2047</v>
      </c>
      <c r="J460" s="135" t="s">
        <v>2048</v>
      </c>
      <c r="K460" s="19" t="s">
        <v>570</v>
      </c>
      <c r="L460" s="135" t="s">
        <v>570</v>
      </c>
      <c r="M460" s="135" t="s">
        <v>570</v>
      </c>
      <c r="N460" s="135" t="s">
        <v>570</v>
      </c>
      <c r="O460" s="135" t="s">
        <v>570</v>
      </c>
      <c r="P460" s="421"/>
      <c r="Q460" s="179"/>
      <c r="R460" s="179"/>
      <c r="S460" s="179"/>
      <c r="T460" s="500" t="e">
        <f>_xlfn.XLOOKUP(H460,#REF!,#REF!,0,0)</f>
        <v>#REF!</v>
      </c>
    </row>
    <row r="461" spans="1:20" x14ac:dyDescent="0.4">
      <c r="A461" s="135" t="s">
        <v>570</v>
      </c>
      <c r="B461" s="135" t="s">
        <v>2049</v>
      </c>
      <c r="C461" s="135"/>
      <c r="D461" s="135" t="s">
        <v>567</v>
      </c>
      <c r="E461" s="19" t="s">
        <v>1182</v>
      </c>
      <c r="F461" s="135">
        <v>42552</v>
      </c>
      <c r="G461" s="19" t="s">
        <v>2050</v>
      </c>
      <c r="H461" s="19">
        <v>63900</v>
      </c>
      <c r="I461" s="135" t="s">
        <v>2051</v>
      </c>
      <c r="J461" s="135" t="s">
        <v>2052</v>
      </c>
      <c r="K461" s="143" t="s">
        <v>570</v>
      </c>
      <c r="L461" s="137" t="s">
        <v>570</v>
      </c>
      <c r="M461" s="137" t="s">
        <v>570</v>
      </c>
      <c r="N461" s="137" t="s">
        <v>570</v>
      </c>
      <c r="O461" s="137" t="s">
        <v>570</v>
      </c>
      <c r="P461" s="421"/>
      <c r="Q461" s="179"/>
      <c r="R461" s="179"/>
      <c r="S461" s="179"/>
      <c r="T461" s="500" t="e">
        <f>_xlfn.XLOOKUP(H461,#REF!,#REF!,0,0)</f>
        <v>#REF!</v>
      </c>
    </row>
    <row r="462" spans="1:20" x14ac:dyDescent="0.4">
      <c r="A462" s="135" t="s">
        <v>570</v>
      </c>
      <c r="B462" s="134" t="s">
        <v>2053</v>
      </c>
      <c r="C462" s="134"/>
      <c r="D462" s="135" t="s">
        <v>567</v>
      </c>
      <c r="E462" s="19" t="s">
        <v>1182</v>
      </c>
      <c r="F462" s="135">
        <v>42552</v>
      </c>
      <c r="G462" s="19" t="s">
        <v>2054</v>
      </c>
      <c r="H462" s="19">
        <v>63909</v>
      </c>
      <c r="I462" s="135" t="s">
        <v>2055</v>
      </c>
      <c r="J462" s="135" t="s">
        <v>2056</v>
      </c>
      <c r="K462" s="143" t="s">
        <v>570</v>
      </c>
      <c r="L462" s="137" t="s">
        <v>570</v>
      </c>
      <c r="M462" s="137" t="s">
        <v>570</v>
      </c>
      <c r="N462" s="137" t="s">
        <v>570</v>
      </c>
      <c r="O462" s="137" t="s">
        <v>570</v>
      </c>
      <c r="P462" s="421"/>
      <c r="Q462" s="179"/>
      <c r="R462" s="179"/>
      <c r="S462" s="179"/>
      <c r="T462" s="500" t="e">
        <f>_xlfn.XLOOKUP(H462,#REF!,#REF!,0,0)</f>
        <v>#REF!</v>
      </c>
    </row>
    <row r="463" spans="1:20" x14ac:dyDescent="0.4">
      <c r="A463" s="135" t="s">
        <v>570</v>
      </c>
      <c r="B463" s="134" t="s">
        <v>2057</v>
      </c>
      <c r="C463" s="134"/>
      <c r="D463" s="135" t="s">
        <v>567</v>
      </c>
      <c r="E463" s="19" t="s">
        <v>1182</v>
      </c>
      <c r="F463" s="20">
        <v>42552</v>
      </c>
      <c r="G463" s="19" t="s">
        <v>2058</v>
      </c>
      <c r="H463" s="19">
        <v>63910</v>
      </c>
      <c r="I463" s="135" t="s">
        <v>2059</v>
      </c>
      <c r="J463" s="135" t="s">
        <v>2060</v>
      </c>
      <c r="K463" s="143" t="s">
        <v>570</v>
      </c>
      <c r="L463" s="137" t="s">
        <v>570</v>
      </c>
      <c r="M463" s="137" t="s">
        <v>570</v>
      </c>
      <c r="N463" s="137" t="s">
        <v>570</v>
      </c>
      <c r="O463" s="137" t="s">
        <v>570</v>
      </c>
      <c r="P463" s="421"/>
      <c r="Q463" s="179"/>
      <c r="R463" s="179"/>
      <c r="S463" s="179"/>
      <c r="T463" s="500" t="e">
        <f>_xlfn.XLOOKUP(H463,#REF!,#REF!,0,0)</f>
        <v>#REF!</v>
      </c>
    </row>
    <row r="464" spans="1:20" x14ac:dyDescent="0.4">
      <c r="A464" s="138" t="s">
        <v>570</v>
      </c>
      <c r="B464" s="135" t="s">
        <v>2061</v>
      </c>
      <c r="C464" s="135"/>
      <c r="D464" s="138" t="s">
        <v>567</v>
      </c>
      <c r="E464" s="170" t="s">
        <v>1182</v>
      </c>
      <c r="F464" s="20">
        <v>42552</v>
      </c>
      <c r="G464" s="170" t="s">
        <v>2062</v>
      </c>
      <c r="H464" s="170">
        <v>63891</v>
      </c>
      <c r="I464" s="138" t="s">
        <v>2063</v>
      </c>
      <c r="J464" s="138" t="s">
        <v>2064</v>
      </c>
      <c r="K464" s="143" t="s">
        <v>570</v>
      </c>
      <c r="L464" s="137" t="s">
        <v>570</v>
      </c>
      <c r="M464" s="137" t="s">
        <v>570</v>
      </c>
      <c r="N464" s="137" t="s">
        <v>570</v>
      </c>
      <c r="O464" s="137" t="s">
        <v>570</v>
      </c>
      <c r="P464" s="421"/>
      <c r="Q464" s="179"/>
      <c r="R464" s="179"/>
      <c r="S464" s="179"/>
      <c r="T464" s="500" t="e">
        <f>_xlfn.XLOOKUP(H464,#REF!,#REF!,0,0)</f>
        <v>#REF!</v>
      </c>
    </row>
    <row r="465" spans="1:20" x14ac:dyDescent="0.4">
      <c r="A465" s="135" t="s">
        <v>570</v>
      </c>
      <c r="B465" s="135" t="s">
        <v>2065</v>
      </c>
      <c r="C465" s="135"/>
      <c r="D465" s="135" t="s">
        <v>567</v>
      </c>
      <c r="E465" s="19" t="s">
        <v>1182</v>
      </c>
      <c r="F465" s="20">
        <v>42552</v>
      </c>
      <c r="G465" s="19" t="s">
        <v>2066</v>
      </c>
      <c r="H465" s="19">
        <v>63901</v>
      </c>
      <c r="I465" s="135" t="s">
        <v>2067</v>
      </c>
      <c r="J465" s="135" t="s">
        <v>2068</v>
      </c>
      <c r="K465" s="143" t="s">
        <v>570</v>
      </c>
      <c r="L465" s="137" t="s">
        <v>570</v>
      </c>
      <c r="M465" s="137" t="s">
        <v>570</v>
      </c>
      <c r="N465" s="137" t="s">
        <v>570</v>
      </c>
      <c r="O465" s="137" t="s">
        <v>570</v>
      </c>
      <c r="P465" s="421"/>
      <c r="Q465" s="179"/>
      <c r="R465" s="179"/>
      <c r="S465" s="179"/>
      <c r="T465" s="500" t="e">
        <f>_xlfn.XLOOKUP(H465,#REF!,#REF!,0,0)</f>
        <v>#REF!</v>
      </c>
    </row>
    <row r="466" spans="1:20" x14ac:dyDescent="0.4">
      <c r="A466" s="135" t="s">
        <v>570</v>
      </c>
      <c r="B466" s="138" t="s">
        <v>2069</v>
      </c>
      <c r="C466" s="138"/>
      <c r="D466" s="135" t="s">
        <v>567</v>
      </c>
      <c r="E466" s="19" t="s">
        <v>1182</v>
      </c>
      <c r="F466" s="135">
        <v>42552</v>
      </c>
      <c r="G466" s="19" t="s">
        <v>2070</v>
      </c>
      <c r="H466" s="19">
        <v>63893</v>
      </c>
      <c r="I466" s="135" t="s">
        <v>2071</v>
      </c>
      <c r="J466" s="135" t="s">
        <v>2072</v>
      </c>
      <c r="K466" s="143" t="s">
        <v>570</v>
      </c>
      <c r="L466" s="137" t="s">
        <v>570</v>
      </c>
      <c r="M466" s="137" t="s">
        <v>570</v>
      </c>
      <c r="N466" s="137" t="s">
        <v>570</v>
      </c>
      <c r="O466" s="137" t="s">
        <v>570</v>
      </c>
      <c r="P466" s="421"/>
      <c r="Q466" s="179"/>
      <c r="R466" s="179"/>
      <c r="S466" s="179"/>
      <c r="T466" s="500" t="e">
        <f>_xlfn.XLOOKUP(H466,#REF!,#REF!,0,0)</f>
        <v>#REF!</v>
      </c>
    </row>
    <row r="467" spans="1:20" x14ac:dyDescent="0.4">
      <c r="A467" s="135" t="s">
        <v>570</v>
      </c>
      <c r="B467" s="135" t="s">
        <v>2073</v>
      </c>
      <c r="C467" s="135"/>
      <c r="D467" s="135" t="s">
        <v>567</v>
      </c>
      <c r="E467" s="19" t="s">
        <v>1182</v>
      </c>
      <c r="F467" s="20">
        <v>42552</v>
      </c>
      <c r="G467" s="19" t="s">
        <v>2074</v>
      </c>
      <c r="H467" s="19">
        <v>63892</v>
      </c>
      <c r="I467" s="135" t="s">
        <v>2075</v>
      </c>
      <c r="J467" s="135" t="s">
        <v>2076</v>
      </c>
      <c r="K467" s="143" t="s">
        <v>570</v>
      </c>
      <c r="L467" s="137" t="s">
        <v>570</v>
      </c>
      <c r="M467" s="137" t="s">
        <v>570</v>
      </c>
      <c r="N467" s="137" t="s">
        <v>570</v>
      </c>
      <c r="O467" s="137" t="s">
        <v>570</v>
      </c>
      <c r="P467" s="449"/>
      <c r="Q467" s="179"/>
      <c r="R467" s="179"/>
      <c r="S467" s="179"/>
      <c r="T467" s="500" t="e">
        <f>_xlfn.XLOOKUP(H467,#REF!,#REF!,0,0)</f>
        <v>#REF!</v>
      </c>
    </row>
    <row r="468" spans="1:20" x14ac:dyDescent="0.4">
      <c r="A468" s="135" t="s">
        <v>570</v>
      </c>
      <c r="B468" s="135" t="s">
        <v>2077</v>
      </c>
      <c r="C468" s="135"/>
      <c r="D468" s="135" t="s">
        <v>567</v>
      </c>
      <c r="E468" s="19" t="s">
        <v>1182</v>
      </c>
      <c r="F468" s="135">
        <v>42552</v>
      </c>
      <c r="G468" s="19" t="s">
        <v>2078</v>
      </c>
      <c r="H468" s="19">
        <v>63902</v>
      </c>
      <c r="I468" s="135" t="s">
        <v>2079</v>
      </c>
      <c r="J468" s="135" t="s">
        <v>2080</v>
      </c>
      <c r="K468" s="143" t="s">
        <v>570</v>
      </c>
      <c r="L468" s="137" t="s">
        <v>570</v>
      </c>
      <c r="M468" s="137" t="s">
        <v>570</v>
      </c>
      <c r="N468" s="137" t="s">
        <v>570</v>
      </c>
      <c r="O468" s="137" t="s">
        <v>570</v>
      </c>
      <c r="P468" s="421"/>
      <c r="Q468" s="179"/>
      <c r="R468" s="179"/>
      <c r="S468" s="179"/>
      <c r="T468" s="500" t="e">
        <f>_xlfn.XLOOKUP(H468,#REF!,#REF!,0,0)</f>
        <v>#REF!</v>
      </c>
    </row>
    <row r="469" spans="1:20" x14ac:dyDescent="0.4">
      <c r="A469" s="135" t="s">
        <v>570</v>
      </c>
      <c r="B469" s="135" t="s">
        <v>2081</v>
      </c>
      <c r="C469" s="135"/>
      <c r="D469" s="135" t="s">
        <v>567</v>
      </c>
      <c r="E469" s="19" t="s">
        <v>1182</v>
      </c>
      <c r="F469" s="20"/>
      <c r="G469" s="19" t="s">
        <v>2082</v>
      </c>
      <c r="H469" s="19">
        <v>2975</v>
      </c>
      <c r="I469" s="135" t="s">
        <v>2083</v>
      </c>
      <c r="J469" s="135"/>
      <c r="K469" s="143" t="s">
        <v>570</v>
      </c>
      <c r="L469" s="137" t="s">
        <v>570</v>
      </c>
      <c r="M469" s="137" t="s">
        <v>570</v>
      </c>
      <c r="N469" s="137" t="s">
        <v>570</v>
      </c>
      <c r="O469" s="137" t="s">
        <v>570</v>
      </c>
      <c r="P469" s="421"/>
      <c r="Q469" s="179"/>
      <c r="R469" s="179"/>
      <c r="S469" s="179"/>
      <c r="T469" s="500" t="e">
        <f>_xlfn.XLOOKUP(H469,#REF!,#REF!,0,0)</f>
        <v>#REF!</v>
      </c>
    </row>
    <row r="470" spans="1:20" x14ac:dyDescent="0.4">
      <c r="A470" s="135" t="s">
        <v>570</v>
      </c>
      <c r="B470" s="135" t="s">
        <v>2081</v>
      </c>
      <c r="C470" s="135"/>
      <c r="D470" s="135" t="s">
        <v>567</v>
      </c>
      <c r="E470" s="19" t="s">
        <v>1182</v>
      </c>
      <c r="F470" s="20"/>
      <c r="G470" s="19" t="s">
        <v>2084</v>
      </c>
      <c r="H470" s="19">
        <v>2976</v>
      </c>
      <c r="I470" s="135" t="s">
        <v>2085</v>
      </c>
      <c r="J470" s="135"/>
      <c r="K470" s="143" t="s">
        <v>570</v>
      </c>
      <c r="L470" s="137" t="s">
        <v>570</v>
      </c>
      <c r="M470" s="137" t="s">
        <v>570</v>
      </c>
      <c r="N470" s="137" t="s">
        <v>570</v>
      </c>
      <c r="O470" s="137" t="s">
        <v>570</v>
      </c>
      <c r="P470" s="421"/>
      <c r="Q470" s="179"/>
      <c r="R470" s="179"/>
      <c r="S470" s="179"/>
      <c r="T470" s="500" t="e">
        <f>_xlfn.XLOOKUP(H470,#REF!,#REF!,0,0)</f>
        <v>#REF!</v>
      </c>
    </row>
    <row r="471" spans="1:20" x14ac:dyDescent="0.4">
      <c r="A471" s="135" t="s">
        <v>570</v>
      </c>
      <c r="B471" s="135" t="s">
        <v>2081</v>
      </c>
      <c r="C471" s="135"/>
      <c r="D471" s="135" t="s">
        <v>567</v>
      </c>
      <c r="E471" s="19" t="s">
        <v>1182</v>
      </c>
      <c r="F471" s="20"/>
      <c r="G471" s="19" t="s">
        <v>2086</v>
      </c>
      <c r="H471" s="19">
        <v>2977</v>
      </c>
      <c r="I471" s="135" t="s">
        <v>2087</v>
      </c>
      <c r="J471" s="135"/>
      <c r="K471" s="143" t="s">
        <v>570</v>
      </c>
      <c r="L471" s="137" t="s">
        <v>570</v>
      </c>
      <c r="M471" s="137" t="s">
        <v>570</v>
      </c>
      <c r="N471" s="137" t="s">
        <v>570</v>
      </c>
      <c r="O471" s="137" t="s">
        <v>570</v>
      </c>
      <c r="P471" s="421"/>
      <c r="Q471" s="179"/>
      <c r="R471" s="179"/>
      <c r="S471" s="179"/>
      <c r="T471" s="500" t="e">
        <f>_xlfn.XLOOKUP(H471,#REF!,#REF!,0,0)</f>
        <v>#REF!</v>
      </c>
    </row>
    <row r="472" spans="1:20" x14ac:dyDescent="0.4">
      <c r="A472" s="135" t="s">
        <v>570</v>
      </c>
      <c r="B472" s="135" t="s">
        <v>2088</v>
      </c>
      <c r="C472" s="135"/>
      <c r="D472" s="135" t="s">
        <v>567</v>
      </c>
      <c r="E472" s="19" t="s">
        <v>1182</v>
      </c>
      <c r="F472" s="20">
        <v>42552</v>
      </c>
      <c r="G472" s="19" t="s">
        <v>2089</v>
      </c>
      <c r="H472" s="19">
        <v>63898</v>
      </c>
      <c r="I472" s="135" t="s">
        <v>2090</v>
      </c>
      <c r="J472" s="135" t="s">
        <v>2091</v>
      </c>
      <c r="K472" s="143" t="s">
        <v>570</v>
      </c>
      <c r="L472" s="137" t="s">
        <v>570</v>
      </c>
      <c r="M472" s="137" t="s">
        <v>570</v>
      </c>
      <c r="N472" s="137" t="s">
        <v>570</v>
      </c>
      <c r="O472" s="137" t="s">
        <v>570</v>
      </c>
      <c r="P472" s="421"/>
      <c r="Q472" s="179"/>
      <c r="R472" s="179"/>
      <c r="S472" s="179"/>
      <c r="T472" s="500" t="e">
        <f>_xlfn.XLOOKUP(H472,#REF!,#REF!,0,0)</f>
        <v>#REF!</v>
      </c>
    </row>
    <row r="473" spans="1:20" x14ac:dyDescent="0.4">
      <c r="A473" s="135" t="s">
        <v>570</v>
      </c>
      <c r="B473" s="135" t="s">
        <v>2092</v>
      </c>
      <c r="C473" s="135"/>
      <c r="D473" s="135" t="s">
        <v>567</v>
      </c>
      <c r="E473" s="19" t="s">
        <v>1182</v>
      </c>
      <c r="F473" s="20">
        <v>42552</v>
      </c>
      <c r="G473" s="19" t="s">
        <v>2093</v>
      </c>
      <c r="H473" s="19">
        <v>63890</v>
      </c>
      <c r="I473" s="135" t="s">
        <v>2094</v>
      </c>
      <c r="J473" s="135" t="s">
        <v>2095</v>
      </c>
      <c r="K473" s="143" t="s">
        <v>570</v>
      </c>
      <c r="L473" s="137" t="s">
        <v>570</v>
      </c>
      <c r="M473" s="137" t="s">
        <v>570</v>
      </c>
      <c r="N473" s="137" t="s">
        <v>570</v>
      </c>
      <c r="O473" s="137" t="s">
        <v>570</v>
      </c>
      <c r="P473" s="421"/>
      <c r="Q473" s="179"/>
      <c r="R473" s="179"/>
      <c r="S473" s="179"/>
      <c r="T473" s="500" t="e">
        <f>_xlfn.XLOOKUP(H473,#REF!,#REF!,0,0)</f>
        <v>#REF!</v>
      </c>
    </row>
    <row r="474" spans="1:20" x14ac:dyDescent="0.4">
      <c r="A474" s="135" t="s">
        <v>570</v>
      </c>
      <c r="B474" s="135" t="s">
        <v>2096</v>
      </c>
      <c r="C474" s="135"/>
      <c r="D474" s="135" t="s">
        <v>567</v>
      </c>
      <c r="E474" s="19" t="s">
        <v>1182</v>
      </c>
      <c r="F474" s="20">
        <v>42552</v>
      </c>
      <c r="G474" s="19" t="s">
        <v>2097</v>
      </c>
      <c r="H474" s="19">
        <v>63887</v>
      </c>
      <c r="I474" s="135" t="s">
        <v>2098</v>
      </c>
      <c r="J474" s="135" t="s">
        <v>2099</v>
      </c>
      <c r="K474" s="143" t="s">
        <v>570</v>
      </c>
      <c r="L474" s="137" t="s">
        <v>570</v>
      </c>
      <c r="M474" s="137" t="s">
        <v>570</v>
      </c>
      <c r="N474" s="137" t="s">
        <v>570</v>
      </c>
      <c r="O474" s="137" t="s">
        <v>570</v>
      </c>
      <c r="P474" s="421"/>
      <c r="Q474" s="179"/>
      <c r="R474" s="179"/>
      <c r="S474" s="179"/>
      <c r="T474" s="500" t="e">
        <f>_xlfn.XLOOKUP(H474,#REF!,#REF!,0,0)</f>
        <v>#REF!</v>
      </c>
    </row>
    <row r="475" spans="1:20" x14ac:dyDescent="0.4">
      <c r="A475" s="135" t="s">
        <v>570</v>
      </c>
      <c r="B475" s="135" t="s">
        <v>2100</v>
      </c>
      <c r="C475" s="135"/>
      <c r="D475" s="135" t="s">
        <v>567</v>
      </c>
      <c r="E475" s="19" t="s">
        <v>1182</v>
      </c>
      <c r="F475" s="135">
        <v>42552</v>
      </c>
      <c r="G475" s="19" t="s">
        <v>2101</v>
      </c>
      <c r="H475" s="19">
        <v>63879</v>
      </c>
      <c r="I475" s="135" t="s">
        <v>2102</v>
      </c>
      <c r="J475" s="135" t="s">
        <v>2103</v>
      </c>
      <c r="K475" s="143" t="s">
        <v>570</v>
      </c>
      <c r="L475" s="137" t="s">
        <v>570</v>
      </c>
      <c r="M475" s="137" t="s">
        <v>570</v>
      </c>
      <c r="N475" s="137" t="s">
        <v>570</v>
      </c>
      <c r="O475" s="137" t="s">
        <v>570</v>
      </c>
      <c r="P475" s="421"/>
      <c r="Q475" s="179"/>
      <c r="R475" s="179"/>
      <c r="S475" s="179"/>
      <c r="T475" s="500" t="e">
        <f>_xlfn.XLOOKUP(H475,#REF!,#REF!,0,0)</f>
        <v>#REF!</v>
      </c>
    </row>
    <row r="476" spans="1:20" x14ac:dyDescent="0.4">
      <c r="A476" s="135" t="s">
        <v>570</v>
      </c>
      <c r="B476" s="135" t="s">
        <v>2104</v>
      </c>
      <c r="C476" s="135"/>
      <c r="D476" s="135" t="s">
        <v>567</v>
      </c>
      <c r="E476" s="19" t="s">
        <v>1182</v>
      </c>
      <c r="F476" s="20">
        <v>42552</v>
      </c>
      <c r="G476" s="19" t="s">
        <v>2105</v>
      </c>
      <c r="H476" s="19">
        <v>63907</v>
      </c>
      <c r="I476" s="135" t="s">
        <v>2106</v>
      </c>
      <c r="J476" s="135" t="s">
        <v>2052</v>
      </c>
      <c r="K476" s="143" t="s">
        <v>570</v>
      </c>
      <c r="L476" s="137" t="s">
        <v>570</v>
      </c>
      <c r="M476" s="137" t="s">
        <v>570</v>
      </c>
      <c r="N476" s="137" t="s">
        <v>570</v>
      </c>
      <c r="O476" s="137" t="s">
        <v>570</v>
      </c>
      <c r="P476" s="421"/>
      <c r="Q476" s="179"/>
      <c r="R476" s="179"/>
      <c r="S476" s="179"/>
      <c r="T476" s="500" t="e">
        <f>_xlfn.XLOOKUP(H476,#REF!,#REF!,0,0)</f>
        <v>#REF!</v>
      </c>
    </row>
    <row r="477" spans="1:20" x14ac:dyDescent="0.4">
      <c r="A477" s="135" t="s">
        <v>570</v>
      </c>
      <c r="B477" s="134" t="s">
        <v>2107</v>
      </c>
      <c r="C477" s="134"/>
      <c r="D477" s="135" t="s">
        <v>567</v>
      </c>
      <c r="E477" s="19" t="s">
        <v>1182</v>
      </c>
      <c r="F477" s="135">
        <v>42552</v>
      </c>
      <c r="G477" s="19" t="s">
        <v>2108</v>
      </c>
      <c r="H477" s="19">
        <v>63895</v>
      </c>
      <c r="I477" s="135" t="s">
        <v>2109</v>
      </c>
      <c r="J477" s="135" t="s">
        <v>2110</v>
      </c>
      <c r="K477" s="143" t="s">
        <v>570</v>
      </c>
      <c r="L477" s="137" t="s">
        <v>570</v>
      </c>
      <c r="M477" s="137" t="s">
        <v>570</v>
      </c>
      <c r="N477" s="137" t="s">
        <v>570</v>
      </c>
      <c r="O477" s="137" t="s">
        <v>570</v>
      </c>
      <c r="P477" s="449"/>
      <c r="Q477" s="179"/>
      <c r="R477" s="179"/>
      <c r="S477" s="179"/>
      <c r="T477" s="500" t="e">
        <f>_xlfn.XLOOKUP(H477,#REF!,#REF!,0,0)</f>
        <v>#REF!</v>
      </c>
    </row>
    <row r="478" spans="1:20" x14ac:dyDescent="0.4">
      <c r="A478" s="135" t="s">
        <v>570</v>
      </c>
      <c r="B478" s="135" t="s">
        <v>2111</v>
      </c>
      <c r="C478" s="135"/>
      <c r="D478" s="135" t="s">
        <v>567</v>
      </c>
      <c r="E478" s="19" t="s">
        <v>1182</v>
      </c>
      <c r="F478" s="135"/>
      <c r="G478" s="19" t="s">
        <v>1398</v>
      </c>
      <c r="H478" s="19">
        <v>59494</v>
      </c>
      <c r="I478" s="135" t="s">
        <v>2112</v>
      </c>
      <c r="J478" s="135"/>
      <c r="K478" s="143" t="s">
        <v>570</v>
      </c>
      <c r="L478" s="137" t="s">
        <v>570</v>
      </c>
      <c r="M478" s="137" t="s">
        <v>570</v>
      </c>
      <c r="N478" s="137" t="s">
        <v>570</v>
      </c>
      <c r="O478" s="137" t="s">
        <v>570</v>
      </c>
      <c r="P478" s="421"/>
      <c r="Q478" s="179"/>
      <c r="R478" s="179"/>
      <c r="S478" s="179"/>
      <c r="T478" s="500" t="e">
        <f>_xlfn.XLOOKUP(H478,#REF!,#REF!,0,0)</f>
        <v>#REF!</v>
      </c>
    </row>
    <row r="479" spans="1:20" x14ac:dyDescent="0.4">
      <c r="A479" s="135" t="s">
        <v>570</v>
      </c>
      <c r="B479" s="135" t="s">
        <v>2113</v>
      </c>
      <c r="C479" s="135"/>
      <c r="D479" s="135" t="s">
        <v>567</v>
      </c>
      <c r="E479" s="19" t="s">
        <v>1182</v>
      </c>
      <c r="F479" s="20">
        <v>42552</v>
      </c>
      <c r="G479" s="19" t="s">
        <v>2114</v>
      </c>
      <c r="H479" s="19">
        <v>63888</v>
      </c>
      <c r="I479" s="135" t="s">
        <v>2115</v>
      </c>
      <c r="J479" s="135" t="s">
        <v>2116</v>
      </c>
      <c r="K479" s="143" t="s">
        <v>570</v>
      </c>
      <c r="L479" s="137" t="s">
        <v>570</v>
      </c>
      <c r="M479" s="137" t="s">
        <v>570</v>
      </c>
      <c r="N479" s="137" t="s">
        <v>570</v>
      </c>
      <c r="O479" s="137" t="s">
        <v>570</v>
      </c>
      <c r="P479" s="449"/>
      <c r="Q479" s="179"/>
      <c r="R479" s="179"/>
      <c r="S479" s="179"/>
      <c r="T479" s="500" t="e">
        <f>_xlfn.XLOOKUP(H479,#REF!,#REF!,0,0)</f>
        <v>#REF!</v>
      </c>
    </row>
    <row r="480" spans="1:20" x14ac:dyDescent="0.4">
      <c r="A480" s="135" t="s">
        <v>570</v>
      </c>
      <c r="B480" s="135" t="s">
        <v>2117</v>
      </c>
      <c r="C480" s="135"/>
      <c r="D480" s="135" t="s">
        <v>567</v>
      </c>
      <c r="E480" s="19" t="s">
        <v>1182</v>
      </c>
      <c r="F480" s="20">
        <v>42552</v>
      </c>
      <c r="G480" s="19" t="s">
        <v>2118</v>
      </c>
      <c r="H480" s="19">
        <v>63889</v>
      </c>
      <c r="I480" s="135" t="s">
        <v>2119</v>
      </c>
      <c r="J480" s="135" t="s">
        <v>2120</v>
      </c>
      <c r="K480" s="143" t="s">
        <v>570</v>
      </c>
      <c r="L480" s="137" t="s">
        <v>570</v>
      </c>
      <c r="M480" s="137" t="s">
        <v>570</v>
      </c>
      <c r="N480" s="137" t="s">
        <v>570</v>
      </c>
      <c r="O480" s="137" t="s">
        <v>570</v>
      </c>
      <c r="P480" s="449"/>
      <c r="Q480" s="179"/>
      <c r="R480" s="179"/>
      <c r="S480" s="179"/>
      <c r="T480" s="500" t="e">
        <f>_xlfn.XLOOKUP(H480,#REF!,#REF!,0,0)</f>
        <v>#REF!</v>
      </c>
    </row>
    <row r="481" spans="1:20" x14ac:dyDescent="0.4">
      <c r="A481" s="135" t="s">
        <v>570</v>
      </c>
      <c r="B481" s="135" t="s">
        <v>2121</v>
      </c>
      <c r="C481" s="135"/>
      <c r="D481" s="135" t="s">
        <v>567</v>
      </c>
      <c r="E481" s="19" t="s">
        <v>1182</v>
      </c>
      <c r="F481" s="20">
        <v>42552</v>
      </c>
      <c r="G481" s="19" t="s">
        <v>2122</v>
      </c>
      <c r="H481" s="19">
        <v>63881</v>
      </c>
      <c r="I481" s="135" t="s">
        <v>2123</v>
      </c>
      <c r="J481" s="135" t="s">
        <v>2124</v>
      </c>
      <c r="K481" s="143" t="s">
        <v>570</v>
      </c>
      <c r="L481" s="137" t="s">
        <v>570</v>
      </c>
      <c r="M481" s="137" t="s">
        <v>570</v>
      </c>
      <c r="N481" s="137" t="s">
        <v>570</v>
      </c>
      <c r="O481" s="137" t="s">
        <v>570</v>
      </c>
      <c r="P481" s="421"/>
      <c r="Q481" s="179"/>
      <c r="R481" s="179"/>
      <c r="S481" s="179"/>
      <c r="T481" s="500" t="e">
        <f>_xlfn.XLOOKUP(H481,#REF!,#REF!,0,0)</f>
        <v>#REF!</v>
      </c>
    </row>
    <row r="482" spans="1:20" x14ac:dyDescent="0.4">
      <c r="A482" s="139" t="s">
        <v>570</v>
      </c>
      <c r="B482" s="140" t="s">
        <v>2125</v>
      </c>
      <c r="C482" s="140"/>
      <c r="D482" s="139" t="s">
        <v>567</v>
      </c>
      <c r="E482" s="141" t="s">
        <v>1182</v>
      </c>
      <c r="F482" s="194">
        <v>42552</v>
      </c>
      <c r="G482" s="141" t="s">
        <v>2126</v>
      </c>
      <c r="H482" s="141">
        <v>63880</v>
      </c>
      <c r="I482" s="139" t="s">
        <v>2127</v>
      </c>
      <c r="J482" s="139" t="s">
        <v>2128</v>
      </c>
      <c r="K482" s="143" t="s">
        <v>570</v>
      </c>
      <c r="L482" s="137" t="s">
        <v>570</v>
      </c>
      <c r="M482" s="137" t="s">
        <v>570</v>
      </c>
      <c r="N482" s="137" t="s">
        <v>570</v>
      </c>
      <c r="O482" s="137" t="s">
        <v>570</v>
      </c>
      <c r="P482" s="421"/>
      <c r="Q482" s="179"/>
      <c r="R482" s="179"/>
      <c r="S482" s="179"/>
      <c r="T482" s="500" t="e">
        <f>_xlfn.XLOOKUP(H482,#REF!,#REF!,0,0)</f>
        <v>#REF!</v>
      </c>
    </row>
    <row r="483" spans="1:20" x14ac:dyDescent="0.4">
      <c r="A483" s="139" t="s">
        <v>570</v>
      </c>
      <c r="B483" s="139" t="s">
        <v>2129</v>
      </c>
      <c r="C483" s="139"/>
      <c r="D483" s="139" t="s">
        <v>567</v>
      </c>
      <c r="E483" s="141" t="s">
        <v>1182</v>
      </c>
      <c r="F483" s="194">
        <v>42552</v>
      </c>
      <c r="G483" s="141" t="s">
        <v>54</v>
      </c>
      <c r="H483" s="141">
        <v>63894</v>
      </c>
      <c r="I483" s="139" t="s">
        <v>2130</v>
      </c>
      <c r="J483" s="139" t="s">
        <v>2131</v>
      </c>
      <c r="K483" s="143" t="s">
        <v>570</v>
      </c>
      <c r="L483" s="137" t="s">
        <v>570</v>
      </c>
      <c r="M483" s="137" t="s">
        <v>570</v>
      </c>
      <c r="N483" s="137" t="s">
        <v>570</v>
      </c>
      <c r="O483" s="137" t="s">
        <v>570</v>
      </c>
      <c r="P483" s="421"/>
      <c r="Q483" s="179"/>
      <c r="R483" s="179"/>
      <c r="S483" s="179"/>
      <c r="T483" s="500" t="e">
        <f>_xlfn.XLOOKUP(H483,#REF!,#REF!,0,0)</f>
        <v>#REF!</v>
      </c>
    </row>
    <row r="484" spans="1:20" x14ac:dyDescent="0.4">
      <c r="A484" s="139" t="s">
        <v>570</v>
      </c>
      <c r="B484" s="139" t="s">
        <v>2132</v>
      </c>
      <c r="C484" s="139"/>
      <c r="D484" s="139" t="s">
        <v>567</v>
      </c>
      <c r="E484" s="141" t="s">
        <v>1182</v>
      </c>
      <c r="F484" s="194">
        <v>42552</v>
      </c>
      <c r="G484" s="141" t="s">
        <v>2133</v>
      </c>
      <c r="H484" s="141">
        <v>63897</v>
      </c>
      <c r="I484" s="139" t="s">
        <v>2134</v>
      </c>
      <c r="J484" s="139" t="s">
        <v>2135</v>
      </c>
      <c r="K484" s="143" t="s">
        <v>570</v>
      </c>
      <c r="L484" s="137" t="s">
        <v>570</v>
      </c>
      <c r="M484" s="137" t="s">
        <v>570</v>
      </c>
      <c r="N484" s="137" t="s">
        <v>570</v>
      </c>
      <c r="O484" s="137" t="s">
        <v>570</v>
      </c>
      <c r="P484" s="421"/>
      <c r="Q484" s="179"/>
      <c r="R484" s="179"/>
      <c r="S484" s="179"/>
      <c r="T484" s="500" t="e">
        <f>_xlfn.XLOOKUP(H484,#REF!,#REF!,0,0)</f>
        <v>#REF!</v>
      </c>
    </row>
    <row r="485" spans="1:20" x14ac:dyDescent="0.4">
      <c r="A485" s="135" t="s">
        <v>570</v>
      </c>
      <c r="B485" s="135" t="s">
        <v>2136</v>
      </c>
      <c r="C485" s="135"/>
      <c r="D485" s="135" t="s">
        <v>567</v>
      </c>
      <c r="E485" s="19" t="s">
        <v>1182</v>
      </c>
      <c r="F485" s="20">
        <v>42552</v>
      </c>
      <c r="G485" s="19" t="s">
        <v>2137</v>
      </c>
      <c r="H485" s="19">
        <v>63883</v>
      </c>
      <c r="I485" s="135" t="s">
        <v>2138</v>
      </c>
      <c r="J485" s="135" t="s">
        <v>2139</v>
      </c>
      <c r="K485" s="143" t="s">
        <v>570</v>
      </c>
      <c r="L485" s="137" t="s">
        <v>570</v>
      </c>
      <c r="M485" s="137" t="s">
        <v>570</v>
      </c>
      <c r="N485" s="137" t="s">
        <v>570</v>
      </c>
      <c r="O485" s="137" t="s">
        <v>570</v>
      </c>
      <c r="P485" s="421"/>
      <c r="Q485" s="179"/>
      <c r="R485" s="179"/>
      <c r="S485" s="179"/>
      <c r="T485" s="500" t="e">
        <f>_xlfn.XLOOKUP(H485,#REF!,#REF!,0,0)</f>
        <v>#REF!</v>
      </c>
    </row>
    <row r="486" spans="1:20" x14ac:dyDescent="0.4">
      <c r="A486" s="135" t="s">
        <v>364</v>
      </c>
      <c r="B486" s="135" t="s">
        <v>2140</v>
      </c>
      <c r="C486" s="135"/>
      <c r="D486" s="135" t="s">
        <v>567</v>
      </c>
      <c r="E486" s="19" t="s">
        <v>1182</v>
      </c>
      <c r="F486" s="20"/>
      <c r="G486" s="19" t="s">
        <v>1806</v>
      </c>
      <c r="H486" s="19">
        <v>60443</v>
      </c>
      <c r="I486" s="135"/>
      <c r="J486" s="135"/>
      <c r="K486" s="143" t="s">
        <v>570</v>
      </c>
      <c r="L486" s="137" t="s">
        <v>570</v>
      </c>
      <c r="M486" s="137" t="s">
        <v>570</v>
      </c>
      <c r="N486" s="137" t="s">
        <v>570</v>
      </c>
      <c r="O486" s="137" t="s">
        <v>570</v>
      </c>
      <c r="P486" s="421"/>
      <c r="Q486" s="179"/>
      <c r="R486" s="179"/>
      <c r="S486" s="179"/>
      <c r="T486" s="500" t="e">
        <f>_xlfn.XLOOKUP(H486,#REF!,#REF!,0,0)</f>
        <v>#REF!</v>
      </c>
    </row>
    <row r="487" spans="1:20" x14ac:dyDescent="0.4">
      <c r="A487" s="135" t="s">
        <v>570</v>
      </c>
      <c r="B487" s="134" t="s">
        <v>2141</v>
      </c>
      <c r="C487" s="134"/>
      <c r="D487" s="135" t="s">
        <v>567</v>
      </c>
      <c r="E487" s="19" t="s">
        <v>1182</v>
      </c>
      <c r="F487" s="20"/>
      <c r="G487" s="19" t="s">
        <v>1522</v>
      </c>
      <c r="H487" s="19">
        <v>59827</v>
      </c>
      <c r="I487" s="135"/>
      <c r="J487" s="135"/>
      <c r="K487" s="143" t="s">
        <v>570</v>
      </c>
      <c r="L487" s="137" t="s">
        <v>570</v>
      </c>
      <c r="M487" s="137" t="s">
        <v>570</v>
      </c>
      <c r="N487" s="137" t="s">
        <v>570</v>
      </c>
      <c r="O487" s="137" t="s">
        <v>570</v>
      </c>
      <c r="P487" s="421"/>
      <c r="Q487" s="179"/>
      <c r="R487" s="179"/>
      <c r="S487" s="179"/>
      <c r="T487" s="500" t="e">
        <f>_xlfn.XLOOKUP(H487,#REF!,#REF!,0,0)</f>
        <v>#REF!</v>
      </c>
    </row>
    <row r="488" spans="1:20" x14ac:dyDescent="0.4">
      <c r="A488" s="129" t="s">
        <v>570</v>
      </c>
      <c r="B488" s="142" t="s">
        <v>2142</v>
      </c>
      <c r="C488" s="142"/>
      <c r="D488" s="129" t="s">
        <v>567</v>
      </c>
      <c r="E488" s="130" t="s">
        <v>1182</v>
      </c>
      <c r="F488" s="129">
        <v>42552</v>
      </c>
      <c r="G488" s="130" t="s">
        <v>329</v>
      </c>
      <c r="H488" s="130">
        <v>63886</v>
      </c>
      <c r="I488" s="129" t="s">
        <v>2143</v>
      </c>
      <c r="J488" s="129" t="s">
        <v>2144</v>
      </c>
      <c r="K488" s="143" t="s">
        <v>570</v>
      </c>
      <c r="L488" s="137" t="s">
        <v>570</v>
      </c>
      <c r="M488" s="137" t="s">
        <v>570</v>
      </c>
      <c r="N488" s="137" t="s">
        <v>570</v>
      </c>
      <c r="O488" s="137" t="s">
        <v>570</v>
      </c>
      <c r="P488" s="421"/>
      <c r="Q488" s="179"/>
      <c r="R488" s="179"/>
      <c r="S488" s="179"/>
      <c r="T488" s="500" t="e">
        <f>_xlfn.XLOOKUP(H488,#REF!,#REF!,0,0)</f>
        <v>#REF!</v>
      </c>
    </row>
    <row r="489" spans="1:20" x14ac:dyDescent="0.4">
      <c r="A489" s="129" t="s">
        <v>570</v>
      </c>
      <c r="B489" s="129" t="s">
        <v>2145</v>
      </c>
      <c r="C489" s="129"/>
      <c r="D489" s="129" t="s">
        <v>567</v>
      </c>
      <c r="E489" s="130" t="s">
        <v>1182</v>
      </c>
      <c r="F489" s="129">
        <v>42552</v>
      </c>
      <c r="G489" s="130" t="s">
        <v>2146</v>
      </c>
      <c r="H489" s="130">
        <v>63884</v>
      </c>
      <c r="I489" s="129" t="s">
        <v>2147</v>
      </c>
      <c r="J489" s="129" t="s">
        <v>2148</v>
      </c>
      <c r="K489" s="143" t="s">
        <v>570</v>
      </c>
      <c r="L489" s="137" t="s">
        <v>570</v>
      </c>
      <c r="M489" s="137" t="s">
        <v>570</v>
      </c>
      <c r="N489" s="137" t="s">
        <v>570</v>
      </c>
      <c r="O489" s="137" t="s">
        <v>570</v>
      </c>
      <c r="P489" s="421"/>
      <c r="Q489" s="179"/>
      <c r="R489" s="179"/>
      <c r="S489" s="179"/>
      <c r="T489" s="500" t="e">
        <f>_xlfn.XLOOKUP(H489,#REF!,#REF!,0,0)</f>
        <v>#REF!</v>
      </c>
    </row>
    <row r="490" spans="1:20" x14ac:dyDescent="0.4">
      <c r="A490" s="129" t="s">
        <v>570</v>
      </c>
      <c r="B490" s="129" t="s">
        <v>2149</v>
      </c>
      <c r="C490" s="129"/>
      <c r="D490" s="129" t="s">
        <v>567</v>
      </c>
      <c r="E490" s="130" t="s">
        <v>1182</v>
      </c>
      <c r="F490" s="129">
        <v>42552</v>
      </c>
      <c r="G490" s="130" t="s">
        <v>2150</v>
      </c>
      <c r="H490" s="130">
        <v>63882</v>
      </c>
      <c r="I490" s="129" t="s">
        <v>2151</v>
      </c>
      <c r="J490" s="129" t="s">
        <v>2152</v>
      </c>
      <c r="K490" s="143" t="s">
        <v>570</v>
      </c>
      <c r="L490" s="137" t="s">
        <v>570</v>
      </c>
      <c r="M490" s="137" t="s">
        <v>570</v>
      </c>
      <c r="N490" s="137" t="s">
        <v>570</v>
      </c>
      <c r="O490" s="137" t="s">
        <v>570</v>
      </c>
      <c r="P490" s="421"/>
      <c r="Q490" s="179"/>
      <c r="R490" s="179"/>
      <c r="S490" s="179"/>
      <c r="T490" s="500" t="e">
        <f>_xlfn.XLOOKUP(H490,#REF!,#REF!,0,0)</f>
        <v>#REF!</v>
      </c>
    </row>
    <row r="491" spans="1:20" x14ac:dyDescent="0.4">
      <c r="A491" s="129" t="s">
        <v>570</v>
      </c>
      <c r="B491" s="129" t="s">
        <v>2153</v>
      </c>
      <c r="C491" s="129"/>
      <c r="D491" s="129" t="s">
        <v>567</v>
      </c>
      <c r="E491" s="130" t="s">
        <v>1182</v>
      </c>
      <c r="F491" s="129">
        <v>42552</v>
      </c>
      <c r="G491" s="130" t="s">
        <v>2154</v>
      </c>
      <c r="H491" s="130">
        <v>63903</v>
      </c>
      <c r="I491" s="129"/>
      <c r="J491" s="129" t="s">
        <v>2155</v>
      </c>
      <c r="K491" s="143" t="s">
        <v>570</v>
      </c>
      <c r="L491" s="137" t="s">
        <v>570</v>
      </c>
      <c r="M491" s="137" t="s">
        <v>570</v>
      </c>
      <c r="N491" s="137" t="s">
        <v>570</v>
      </c>
      <c r="O491" s="137" t="s">
        <v>570</v>
      </c>
      <c r="P491" s="421"/>
      <c r="Q491" s="179"/>
      <c r="R491" s="179"/>
      <c r="S491" s="179"/>
      <c r="T491" s="500" t="e">
        <f>_xlfn.XLOOKUP(H491,#REF!,#REF!,0,0)</f>
        <v>#REF!</v>
      </c>
    </row>
    <row r="492" spans="1:20" x14ac:dyDescent="0.4">
      <c r="A492" s="129" t="s">
        <v>570</v>
      </c>
      <c r="B492" s="129" t="s">
        <v>2156</v>
      </c>
      <c r="C492" s="129"/>
      <c r="D492" s="129" t="s">
        <v>567</v>
      </c>
      <c r="E492" s="130" t="s">
        <v>1182</v>
      </c>
      <c r="F492" s="129"/>
      <c r="G492" s="130" t="s">
        <v>1659</v>
      </c>
      <c r="H492" s="130">
        <v>60055</v>
      </c>
      <c r="I492" s="129"/>
      <c r="J492" s="129"/>
      <c r="K492" s="143" t="s">
        <v>570</v>
      </c>
      <c r="L492" s="137" t="s">
        <v>570</v>
      </c>
      <c r="M492" s="137" t="s">
        <v>570</v>
      </c>
      <c r="N492" s="137" t="s">
        <v>570</v>
      </c>
      <c r="O492" s="137" t="s">
        <v>570</v>
      </c>
      <c r="P492" s="421"/>
      <c r="Q492" s="179"/>
      <c r="R492" s="179"/>
      <c r="S492" s="179"/>
      <c r="T492" s="500" t="e">
        <f>_xlfn.XLOOKUP(H492,#REF!,#REF!,0,0)</f>
        <v>#REF!</v>
      </c>
    </row>
    <row r="493" spans="1:20" x14ac:dyDescent="0.4">
      <c r="A493" s="137" t="s">
        <v>570</v>
      </c>
      <c r="B493" s="137" t="s">
        <v>2157</v>
      </c>
      <c r="C493" s="137"/>
      <c r="D493" s="137" t="s">
        <v>567</v>
      </c>
      <c r="E493" s="143" t="s">
        <v>1182</v>
      </c>
      <c r="F493" s="137">
        <v>42552</v>
      </c>
      <c r="G493" s="143" t="s">
        <v>2158</v>
      </c>
      <c r="H493" s="143">
        <v>63885</v>
      </c>
      <c r="I493" s="137" t="s">
        <v>2159</v>
      </c>
      <c r="J493" s="137" t="s">
        <v>2160</v>
      </c>
      <c r="K493" s="143" t="s">
        <v>570</v>
      </c>
      <c r="L493" s="137" t="s">
        <v>570</v>
      </c>
      <c r="M493" s="137" t="s">
        <v>570</v>
      </c>
      <c r="N493" s="137" t="s">
        <v>570</v>
      </c>
      <c r="O493" s="137" t="s">
        <v>570</v>
      </c>
      <c r="P493" s="421"/>
      <c r="Q493" s="179"/>
      <c r="R493" s="179"/>
      <c r="S493" s="179"/>
      <c r="T493" s="500" t="e">
        <f>_xlfn.XLOOKUP(H493,#REF!,#REF!,0,0)</f>
        <v>#REF!</v>
      </c>
    </row>
    <row r="494" spans="1:20" x14ac:dyDescent="0.4">
      <c r="A494" s="137" t="s">
        <v>570</v>
      </c>
      <c r="B494" s="137" t="s">
        <v>2161</v>
      </c>
      <c r="C494" s="137"/>
      <c r="D494" s="137" t="s">
        <v>567</v>
      </c>
      <c r="E494" s="143" t="s">
        <v>1182</v>
      </c>
      <c r="F494" s="20">
        <v>42552</v>
      </c>
      <c r="G494" s="143" t="s">
        <v>2162</v>
      </c>
      <c r="H494" s="143">
        <v>63906</v>
      </c>
      <c r="I494" s="137" t="s">
        <v>2163</v>
      </c>
      <c r="J494" s="137" t="s">
        <v>2164</v>
      </c>
      <c r="K494" s="143" t="s">
        <v>570</v>
      </c>
      <c r="L494" s="137" t="s">
        <v>570</v>
      </c>
      <c r="M494" s="137" t="s">
        <v>570</v>
      </c>
      <c r="N494" s="137" t="s">
        <v>570</v>
      </c>
      <c r="O494" s="137" t="s">
        <v>570</v>
      </c>
      <c r="P494" s="421"/>
      <c r="Q494" s="179"/>
      <c r="R494" s="179"/>
      <c r="S494" s="179"/>
      <c r="T494" s="500" t="e">
        <f>_xlfn.XLOOKUP(H494,#REF!,#REF!,0,0)</f>
        <v>#REF!</v>
      </c>
    </row>
    <row r="495" spans="1:20" x14ac:dyDescent="0.4">
      <c r="A495" s="134" t="s">
        <v>570</v>
      </c>
      <c r="B495" s="137" t="s">
        <v>2165</v>
      </c>
      <c r="C495" s="137"/>
      <c r="D495" s="134" t="s">
        <v>567</v>
      </c>
      <c r="E495" s="18" t="s">
        <v>1182</v>
      </c>
      <c r="F495" s="135">
        <v>42552</v>
      </c>
      <c r="G495" s="19" t="s">
        <v>2166</v>
      </c>
      <c r="H495" s="18">
        <v>63871</v>
      </c>
      <c r="I495" s="135" t="s">
        <v>2167</v>
      </c>
      <c r="J495" s="135" t="s">
        <v>2168</v>
      </c>
      <c r="K495" s="143" t="s">
        <v>570</v>
      </c>
      <c r="L495" s="137" t="s">
        <v>570</v>
      </c>
      <c r="M495" s="137" t="s">
        <v>570</v>
      </c>
      <c r="N495" s="137" t="s">
        <v>570</v>
      </c>
      <c r="O495" s="137" t="s">
        <v>570</v>
      </c>
      <c r="P495" s="421"/>
      <c r="Q495" s="179"/>
      <c r="R495" s="179"/>
      <c r="S495" s="179"/>
      <c r="T495" s="500" t="e">
        <f>_xlfn.XLOOKUP(H495,#REF!,#REF!,0,0)</f>
        <v>#REF!</v>
      </c>
    </row>
    <row r="496" spans="1:20" x14ac:dyDescent="0.4">
      <c r="A496" s="137" t="s">
        <v>570</v>
      </c>
      <c r="B496" s="137" t="s">
        <v>2169</v>
      </c>
      <c r="C496" s="137"/>
      <c r="D496" s="137" t="s">
        <v>567</v>
      </c>
      <c r="E496" s="143" t="s">
        <v>1182</v>
      </c>
      <c r="F496" s="137">
        <v>42552</v>
      </c>
      <c r="G496" s="143" t="s">
        <v>2170</v>
      </c>
      <c r="H496" s="143">
        <v>63875</v>
      </c>
      <c r="I496" s="137" t="s">
        <v>2171</v>
      </c>
      <c r="J496" s="137" t="s">
        <v>2172</v>
      </c>
      <c r="K496" s="143" t="s">
        <v>570</v>
      </c>
      <c r="L496" s="137" t="s">
        <v>570</v>
      </c>
      <c r="M496" s="137" t="s">
        <v>570</v>
      </c>
      <c r="N496" s="137" t="s">
        <v>570</v>
      </c>
      <c r="O496" s="137" t="s">
        <v>570</v>
      </c>
      <c r="P496" s="421"/>
      <c r="Q496" s="179"/>
      <c r="R496" s="179"/>
      <c r="S496" s="179"/>
      <c r="T496" s="500" t="e">
        <f>_xlfn.XLOOKUP(H496,#REF!,#REF!,0,0)</f>
        <v>#REF!</v>
      </c>
    </row>
    <row r="497" spans="1:20" x14ac:dyDescent="0.4">
      <c r="A497" s="137" t="s">
        <v>570</v>
      </c>
      <c r="B497" s="137" t="s">
        <v>2173</v>
      </c>
      <c r="C497" s="137"/>
      <c r="D497" s="135" t="s">
        <v>567</v>
      </c>
      <c r="E497" s="19" t="s">
        <v>1182</v>
      </c>
      <c r="F497" s="20">
        <v>42552</v>
      </c>
      <c r="G497" s="19" t="s">
        <v>53</v>
      </c>
      <c r="H497" s="19">
        <v>63878</v>
      </c>
      <c r="I497" s="135" t="s">
        <v>2174</v>
      </c>
      <c r="J497" s="135" t="s">
        <v>2175</v>
      </c>
      <c r="K497" s="143" t="s">
        <v>570</v>
      </c>
      <c r="L497" s="137" t="s">
        <v>570</v>
      </c>
      <c r="M497" s="137" t="s">
        <v>570</v>
      </c>
      <c r="N497" s="137" t="s">
        <v>570</v>
      </c>
      <c r="O497" s="137" t="s">
        <v>570</v>
      </c>
      <c r="P497" s="421"/>
      <c r="Q497" s="179"/>
      <c r="R497" s="179"/>
      <c r="S497" s="179"/>
      <c r="T497" s="500" t="e">
        <f>_xlfn.XLOOKUP(H497,#REF!,#REF!,0,0)</f>
        <v>#REF!</v>
      </c>
    </row>
    <row r="498" spans="1:20" x14ac:dyDescent="0.4">
      <c r="A498" s="135" t="s">
        <v>570</v>
      </c>
      <c r="B498" s="135" t="s">
        <v>2176</v>
      </c>
      <c r="C498" s="135"/>
      <c r="D498" s="135" t="s">
        <v>567</v>
      </c>
      <c r="E498" s="19" t="s">
        <v>1182</v>
      </c>
      <c r="F498" s="20">
        <v>42552</v>
      </c>
      <c r="G498" s="19" t="s">
        <v>2177</v>
      </c>
      <c r="H498" s="19">
        <v>63904</v>
      </c>
      <c r="I498" s="135" t="s">
        <v>2178</v>
      </c>
      <c r="J498" s="135" t="s">
        <v>2179</v>
      </c>
      <c r="K498" s="143" t="s">
        <v>570</v>
      </c>
      <c r="L498" s="137" t="s">
        <v>570</v>
      </c>
      <c r="M498" s="137" t="s">
        <v>570</v>
      </c>
      <c r="N498" s="137" t="s">
        <v>570</v>
      </c>
      <c r="O498" s="137" t="s">
        <v>570</v>
      </c>
      <c r="P498" s="421"/>
      <c r="Q498" s="179"/>
      <c r="R498" s="179"/>
      <c r="S498" s="179"/>
      <c r="T498" s="500" t="e">
        <f>_xlfn.XLOOKUP(H498,#REF!,#REF!,0,0)</f>
        <v>#REF!</v>
      </c>
    </row>
    <row r="499" spans="1:20" x14ac:dyDescent="0.4">
      <c r="A499" s="135" t="s">
        <v>864</v>
      </c>
      <c r="B499" s="135" t="s">
        <v>2180</v>
      </c>
      <c r="C499" s="135"/>
      <c r="D499" s="135" t="s">
        <v>567</v>
      </c>
      <c r="E499" s="19" t="s">
        <v>1182</v>
      </c>
      <c r="F499" s="135">
        <v>42552</v>
      </c>
      <c r="G499" s="19" t="s">
        <v>2181</v>
      </c>
      <c r="H499" s="19">
        <v>64265</v>
      </c>
      <c r="I499" s="135" t="s">
        <v>2182</v>
      </c>
      <c r="J499" s="135" t="s">
        <v>2183</v>
      </c>
      <c r="K499" s="143" t="s">
        <v>570</v>
      </c>
      <c r="L499" s="137" t="s">
        <v>570</v>
      </c>
      <c r="M499" s="137" t="s">
        <v>570</v>
      </c>
      <c r="N499" s="137" t="s">
        <v>570</v>
      </c>
      <c r="O499" s="137" t="s">
        <v>570</v>
      </c>
      <c r="P499" s="421"/>
      <c r="Q499" s="179"/>
      <c r="R499" s="179"/>
      <c r="S499" s="179"/>
      <c r="T499" s="500" t="e">
        <f>_xlfn.XLOOKUP(H499,#REF!,#REF!,0,0)</f>
        <v>#REF!</v>
      </c>
    </row>
    <row r="500" spans="1:20" x14ac:dyDescent="0.4">
      <c r="A500" s="135" t="s">
        <v>570</v>
      </c>
      <c r="B500" s="135" t="s">
        <v>2184</v>
      </c>
      <c r="C500" s="135"/>
      <c r="D500" s="135" t="s">
        <v>567</v>
      </c>
      <c r="E500" s="19" t="s">
        <v>1182</v>
      </c>
      <c r="F500" s="20">
        <v>42552</v>
      </c>
      <c r="G500" s="19" t="s">
        <v>2185</v>
      </c>
      <c r="H500" s="19">
        <v>63873</v>
      </c>
      <c r="I500" s="135" t="s">
        <v>2186</v>
      </c>
      <c r="J500" s="135" t="s">
        <v>2187</v>
      </c>
      <c r="K500" s="143" t="s">
        <v>570</v>
      </c>
      <c r="L500" s="137" t="s">
        <v>570</v>
      </c>
      <c r="M500" s="137" t="s">
        <v>570</v>
      </c>
      <c r="N500" s="137" t="s">
        <v>570</v>
      </c>
      <c r="O500" s="137" t="s">
        <v>570</v>
      </c>
      <c r="P500" s="421"/>
      <c r="Q500" s="179"/>
      <c r="R500" s="179"/>
      <c r="S500" s="179"/>
      <c r="T500" s="500" t="e">
        <f>_xlfn.XLOOKUP(H500,#REF!,#REF!,0,0)</f>
        <v>#REF!</v>
      </c>
    </row>
    <row r="501" spans="1:20" x14ac:dyDescent="0.4">
      <c r="A501" s="135" t="s">
        <v>570</v>
      </c>
      <c r="B501" s="135" t="s">
        <v>2188</v>
      </c>
      <c r="C501" s="135"/>
      <c r="D501" s="134" t="s">
        <v>567</v>
      </c>
      <c r="E501" s="18" t="s">
        <v>1182</v>
      </c>
      <c r="F501" s="20">
        <v>42552</v>
      </c>
      <c r="G501" s="18" t="s">
        <v>2189</v>
      </c>
      <c r="H501" s="18">
        <v>63872</v>
      </c>
      <c r="I501" s="134" t="s">
        <v>2190</v>
      </c>
      <c r="J501" s="134" t="s">
        <v>2191</v>
      </c>
      <c r="K501" s="143" t="s">
        <v>570</v>
      </c>
      <c r="L501" s="137" t="s">
        <v>570</v>
      </c>
      <c r="M501" s="137" t="s">
        <v>570</v>
      </c>
      <c r="N501" s="137" t="s">
        <v>570</v>
      </c>
      <c r="O501" s="137" t="s">
        <v>570</v>
      </c>
      <c r="P501" s="421"/>
      <c r="Q501" s="179"/>
      <c r="R501" s="179"/>
      <c r="S501" s="179"/>
      <c r="T501" s="500" t="e">
        <f>_xlfn.XLOOKUP(H501,#REF!,#REF!,0,0)</f>
        <v>#REF!</v>
      </c>
    </row>
    <row r="502" spans="1:20" x14ac:dyDescent="0.4">
      <c r="A502" s="137" t="s">
        <v>570</v>
      </c>
      <c r="B502" s="137" t="s">
        <v>2192</v>
      </c>
      <c r="C502" s="137"/>
      <c r="D502" s="137" t="s">
        <v>567</v>
      </c>
      <c r="E502" s="143" t="s">
        <v>1182</v>
      </c>
      <c r="F502" s="195">
        <v>42552</v>
      </c>
      <c r="G502" s="143" t="s">
        <v>764</v>
      </c>
      <c r="H502" s="143">
        <v>64266</v>
      </c>
      <c r="I502" s="137" t="s">
        <v>2193</v>
      </c>
      <c r="J502" s="137" t="s">
        <v>765</v>
      </c>
      <c r="K502" s="143" t="s">
        <v>570</v>
      </c>
      <c r="L502" s="137" t="s">
        <v>570</v>
      </c>
      <c r="M502" s="137" t="s">
        <v>570</v>
      </c>
      <c r="N502" s="137" t="s">
        <v>570</v>
      </c>
      <c r="O502" s="137" t="s">
        <v>570</v>
      </c>
      <c r="P502" s="421"/>
      <c r="Q502" s="179"/>
      <c r="R502" s="179"/>
      <c r="S502" s="179"/>
      <c r="T502" s="500" t="e">
        <f>_xlfn.XLOOKUP(H502,#REF!,#REF!,0,0)</f>
        <v>#REF!</v>
      </c>
    </row>
    <row r="503" spans="1:20" x14ac:dyDescent="0.4">
      <c r="A503" s="139" t="s">
        <v>570</v>
      </c>
      <c r="B503" s="139" t="s">
        <v>2194</v>
      </c>
      <c r="C503" s="139"/>
      <c r="D503" s="139" t="s">
        <v>567</v>
      </c>
      <c r="E503" s="141" t="s">
        <v>1182</v>
      </c>
      <c r="F503" s="139">
        <v>42552</v>
      </c>
      <c r="G503" s="141" t="s">
        <v>2195</v>
      </c>
      <c r="H503" s="141">
        <v>63896</v>
      </c>
      <c r="I503" s="139" t="s">
        <v>2196</v>
      </c>
      <c r="J503" s="139" t="s">
        <v>2197</v>
      </c>
      <c r="K503" s="143" t="s">
        <v>570</v>
      </c>
      <c r="L503" s="137" t="s">
        <v>570</v>
      </c>
      <c r="M503" s="137" t="s">
        <v>570</v>
      </c>
      <c r="N503" s="137" t="s">
        <v>570</v>
      </c>
      <c r="O503" s="137" t="s">
        <v>570</v>
      </c>
      <c r="P503" s="449"/>
      <c r="Q503" s="179"/>
      <c r="R503" s="179"/>
      <c r="S503" s="179"/>
      <c r="T503" s="500" t="e">
        <f>_xlfn.XLOOKUP(H503,#REF!,#REF!,0,0)</f>
        <v>#REF!</v>
      </c>
    </row>
    <row r="504" spans="1:20" x14ac:dyDescent="0.4">
      <c r="A504" s="137" t="s">
        <v>570</v>
      </c>
      <c r="B504" s="137" t="s">
        <v>2198</v>
      </c>
      <c r="C504" s="137"/>
      <c r="D504" s="137" t="s">
        <v>567</v>
      </c>
      <c r="E504" s="143" t="s">
        <v>1182</v>
      </c>
      <c r="F504" s="195"/>
      <c r="G504" s="143" t="s">
        <v>1724</v>
      </c>
      <c r="H504" s="143">
        <v>60259</v>
      </c>
      <c r="I504" s="137"/>
      <c r="J504" s="137"/>
      <c r="K504" s="143" t="s">
        <v>570</v>
      </c>
      <c r="L504" s="137" t="s">
        <v>570</v>
      </c>
      <c r="M504" s="137" t="s">
        <v>570</v>
      </c>
      <c r="N504" s="137" t="s">
        <v>570</v>
      </c>
      <c r="O504" s="137" t="s">
        <v>570</v>
      </c>
      <c r="P504" s="449"/>
      <c r="Q504" s="179"/>
      <c r="R504" s="179"/>
      <c r="S504" s="179"/>
      <c r="T504" s="500" t="e">
        <f>_xlfn.XLOOKUP(H504,#REF!,#REF!,0,0)</f>
        <v>#REF!</v>
      </c>
    </row>
    <row r="505" spans="1:20" x14ac:dyDescent="0.4">
      <c r="A505" s="137" t="s">
        <v>570</v>
      </c>
      <c r="B505" s="144" t="s">
        <v>2199</v>
      </c>
      <c r="C505" s="144"/>
      <c r="D505" s="135" t="s">
        <v>2200</v>
      </c>
      <c r="E505" s="19" t="s">
        <v>2201</v>
      </c>
      <c r="F505" s="20" t="s">
        <v>567</v>
      </c>
      <c r="G505" s="19" t="s">
        <v>1182</v>
      </c>
      <c r="H505" s="19">
        <v>42552</v>
      </c>
      <c r="I505" s="135" t="s">
        <v>2202</v>
      </c>
      <c r="J505" s="135">
        <v>63876</v>
      </c>
      <c r="K505" s="19" t="s">
        <v>2203</v>
      </c>
      <c r="L505" s="135" t="s">
        <v>570</v>
      </c>
      <c r="M505" s="135" t="s">
        <v>570</v>
      </c>
      <c r="N505" s="135" t="s">
        <v>570</v>
      </c>
      <c r="O505" s="135" t="s">
        <v>570</v>
      </c>
      <c r="P505" s="450" t="s">
        <v>570</v>
      </c>
      <c r="Q505" s="179"/>
      <c r="R505" s="179"/>
      <c r="S505" s="179"/>
      <c r="T505" s="500" t="e">
        <f>_xlfn.XLOOKUP(H505,#REF!,#REF!,0,0)</f>
        <v>#REF!</v>
      </c>
    </row>
    <row r="506" spans="1:20" x14ac:dyDescent="0.4">
      <c r="A506" s="129" t="s">
        <v>570</v>
      </c>
      <c r="B506" s="129" t="s">
        <v>2204</v>
      </c>
      <c r="C506" s="129"/>
      <c r="D506" s="129" t="s">
        <v>2200</v>
      </c>
      <c r="E506" s="130" t="s">
        <v>2201</v>
      </c>
      <c r="F506" s="129" t="s">
        <v>567</v>
      </c>
      <c r="G506" s="130" t="s">
        <v>1182</v>
      </c>
      <c r="H506" s="130">
        <v>42552</v>
      </c>
      <c r="I506" s="129" t="s">
        <v>2205</v>
      </c>
      <c r="J506" s="129">
        <v>63877</v>
      </c>
      <c r="K506" s="130" t="s">
        <v>2206</v>
      </c>
      <c r="L506" s="129" t="s">
        <v>570</v>
      </c>
      <c r="M506" s="129" t="s">
        <v>570</v>
      </c>
      <c r="N506" s="129" t="s">
        <v>570</v>
      </c>
      <c r="O506" s="129" t="s">
        <v>570</v>
      </c>
      <c r="P506" s="409" t="s">
        <v>570</v>
      </c>
      <c r="Q506" s="179"/>
      <c r="R506" s="179"/>
      <c r="S506" s="179"/>
      <c r="T506" s="500" t="e">
        <f>_xlfn.XLOOKUP(H506,#REF!,#REF!,0,0)</f>
        <v>#REF!</v>
      </c>
    </row>
    <row r="507" spans="1:20" x14ac:dyDescent="0.4">
      <c r="A507" s="129" t="s">
        <v>570</v>
      </c>
      <c r="B507" s="129" t="s">
        <v>2207</v>
      </c>
      <c r="C507" s="129"/>
      <c r="D507" s="129" t="s">
        <v>2200</v>
      </c>
      <c r="E507" s="130"/>
      <c r="F507" s="129" t="s">
        <v>567</v>
      </c>
      <c r="G507" s="130" t="s">
        <v>1182</v>
      </c>
      <c r="H507" s="130"/>
      <c r="I507" s="129" t="s">
        <v>2208</v>
      </c>
      <c r="J507" s="129">
        <v>63524</v>
      </c>
      <c r="K507" s="130"/>
      <c r="L507" s="129" t="s">
        <v>570</v>
      </c>
      <c r="M507" s="129" t="s">
        <v>570</v>
      </c>
      <c r="N507" s="129" t="s">
        <v>570</v>
      </c>
      <c r="O507" s="129" t="s">
        <v>570</v>
      </c>
      <c r="P507" s="409" t="s">
        <v>570</v>
      </c>
      <c r="Q507" s="179"/>
      <c r="R507" s="179"/>
      <c r="S507" s="179"/>
      <c r="T507" s="500" t="e">
        <f>_xlfn.XLOOKUP(H507,#REF!,#REF!,0,0)</f>
        <v>#REF!</v>
      </c>
    </row>
    <row r="508" spans="1:20" x14ac:dyDescent="0.4">
      <c r="A508" s="137" t="s">
        <v>570</v>
      </c>
      <c r="B508" s="144" t="s">
        <v>2209</v>
      </c>
      <c r="C508" s="144"/>
      <c r="D508" s="144" t="s">
        <v>1397</v>
      </c>
      <c r="E508" s="278" t="s">
        <v>2201</v>
      </c>
      <c r="F508" s="195" t="s">
        <v>567</v>
      </c>
      <c r="G508" s="143" t="s">
        <v>1182</v>
      </c>
      <c r="H508" s="143"/>
      <c r="I508" s="137" t="s">
        <v>2158</v>
      </c>
      <c r="J508" s="137">
        <v>63885</v>
      </c>
      <c r="K508" s="143"/>
      <c r="L508" s="137" t="s">
        <v>570</v>
      </c>
      <c r="M508" s="137" t="s">
        <v>570</v>
      </c>
      <c r="N508" s="137" t="s">
        <v>570</v>
      </c>
      <c r="O508" s="137" t="s">
        <v>570</v>
      </c>
      <c r="P508" s="451" t="s">
        <v>570</v>
      </c>
      <c r="Q508" s="179"/>
      <c r="R508" s="179"/>
      <c r="S508" s="179"/>
      <c r="T508" s="500" t="e">
        <f>_xlfn.XLOOKUP(H508,#REF!,#REF!,0,0)</f>
        <v>#REF!</v>
      </c>
    </row>
    <row r="509" spans="1:20" x14ac:dyDescent="0.4">
      <c r="A509" s="137" t="s">
        <v>570</v>
      </c>
      <c r="B509" s="142" t="s">
        <v>2210</v>
      </c>
      <c r="C509" s="142"/>
      <c r="D509" s="142" t="s">
        <v>2211</v>
      </c>
      <c r="E509" s="256" t="s">
        <v>2201</v>
      </c>
      <c r="F509" s="129" t="s">
        <v>567</v>
      </c>
      <c r="G509" s="130" t="s">
        <v>1182</v>
      </c>
      <c r="H509" s="130"/>
      <c r="I509" s="129" t="s">
        <v>1375</v>
      </c>
      <c r="J509" s="129">
        <v>59396</v>
      </c>
      <c r="K509" s="130"/>
      <c r="L509" s="129" t="s">
        <v>570</v>
      </c>
      <c r="M509" s="129" t="s">
        <v>570</v>
      </c>
      <c r="N509" s="129" t="s">
        <v>570</v>
      </c>
      <c r="O509" s="129" t="s">
        <v>570</v>
      </c>
      <c r="P509" s="409" t="s">
        <v>570</v>
      </c>
      <c r="Q509" s="179"/>
      <c r="R509" s="179"/>
      <c r="S509" s="179"/>
      <c r="T509" s="500" t="e">
        <f>_xlfn.XLOOKUP(H509,#REF!,#REF!,0,0)</f>
        <v>#REF!</v>
      </c>
    </row>
    <row r="510" spans="1:20" x14ac:dyDescent="0.4">
      <c r="A510" s="137" t="s">
        <v>570</v>
      </c>
      <c r="B510" s="144" t="s">
        <v>2212</v>
      </c>
      <c r="C510" s="144"/>
      <c r="D510" s="144" t="s">
        <v>2211</v>
      </c>
      <c r="E510" s="278" t="s">
        <v>2201</v>
      </c>
      <c r="F510" s="195" t="s">
        <v>567</v>
      </c>
      <c r="G510" s="143" t="s">
        <v>1182</v>
      </c>
      <c r="H510" s="143">
        <v>42552</v>
      </c>
      <c r="I510" s="137" t="s">
        <v>2213</v>
      </c>
      <c r="J510" s="137">
        <v>63908</v>
      </c>
      <c r="K510" s="143"/>
      <c r="L510" s="137" t="s">
        <v>570</v>
      </c>
      <c r="M510" s="137" t="s">
        <v>570</v>
      </c>
      <c r="N510" s="129" t="s">
        <v>570</v>
      </c>
      <c r="O510" s="129" t="s">
        <v>570</v>
      </c>
      <c r="P510" s="409" t="s">
        <v>570</v>
      </c>
      <c r="Q510" s="179"/>
      <c r="R510" s="179"/>
      <c r="S510" s="179"/>
      <c r="T510" s="500" t="e">
        <f>_xlfn.XLOOKUP(H510,#REF!,#REF!,0,0)</f>
        <v>#REF!</v>
      </c>
    </row>
    <row r="511" spans="1:20" x14ac:dyDescent="0.4">
      <c r="A511" s="129" t="s">
        <v>570</v>
      </c>
      <c r="B511" s="129" t="s">
        <v>2214</v>
      </c>
      <c r="C511" s="129"/>
      <c r="D511" s="129" t="s">
        <v>2215</v>
      </c>
      <c r="E511" s="130"/>
      <c r="F511" s="129" t="s">
        <v>567</v>
      </c>
      <c r="G511" s="130" t="s">
        <v>1182</v>
      </c>
      <c r="H511" s="130">
        <v>42746</v>
      </c>
      <c r="I511" s="129" t="s">
        <v>2216</v>
      </c>
      <c r="J511" s="129">
        <v>64580</v>
      </c>
      <c r="K511" s="130"/>
      <c r="L511" s="129" t="s">
        <v>570</v>
      </c>
      <c r="M511" s="129" t="s">
        <v>570</v>
      </c>
      <c r="N511" s="129" t="s">
        <v>570</v>
      </c>
      <c r="O511" s="129" t="s">
        <v>570</v>
      </c>
      <c r="P511" s="409" t="s">
        <v>570</v>
      </c>
      <c r="Q511" s="179"/>
      <c r="R511" s="179"/>
      <c r="S511" s="179"/>
      <c r="T511" s="500" t="e">
        <f>_xlfn.XLOOKUP(H511,#REF!,#REF!,0,0)</f>
        <v>#REF!</v>
      </c>
    </row>
    <row r="512" spans="1:20" x14ac:dyDescent="0.4">
      <c r="A512" s="129" t="s">
        <v>570</v>
      </c>
      <c r="B512" s="129" t="s">
        <v>2217</v>
      </c>
      <c r="C512" s="129"/>
      <c r="D512" s="129" t="s">
        <v>2215</v>
      </c>
      <c r="E512" s="130"/>
      <c r="F512" s="129" t="s">
        <v>567</v>
      </c>
      <c r="G512" s="130" t="s">
        <v>1182</v>
      </c>
      <c r="H512" s="130">
        <v>42746</v>
      </c>
      <c r="I512" s="129" t="s">
        <v>2218</v>
      </c>
      <c r="J512" s="129">
        <v>64581</v>
      </c>
      <c r="K512" s="130"/>
      <c r="L512" s="129" t="s">
        <v>570</v>
      </c>
      <c r="M512" s="129" t="s">
        <v>570</v>
      </c>
      <c r="N512" s="129" t="s">
        <v>570</v>
      </c>
      <c r="O512" s="129" t="s">
        <v>570</v>
      </c>
      <c r="P512" s="409" t="s">
        <v>570</v>
      </c>
      <c r="Q512" s="179"/>
      <c r="R512" s="179"/>
      <c r="S512" s="179"/>
      <c r="T512" s="500" t="e">
        <f>_xlfn.XLOOKUP(H512,#REF!,#REF!,0,0)</f>
        <v>#REF!</v>
      </c>
    </row>
    <row r="513" spans="1:20" x14ac:dyDescent="0.4">
      <c r="A513" s="129" t="s">
        <v>570</v>
      </c>
      <c r="B513" s="129" t="s">
        <v>2219</v>
      </c>
      <c r="C513" s="129"/>
      <c r="D513" s="129" t="s">
        <v>2200</v>
      </c>
      <c r="E513" s="130"/>
      <c r="F513" s="129" t="s">
        <v>567</v>
      </c>
      <c r="G513" s="130" t="s">
        <v>1182</v>
      </c>
      <c r="H513" s="130">
        <v>42746</v>
      </c>
      <c r="I513" s="129" t="s">
        <v>2220</v>
      </c>
      <c r="J513" s="129">
        <v>64577</v>
      </c>
      <c r="K513" s="130"/>
      <c r="L513" s="129" t="s">
        <v>570</v>
      </c>
      <c r="M513" s="129" t="s">
        <v>570</v>
      </c>
      <c r="N513" s="129" t="s">
        <v>570</v>
      </c>
      <c r="O513" s="129" t="s">
        <v>570</v>
      </c>
      <c r="P513" s="409" t="s">
        <v>570</v>
      </c>
      <c r="Q513" s="179"/>
      <c r="R513" s="179"/>
      <c r="S513" s="179"/>
      <c r="T513" s="500" t="e">
        <f>_xlfn.XLOOKUP(H513,#REF!,#REF!,0,0)</f>
        <v>#REF!</v>
      </c>
    </row>
    <row r="514" spans="1:20" x14ac:dyDescent="0.4">
      <c r="A514" s="129" t="s">
        <v>570</v>
      </c>
      <c r="B514" s="129" t="s">
        <v>2221</v>
      </c>
      <c r="C514" s="129"/>
      <c r="D514" s="129" t="s">
        <v>2200</v>
      </c>
      <c r="E514" s="130">
        <v>42790</v>
      </c>
      <c r="F514" s="129" t="s">
        <v>567</v>
      </c>
      <c r="G514" s="130" t="s">
        <v>1182</v>
      </c>
      <c r="H514" s="130">
        <v>42746</v>
      </c>
      <c r="I514" s="129" t="s">
        <v>2222</v>
      </c>
      <c r="J514" s="129">
        <v>64583</v>
      </c>
      <c r="K514" s="130"/>
      <c r="L514" s="129" t="s">
        <v>570</v>
      </c>
      <c r="M514" s="129" t="s">
        <v>570</v>
      </c>
      <c r="N514" s="129" t="s">
        <v>570</v>
      </c>
      <c r="O514" s="129" t="s">
        <v>570</v>
      </c>
      <c r="P514" s="409" t="s">
        <v>570</v>
      </c>
      <c r="Q514" s="179"/>
      <c r="R514" s="179"/>
      <c r="S514" s="179"/>
      <c r="T514" s="500" t="e">
        <f>_xlfn.XLOOKUP(H514,#REF!,#REF!,0,0)</f>
        <v>#REF!</v>
      </c>
    </row>
    <row r="515" spans="1:20" x14ac:dyDescent="0.4">
      <c r="A515" s="129" t="s">
        <v>570</v>
      </c>
      <c r="B515" s="129" t="s">
        <v>2223</v>
      </c>
      <c r="C515" s="129"/>
      <c r="D515" s="129" t="s">
        <v>2200</v>
      </c>
      <c r="E515" s="130"/>
      <c r="F515" s="129" t="s">
        <v>567</v>
      </c>
      <c r="G515" s="130" t="s">
        <v>1182</v>
      </c>
      <c r="H515" s="130">
        <v>42746</v>
      </c>
      <c r="I515" s="129" t="s">
        <v>2224</v>
      </c>
      <c r="J515" s="129">
        <v>64582</v>
      </c>
      <c r="K515" s="130"/>
      <c r="L515" s="129" t="s">
        <v>570</v>
      </c>
      <c r="M515" s="129" t="s">
        <v>570</v>
      </c>
      <c r="N515" s="129" t="s">
        <v>570</v>
      </c>
      <c r="O515" s="129" t="s">
        <v>570</v>
      </c>
      <c r="P515" s="409" t="s">
        <v>570</v>
      </c>
      <c r="Q515" s="179"/>
      <c r="R515" s="179"/>
      <c r="S515" s="179"/>
      <c r="T515" s="500" t="e">
        <f>_xlfn.XLOOKUP(H515,#REF!,#REF!,0,0)</f>
        <v>#REF!</v>
      </c>
    </row>
    <row r="516" spans="1:20" x14ac:dyDescent="0.4">
      <c r="A516" s="129" t="s">
        <v>570</v>
      </c>
      <c r="B516" s="137" t="s">
        <v>2225</v>
      </c>
      <c r="C516" s="137"/>
      <c r="D516" s="137" t="s">
        <v>2215</v>
      </c>
      <c r="E516" s="143"/>
      <c r="F516" s="195" t="s">
        <v>567</v>
      </c>
      <c r="G516" s="143" t="s">
        <v>1182</v>
      </c>
      <c r="H516" s="143">
        <v>42746</v>
      </c>
      <c r="I516" s="137" t="s">
        <v>2226</v>
      </c>
      <c r="J516" s="137">
        <v>64564</v>
      </c>
      <c r="K516" s="143"/>
      <c r="L516" s="137" t="s">
        <v>570</v>
      </c>
      <c r="M516" s="137" t="s">
        <v>570</v>
      </c>
      <c r="N516" s="137" t="s">
        <v>570</v>
      </c>
      <c r="O516" s="137" t="s">
        <v>570</v>
      </c>
      <c r="P516" s="451" t="s">
        <v>570</v>
      </c>
      <c r="Q516" s="179"/>
      <c r="R516" s="179"/>
      <c r="S516" s="179"/>
      <c r="T516" s="500" t="e">
        <f>_xlfn.XLOOKUP(H516,#REF!,#REF!,0,0)</f>
        <v>#REF!</v>
      </c>
    </row>
    <row r="517" spans="1:20" x14ac:dyDescent="0.4">
      <c r="A517" s="129" t="s">
        <v>570</v>
      </c>
      <c r="B517" s="129" t="s">
        <v>2227</v>
      </c>
      <c r="C517" s="129"/>
      <c r="D517" s="129" t="s">
        <v>2200</v>
      </c>
      <c r="E517" s="130">
        <v>42804</v>
      </c>
      <c r="F517" s="129" t="s">
        <v>567</v>
      </c>
      <c r="G517" s="130" t="s">
        <v>1182</v>
      </c>
      <c r="H517" s="130">
        <v>42746</v>
      </c>
      <c r="I517" s="129" t="s">
        <v>2228</v>
      </c>
      <c r="J517" s="129">
        <v>64578</v>
      </c>
      <c r="K517" s="130"/>
      <c r="L517" s="129" t="s">
        <v>570</v>
      </c>
      <c r="M517" s="129" t="s">
        <v>570</v>
      </c>
      <c r="N517" s="129" t="s">
        <v>570</v>
      </c>
      <c r="O517" s="129" t="s">
        <v>570</v>
      </c>
      <c r="P517" s="409" t="s">
        <v>570</v>
      </c>
      <c r="Q517" s="179"/>
      <c r="R517" s="179"/>
      <c r="S517" s="179"/>
      <c r="T517" s="500" t="e">
        <f>_xlfn.XLOOKUP(H517,#REF!,#REF!,0,0)</f>
        <v>#REF!</v>
      </c>
    </row>
    <row r="518" spans="1:20" x14ac:dyDescent="0.4">
      <c r="A518" s="156" t="s">
        <v>570</v>
      </c>
      <c r="B518" s="156" t="s">
        <v>2229</v>
      </c>
      <c r="C518" s="156"/>
      <c r="D518" s="156" t="s">
        <v>1397</v>
      </c>
      <c r="E518" s="158">
        <v>42804</v>
      </c>
      <c r="F518" s="156" t="s">
        <v>567</v>
      </c>
      <c r="G518" s="158" t="s">
        <v>1182</v>
      </c>
      <c r="H518" s="158">
        <v>42746</v>
      </c>
      <c r="I518" s="156" t="s">
        <v>59</v>
      </c>
      <c r="J518" s="156">
        <v>64585</v>
      </c>
      <c r="K518" s="158"/>
      <c r="L518" s="156" t="s">
        <v>570</v>
      </c>
      <c r="M518" s="156" t="s">
        <v>570</v>
      </c>
      <c r="N518" s="156" t="s">
        <v>570</v>
      </c>
      <c r="O518" s="156" t="s">
        <v>570</v>
      </c>
      <c r="P518" s="433" t="s">
        <v>570</v>
      </c>
      <c r="Q518" s="179"/>
      <c r="R518" s="179"/>
      <c r="S518" s="179"/>
      <c r="T518" s="500" t="e">
        <f>_xlfn.XLOOKUP(H518,#REF!,#REF!,0,0)</f>
        <v>#REF!</v>
      </c>
    </row>
    <row r="519" spans="1:20" x14ac:dyDescent="0.4">
      <c r="A519" s="129" t="s">
        <v>570</v>
      </c>
      <c r="B519" s="129" t="s">
        <v>2230</v>
      </c>
      <c r="C519" s="129"/>
      <c r="D519" s="129" t="s">
        <v>2200</v>
      </c>
      <c r="E519" s="130">
        <v>42804</v>
      </c>
      <c r="F519" s="129" t="s">
        <v>567</v>
      </c>
      <c r="G519" s="130" t="s">
        <v>1182</v>
      </c>
      <c r="H519" s="130">
        <v>42746</v>
      </c>
      <c r="I519" s="129" t="s">
        <v>771</v>
      </c>
      <c r="J519" s="129">
        <v>64575</v>
      </c>
      <c r="K519" s="130"/>
      <c r="L519" s="129" t="s">
        <v>570</v>
      </c>
      <c r="M519" s="129" t="s">
        <v>570</v>
      </c>
      <c r="N519" s="129" t="s">
        <v>570</v>
      </c>
      <c r="O519" s="129" t="s">
        <v>570</v>
      </c>
      <c r="P519" s="409" t="s">
        <v>570</v>
      </c>
      <c r="Q519" s="179"/>
      <c r="R519" s="179"/>
      <c r="S519" s="179"/>
      <c r="T519" s="500" t="e">
        <f>_xlfn.XLOOKUP(H519,#REF!,#REF!,0,0)</f>
        <v>#REF!</v>
      </c>
    </row>
    <row r="520" spans="1:20" x14ac:dyDescent="0.4">
      <c r="A520" s="129" t="s">
        <v>570</v>
      </c>
      <c r="B520" s="129" t="s">
        <v>2231</v>
      </c>
      <c r="C520" s="129"/>
      <c r="D520" s="129" t="s">
        <v>2200</v>
      </c>
      <c r="E520" s="130">
        <v>42804</v>
      </c>
      <c r="F520" s="129" t="s">
        <v>567</v>
      </c>
      <c r="G520" s="130" t="s">
        <v>1182</v>
      </c>
      <c r="H520" s="130">
        <v>42746</v>
      </c>
      <c r="I520" s="129" t="s">
        <v>2232</v>
      </c>
      <c r="J520" s="129">
        <v>64576</v>
      </c>
      <c r="K520" s="130"/>
      <c r="L520" s="129" t="s">
        <v>570</v>
      </c>
      <c r="M520" s="129" t="s">
        <v>570</v>
      </c>
      <c r="N520" s="129" t="s">
        <v>570</v>
      </c>
      <c r="O520" s="129" t="s">
        <v>570</v>
      </c>
      <c r="P520" s="409" t="s">
        <v>570</v>
      </c>
      <c r="Q520" s="179"/>
      <c r="R520" s="179"/>
      <c r="S520" s="179"/>
      <c r="T520" s="500" t="e">
        <f>_xlfn.XLOOKUP(H520,#REF!,#REF!,0,0)</f>
        <v>#REF!</v>
      </c>
    </row>
    <row r="521" spans="1:20" x14ac:dyDescent="0.4">
      <c r="A521" s="156" t="s">
        <v>570</v>
      </c>
      <c r="B521" s="156" t="s">
        <v>2233</v>
      </c>
      <c r="C521" s="156"/>
      <c r="D521" s="156" t="s">
        <v>1397</v>
      </c>
      <c r="E521" s="158"/>
      <c r="F521" s="156" t="s">
        <v>567</v>
      </c>
      <c r="G521" s="158" t="s">
        <v>1182</v>
      </c>
      <c r="H521" s="158">
        <v>42746</v>
      </c>
      <c r="I521" s="156" t="s">
        <v>2234</v>
      </c>
      <c r="J521" s="156">
        <v>64584</v>
      </c>
      <c r="K521" s="158"/>
      <c r="L521" s="156" t="s">
        <v>570</v>
      </c>
      <c r="M521" s="156" t="s">
        <v>570</v>
      </c>
      <c r="N521" s="156" t="s">
        <v>570</v>
      </c>
      <c r="O521" s="156" t="s">
        <v>570</v>
      </c>
      <c r="P521" s="433"/>
      <c r="Q521" s="179"/>
      <c r="R521" s="179"/>
      <c r="S521" s="179"/>
      <c r="T521" s="500" t="e">
        <f>_xlfn.XLOOKUP(H521,#REF!,#REF!,0,0)</f>
        <v>#REF!</v>
      </c>
    </row>
    <row r="522" spans="1:20" x14ac:dyDescent="0.4">
      <c r="A522" s="129" t="s">
        <v>570</v>
      </c>
      <c r="B522" s="129" t="s">
        <v>2235</v>
      </c>
      <c r="C522" s="129"/>
      <c r="D522" s="129" t="s">
        <v>2200</v>
      </c>
      <c r="E522" s="130">
        <v>42804</v>
      </c>
      <c r="F522" s="129" t="s">
        <v>567</v>
      </c>
      <c r="G522" s="130" t="s">
        <v>1182</v>
      </c>
      <c r="H522" s="130">
        <v>42746</v>
      </c>
      <c r="I522" s="129" t="s">
        <v>2236</v>
      </c>
      <c r="J522" s="129">
        <v>64562</v>
      </c>
      <c r="K522" s="130"/>
      <c r="L522" s="129" t="s">
        <v>570</v>
      </c>
      <c r="M522" s="129" t="s">
        <v>570</v>
      </c>
      <c r="N522" s="129" t="s">
        <v>570</v>
      </c>
      <c r="O522" s="129" t="s">
        <v>570</v>
      </c>
      <c r="P522" s="409" t="s">
        <v>570</v>
      </c>
      <c r="Q522" s="179"/>
      <c r="R522" s="179"/>
      <c r="S522" s="179"/>
      <c r="T522" s="500" t="e">
        <f>_xlfn.XLOOKUP(H522,#REF!,#REF!,0,0)</f>
        <v>#REF!</v>
      </c>
    </row>
    <row r="523" spans="1:20" x14ac:dyDescent="0.4">
      <c r="A523" s="129" t="s">
        <v>570</v>
      </c>
      <c r="B523" s="129" t="s">
        <v>2237</v>
      </c>
      <c r="C523" s="129"/>
      <c r="D523" s="129" t="s">
        <v>2200</v>
      </c>
      <c r="E523" s="130">
        <v>42804</v>
      </c>
      <c r="F523" s="129" t="s">
        <v>567</v>
      </c>
      <c r="G523" s="130" t="s">
        <v>1182</v>
      </c>
      <c r="H523" s="130">
        <v>42746</v>
      </c>
      <c r="I523" s="129" t="s">
        <v>2238</v>
      </c>
      <c r="J523" s="129">
        <v>64574</v>
      </c>
      <c r="K523" s="130"/>
      <c r="L523" s="129" t="s">
        <v>570</v>
      </c>
      <c r="M523" s="129" t="s">
        <v>570</v>
      </c>
      <c r="N523" s="129" t="s">
        <v>570</v>
      </c>
      <c r="O523" s="129" t="s">
        <v>570</v>
      </c>
      <c r="P523" s="409" t="s">
        <v>570</v>
      </c>
      <c r="Q523" s="179"/>
      <c r="R523" s="179"/>
      <c r="S523" s="179"/>
      <c r="T523" s="500" t="e">
        <f>_xlfn.XLOOKUP(H523,#REF!,#REF!,0,0)</f>
        <v>#REF!</v>
      </c>
    </row>
    <row r="524" spans="1:20" x14ac:dyDescent="0.4">
      <c r="A524" s="129" t="s">
        <v>570</v>
      </c>
      <c r="B524" s="129" t="s">
        <v>2239</v>
      </c>
      <c r="C524" s="129"/>
      <c r="D524" s="129" t="s">
        <v>2215</v>
      </c>
      <c r="E524" s="130">
        <v>42804</v>
      </c>
      <c r="F524" s="129" t="s">
        <v>567</v>
      </c>
      <c r="G524" s="130" t="s">
        <v>1182</v>
      </c>
      <c r="H524" s="130">
        <v>42746</v>
      </c>
      <c r="I524" s="129" t="s">
        <v>2240</v>
      </c>
      <c r="J524" s="129">
        <v>64570</v>
      </c>
      <c r="K524" s="130"/>
      <c r="L524" s="129" t="s">
        <v>570</v>
      </c>
      <c r="M524" s="129" t="s">
        <v>570</v>
      </c>
      <c r="N524" s="129" t="s">
        <v>570</v>
      </c>
      <c r="O524" s="129" t="s">
        <v>570</v>
      </c>
      <c r="P524" s="409" t="s">
        <v>570</v>
      </c>
      <c r="Q524" s="179"/>
      <c r="R524" s="179"/>
      <c r="S524" s="179"/>
      <c r="T524" s="500" t="e">
        <f>_xlfn.XLOOKUP(H524,#REF!,#REF!,0,0)</f>
        <v>#REF!</v>
      </c>
    </row>
    <row r="525" spans="1:20" x14ac:dyDescent="0.4">
      <c r="A525" s="129" t="s">
        <v>570</v>
      </c>
      <c r="B525" s="129" t="s">
        <v>2241</v>
      </c>
      <c r="C525" s="129"/>
      <c r="D525" s="129" t="s">
        <v>2200</v>
      </c>
      <c r="E525" s="130"/>
      <c r="F525" s="129" t="s">
        <v>567</v>
      </c>
      <c r="G525" s="130" t="s">
        <v>1182</v>
      </c>
      <c r="H525" s="130">
        <v>42746</v>
      </c>
      <c r="I525" s="129" t="s">
        <v>58</v>
      </c>
      <c r="J525" s="129">
        <v>64573</v>
      </c>
      <c r="K525" s="130"/>
      <c r="L525" s="129" t="s">
        <v>570</v>
      </c>
      <c r="M525" s="129" t="s">
        <v>570</v>
      </c>
      <c r="N525" s="129" t="s">
        <v>570</v>
      </c>
      <c r="O525" s="129" t="s">
        <v>570</v>
      </c>
      <c r="P525" s="409" t="s">
        <v>570</v>
      </c>
      <c r="Q525" s="179"/>
      <c r="R525" s="179"/>
      <c r="S525" s="179"/>
      <c r="T525" s="500" t="e">
        <f>_xlfn.XLOOKUP(H525,#REF!,#REF!,0,0)</f>
        <v>#REF!</v>
      </c>
    </row>
    <row r="526" spans="1:20" x14ac:dyDescent="0.4">
      <c r="A526" s="129" t="s">
        <v>570</v>
      </c>
      <c r="B526" s="129" t="s">
        <v>2242</v>
      </c>
      <c r="C526" s="129"/>
      <c r="D526" s="129" t="s">
        <v>2200</v>
      </c>
      <c r="E526" s="130">
        <v>42804</v>
      </c>
      <c r="F526" s="129" t="s">
        <v>567</v>
      </c>
      <c r="G526" s="130" t="s">
        <v>1182</v>
      </c>
      <c r="H526" s="130">
        <v>42746</v>
      </c>
      <c r="I526" s="129" t="s">
        <v>2243</v>
      </c>
      <c r="J526" s="129">
        <v>64569</v>
      </c>
      <c r="K526" s="130"/>
      <c r="L526" s="129" t="s">
        <v>570</v>
      </c>
      <c r="M526" s="129" t="s">
        <v>570</v>
      </c>
      <c r="N526" s="129" t="s">
        <v>570</v>
      </c>
      <c r="O526" s="129" t="s">
        <v>570</v>
      </c>
      <c r="P526" s="409" t="s">
        <v>570</v>
      </c>
      <c r="Q526" s="179"/>
      <c r="R526" s="179"/>
      <c r="S526" s="179"/>
      <c r="T526" s="500" t="e">
        <f>_xlfn.XLOOKUP(H526,#REF!,#REF!,0,0)</f>
        <v>#REF!</v>
      </c>
    </row>
    <row r="527" spans="1:20" x14ac:dyDescent="0.4">
      <c r="A527" s="129"/>
      <c r="B527" s="129" t="s">
        <v>2244</v>
      </c>
      <c r="C527" s="129"/>
      <c r="D527" s="129" t="s">
        <v>2215</v>
      </c>
      <c r="E527" s="130">
        <v>42804</v>
      </c>
      <c r="F527" s="129" t="s">
        <v>567</v>
      </c>
      <c r="G527" s="130" t="s">
        <v>1182</v>
      </c>
      <c r="H527" s="130">
        <v>42746</v>
      </c>
      <c r="I527" s="129" t="s">
        <v>2245</v>
      </c>
      <c r="J527" s="129">
        <v>64565</v>
      </c>
      <c r="K527" s="130"/>
      <c r="L527" s="129" t="s">
        <v>570</v>
      </c>
      <c r="M527" s="129" t="s">
        <v>570</v>
      </c>
      <c r="N527" s="129" t="s">
        <v>570</v>
      </c>
      <c r="O527" s="129" t="s">
        <v>570</v>
      </c>
      <c r="P527" s="409" t="s">
        <v>570</v>
      </c>
      <c r="Q527" s="179"/>
      <c r="R527" s="179"/>
      <c r="S527" s="179"/>
      <c r="T527" s="500" t="e">
        <f>_xlfn.XLOOKUP(H527,#REF!,#REF!,0,0)</f>
        <v>#REF!</v>
      </c>
    </row>
    <row r="528" spans="1:20" x14ac:dyDescent="0.4">
      <c r="A528" s="156" t="s">
        <v>570</v>
      </c>
      <c r="B528" s="156" t="s">
        <v>2246</v>
      </c>
      <c r="C528" s="156"/>
      <c r="D528" s="156" t="s">
        <v>1397</v>
      </c>
      <c r="E528" s="158"/>
      <c r="F528" s="156" t="s">
        <v>567</v>
      </c>
      <c r="G528" s="158" t="s">
        <v>1182</v>
      </c>
      <c r="H528" s="158">
        <v>42746</v>
      </c>
      <c r="I528" s="156" t="s">
        <v>2247</v>
      </c>
      <c r="J528" s="156">
        <v>64579</v>
      </c>
      <c r="K528" s="158"/>
      <c r="L528" s="156" t="s">
        <v>570</v>
      </c>
      <c r="M528" s="156" t="s">
        <v>570</v>
      </c>
      <c r="N528" s="156" t="s">
        <v>570</v>
      </c>
      <c r="O528" s="156" t="s">
        <v>570</v>
      </c>
      <c r="P528" s="433" t="s">
        <v>570</v>
      </c>
      <c r="Q528" s="179"/>
      <c r="R528" s="179"/>
      <c r="S528" s="179"/>
      <c r="T528" s="500" t="e">
        <f>_xlfn.XLOOKUP(H528,#REF!,#REF!,0,0)</f>
        <v>#REF!</v>
      </c>
    </row>
    <row r="529" spans="1:20" x14ac:dyDescent="0.4">
      <c r="A529" s="137" t="s">
        <v>570</v>
      </c>
      <c r="B529" s="137" t="s">
        <v>2248</v>
      </c>
      <c r="C529" s="137"/>
      <c r="D529" s="137" t="s">
        <v>2200</v>
      </c>
      <c r="E529" s="143"/>
      <c r="F529" s="195" t="s">
        <v>567</v>
      </c>
      <c r="G529" s="143" t="s">
        <v>1182</v>
      </c>
      <c r="H529" s="143"/>
      <c r="I529" s="249" t="s">
        <v>1234</v>
      </c>
      <c r="J529" s="249">
        <v>58897</v>
      </c>
      <c r="K529" s="143"/>
      <c r="L529" s="137" t="s">
        <v>570</v>
      </c>
      <c r="M529" s="137" t="s">
        <v>570</v>
      </c>
      <c r="N529" s="137" t="s">
        <v>570</v>
      </c>
      <c r="O529" s="137" t="s">
        <v>570</v>
      </c>
      <c r="P529" s="451" t="s">
        <v>570</v>
      </c>
      <c r="Q529" s="179"/>
      <c r="R529" s="179"/>
      <c r="S529" s="179"/>
      <c r="T529" s="500" t="e">
        <f>_xlfn.XLOOKUP(H529,#REF!,#REF!,0,0)</f>
        <v>#REF!</v>
      </c>
    </row>
    <row r="530" spans="1:20" x14ac:dyDescent="0.4">
      <c r="A530" s="137" t="s">
        <v>432</v>
      </c>
      <c r="B530" s="137" t="s">
        <v>2249</v>
      </c>
      <c r="C530" s="137"/>
      <c r="D530" s="137" t="s">
        <v>2215</v>
      </c>
      <c r="E530" s="143">
        <v>42804</v>
      </c>
      <c r="F530" s="195" t="s">
        <v>567</v>
      </c>
      <c r="G530" s="143" t="s">
        <v>1182</v>
      </c>
      <c r="H530" s="143">
        <v>42746</v>
      </c>
      <c r="I530" s="137" t="s">
        <v>55</v>
      </c>
      <c r="J530" s="137">
        <v>64567</v>
      </c>
      <c r="K530" s="143"/>
      <c r="L530" s="137" t="s">
        <v>570</v>
      </c>
      <c r="M530" s="137" t="s">
        <v>570</v>
      </c>
      <c r="N530" s="137" t="s">
        <v>570</v>
      </c>
      <c r="O530" s="137" t="s">
        <v>570</v>
      </c>
      <c r="P530" s="451" t="s">
        <v>570</v>
      </c>
      <c r="Q530" s="179"/>
      <c r="R530" s="179"/>
      <c r="S530" s="179"/>
      <c r="T530" s="500" t="e">
        <f>_xlfn.XLOOKUP(H530,#REF!,#REF!,0,0)</f>
        <v>#REF!</v>
      </c>
    </row>
    <row r="531" spans="1:20" x14ac:dyDescent="0.4">
      <c r="A531" s="129" t="s">
        <v>570</v>
      </c>
      <c r="B531" s="129" t="s">
        <v>2250</v>
      </c>
      <c r="C531" s="129"/>
      <c r="D531" s="129" t="s">
        <v>2200</v>
      </c>
      <c r="E531" s="130"/>
      <c r="F531" s="129" t="s">
        <v>567</v>
      </c>
      <c r="G531" s="130" t="s">
        <v>1182</v>
      </c>
      <c r="H531" s="130">
        <v>42746</v>
      </c>
      <c r="I531" s="129" t="s">
        <v>768</v>
      </c>
      <c r="J531" s="129">
        <v>64568</v>
      </c>
      <c r="K531" s="130"/>
      <c r="L531" s="129" t="s">
        <v>570</v>
      </c>
      <c r="M531" s="129" t="s">
        <v>570</v>
      </c>
      <c r="N531" s="129" t="s">
        <v>570</v>
      </c>
      <c r="O531" s="129" t="s">
        <v>570</v>
      </c>
      <c r="P531" s="409"/>
      <c r="Q531" s="179"/>
      <c r="R531" s="179"/>
      <c r="S531" s="179"/>
      <c r="T531" s="500" t="e">
        <f>_xlfn.XLOOKUP(H531,#REF!,#REF!,0,0)</f>
        <v>#REF!</v>
      </c>
    </row>
    <row r="532" spans="1:20" x14ac:dyDescent="0.4">
      <c r="A532" s="129"/>
      <c r="B532" s="129" t="s">
        <v>2251</v>
      </c>
      <c r="C532" s="129"/>
      <c r="D532" s="129" t="s">
        <v>2215</v>
      </c>
      <c r="E532" s="130"/>
      <c r="F532" s="129" t="s">
        <v>567</v>
      </c>
      <c r="G532" s="130" t="s">
        <v>1182</v>
      </c>
      <c r="H532" s="130">
        <v>42746</v>
      </c>
      <c r="I532" s="129" t="s">
        <v>2252</v>
      </c>
      <c r="J532" s="129">
        <v>64566</v>
      </c>
      <c r="K532" s="130"/>
      <c r="L532" s="129" t="s">
        <v>570</v>
      </c>
      <c r="M532" s="129" t="s">
        <v>570</v>
      </c>
      <c r="N532" s="129" t="s">
        <v>570</v>
      </c>
      <c r="O532" s="129" t="s">
        <v>570</v>
      </c>
      <c r="P532" s="409" t="s">
        <v>570</v>
      </c>
      <c r="Q532" s="179"/>
      <c r="R532" s="179"/>
      <c r="S532" s="179"/>
      <c r="T532" s="500" t="e">
        <f>_xlfn.XLOOKUP(H532,#REF!,#REF!,0,0)</f>
        <v>#REF!</v>
      </c>
    </row>
    <row r="533" spans="1:20" x14ac:dyDescent="0.4">
      <c r="A533" s="137" t="s">
        <v>570</v>
      </c>
      <c r="B533" s="137" t="s">
        <v>2253</v>
      </c>
      <c r="C533" s="137"/>
      <c r="D533" s="137" t="s">
        <v>2200</v>
      </c>
      <c r="E533" s="143"/>
      <c r="F533" s="195" t="s">
        <v>567</v>
      </c>
      <c r="G533" s="143" t="s">
        <v>1182</v>
      </c>
      <c r="H533" s="143">
        <v>42746</v>
      </c>
      <c r="I533" s="137" t="s">
        <v>57</v>
      </c>
      <c r="J533" s="137">
        <v>64572</v>
      </c>
      <c r="K533" s="143"/>
      <c r="L533" s="137" t="s">
        <v>570</v>
      </c>
      <c r="M533" s="137" t="s">
        <v>570</v>
      </c>
      <c r="N533" s="137" t="s">
        <v>570</v>
      </c>
      <c r="O533" s="137" t="s">
        <v>570</v>
      </c>
      <c r="P533" s="451" t="s">
        <v>570</v>
      </c>
      <c r="Q533" s="179"/>
      <c r="R533" s="179"/>
      <c r="S533" s="179"/>
      <c r="T533" s="500" t="e">
        <f>_xlfn.XLOOKUP(H533,#REF!,#REF!,0,0)</f>
        <v>#REF!</v>
      </c>
    </row>
    <row r="534" spans="1:20" x14ac:dyDescent="0.4">
      <c r="A534" s="129" t="s">
        <v>570</v>
      </c>
      <c r="B534" s="129" t="s">
        <v>2254</v>
      </c>
      <c r="C534" s="129"/>
      <c r="D534" s="129" t="s">
        <v>2200</v>
      </c>
      <c r="E534" s="130"/>
      <c r="F534" s="129" t="s">
        <v>567</v>
      </c>
      <c r="G534" s="130" t="s">
        <v>1182</v>
      </c>
      <c r="H534" s="130">
        <v>42746</v>
      </c>
      <c r="I534" s="129" t="s">
        <v>2255</v>
      </c>
      <c r="J534" s="129">
        <v>64571</v>
      </c>
      <c r="K534" s="130"/>
      <c r="L534" s="129" t="s">
        <v>570</v>
      </c>
      <c r="M534" s="129" t="s">
        <v>570</v>
      </c>
      <c r="N534" s="129" t="s">
        <v>570</v>
      </c>
      <c r="O534" s="129" t="s">
        <v>570</v>
      </c>
      <c r="P534" s="409" t="s">
        <v>570</v>
      </c>
      <c r="Q534" s="179"/>
      <c r="R534" s="179"/>
      <c r="S534" s="179"/>
      <c r="T534" s="500" t="e">
        <f>_xlfn.XLOOKUP(H534,#REF!,#REF!,0,0)</f>
        <v>#REF!</v>
      </c>
    </row>
    <row r="535" spans="1:20" x14ac:dyDescent="0.4">
      <c r="A535" s="129" t="s">
        <v>570</v>
      </c>
      <c r="B535" s="129" t="s">
        <v>2256</v>
      </c>
      <c r="C535" s="129"/>
      <c r="D535" s="129" t="s">
        <v>767</v>
      </c>
      <c r="E535" s="130"/>
      <c r="F535" s="129" t="s">
        <v>567</v>
      </c>
      <c r="G535" s="130" t="s">
        <v>1182</v>
      </c>
      <c r="H535" s="130">
        <v>42829</v>
      </c>
      <c r="I535" s="129" t="s">
        <v>2257</v>
      </c>
      <c r="J535" s="129">
        <v>64855</v>
      </c>
      <c r="K535" s="130" t="s">
        <v>2258</v>
      </c>
      <c r="L535" s="129" t="s">
        <v>570</v>
      </c>
      <c r="M535" s="129" t="s">
        <v>570</v>
      </c>
      <c r="N535" s="129" t="s">
        <v>570</v>
      </c>
      <c r="O535" s="129" t="s">
        <v>570</v>
      </c>
      <c r="P535" s="409" t="s">
        <v>570</v>
      </c>
      <c r="Q535" s="179"/>
      <c r="R535" s="179"/>
      <c r="S535" s="179"/>
      <c r="T535" s="500" t="e">
        <f>_xlfn.XLOOKUP(H535,#REF!,#REF!,0,0)</f>
        <v>#REF!</v>
      </c>
    </row>
    <row r="536" spans="1:20" x14ac:dyDescent="0.4">
      <c r="A536" s="129" t="s">
        <v>570</v>
      </c>
      <c r="B536" s="129" t="s">
        <v>2259</v>
      </c>
      <c r="C536" s="129"/>
      <c r="D536" s="129" t="s">
        <v>767</v>
      </c>
      <c r="E536" s="130"/>
      <c r="F536" s="129" t="s">
        <v>567</v>
      </c>
      <c r="G536" s="130" t="s">
        <v>1182</v>
      </c>
      <c r="H536" s="130">
        <v>42829</v>
      </c>
      <c r="I536" s="129" t="s">
        <v>2260</v>
      </c>
      <c r="J536" s="129">
        <v>64849</v>
      </c>
      <c r="K536" s="130" t="s">
        <v>2261</v>
      </c>
      <c r="L536" s="129" t="s">
        <v>570</v>
      </c>
      <c r="M536" s="129" t="s">
        <v>570</v>
      </c>
      <c r="N536" s="129" t="s">
        <v>570</v>
      </c>
      <c r="O536" s="129" t="s">
        <v>570</v>
      </c>
      <c r="P536" s="409" t="s">
        <v>570</v>
      </c>
      <c r="Q536" s="179"/>
      <c r="R536" s="179"/>
      <c r="S536" s="179"/>
      <c r="T536" s="500" t="e">
        <f>_xlfn.XLOOKUP(H536,#REF!,#REF!,0,0)</f>
        <v>#REF!</v>
      </c>
    </row>
    <row r="537" spans="1:20" x14ac:dyDescent="0.4">
      <c r="A537" s="129" t="s">
        <v>570</v>
      </c>
      <c r="B537" s="129" t="s">
        <v>2262</v>
      </c>
      <c r="C537" s="129"/>
      <c r="D537" s="129" t="s">
        <v>767</v>
      </c>
      <c r="E537" s="130">
        <v>42857</v>
      </c>
      <c r="F537" s="129" t="s">
        <v>567</v>
      </c>
      <c r="G537" s="130" t="s">
        <v>1182</v>
      </c>
      <c r="H537" s="130">
        <v>42746</v>
      </c>
      <c r="I537" s="129" t="s">
        <v>2263</v>
      </c>
      <c r="J537" s="129">
        <v>64561</v>
      </c>
      <c r="K537" s="130" t="s">
        <v>2264</v>
      </c>
      <c r="L537" s="129" t="s">
        <v>570</v>
      </c>
      <c r="M537" s="129" t="s">
        <v>570</v>
      </c>
      <c r="N537" s="129" t="s">
        <v>570</v>
      </c>
      <c r="O537" s="129" t="s">
        <v>570</v>
      </c>
      <c r="P537" s="409" t="s">
        <v>570</v>
      </c>
      <c r="Q537" s="179"/>
      <c r="R537" s="179"/>
      <c r="S537" s="179"/>
      <c r="T537" s="500" t="e">
        <f>_xlfn.XLOOKUP(H537,#REF!,#REF!,0,0)</f>
        <v>#REF!</v>
      </c>
    </row>
    <row r="538" spans="1:20" x14ac:dyDescent="0.4">
      <c r="A538" s="137" t="s">
        <v>570</v>
      </c>
      <c r="B538" s="137" t="s">
        <v>2265</v>
      </c>
      <c r="C538" s="137"/>
      <c r="D538" s="137" t="s">
        <v>788</v>
      </c>
      <c r="E538" s="143"/>
      <c r="F538" s="195" t="s">
        <v>567</v>
      </c>
      <c r="G538" s="143" t="s">
        <v>1182</v>
      </c>
      <c r="H538" s="143">
        <v>42552</v>
      </c>
      <c r="I538" s="137" t="s">
        <v>2195</v>
      </c>
      <c r="J538" s="137">
        <v>63896</v>
      </c>
      <c r="K538" s="143"/>
      <c r="L538" s="137" t="s">
        <v>570</v>
      </c>
      <c r="M538" s="137" t="s">
        <v>570</v>
      </c>
      <c r="N538" s="137" t="s">
        <v>570</v>
      </c>
      <c r="O538" s="137" t="s">
        <v>570</v>
      </c>
      <c r="P538" s="451" t="s">
        <v>570</v>
      </c>
      <c r="Q538" s="179"/>
      <c r="R538" s="179"/>
      <c r="S538" s="179"/>
      <c r="T538" s="500" t="e">
        <f>_xlfn.XLOOKUP(H538,#REF!,#REF!,0,0)</f>
        <v>#REF!</v>
      </c>
    </row>
    <row r="539" spans="1:20" x14ac:dyDescent="0.4">
      <c r="A539" s="137" t="s">
        <v>570</v>
      </c>
      <c r="B539" s="137" t="s">
        <v>2132</v>
      </c>
      <c r="C539" s="137"/>
      <c r="D539" s="137" t="s">
        <v>788</v>
      </c>
      <c r="E539" s="143"/>
      <c r="F539" s="195" t="s">
        <v>567</v>
      </c>
      <c r="G539" s="143" t="s">
        <v>1182</v>
      </c>
      <c r="H539" s="143">
        <v>42552</v>
      </c>
      <c r="I539" s="137" t="s">
        <v>2133</v>
      </c>
      <c r="J539" s="137">
        <v>63897</v>
      </c>
      <c r="K539" s="143"/>
      <c r="L539" s="137" t="s">
        <v>570</v>
      </c>
      <c r="M539" s="137" t="s">
        <v>570</v>
      </c>
      <c r="N539" s="137" t="s">
        <v>570</v>
      </c>
      <c r="O539" s="137" t="s">
        <v>570</v>
      </c>
      <c r="P539" s="451" t="s">
        <v>570</v>
      </c>
      <c r="Q539" s="179"/>
      <c r="R539" s="179"/>
      <c r="S539" s="179"/>
      <c r="T539" s="500" t="e">
        <f>_xlfn.XLOOKUP(H539,#REF!,#REF!,0,0)</f>
        <v>#REF!</v>
      </c>
    </row>
    <row r="540" spans="1:20" x14ac:dyDescent="0.4">
      <c r="A540" s="129" t="s">
        <v>570</v>
      </c>
      <c r="B540" s="129" t="s">
        <v>2266</v>
      </c>
      <c r="C540" s="129"/>
      <c r="D540" s="129" t="s">
        <v>767</v>
      </c>
      <c r="E540" s="130"/>
      <c r="F540" s="129" t="s">
        <v>567</v>
      </c>
      <c r="G540" s="130" t="s">
        <v>1182</v>
      </c>
      <c r="H540" s="130">
        <v>42829</v>
      </c>
      <c r="I540" s="129" t="s">
        <v>2267</v>
      </c>
      <c r="J540" s="129">
        <v>64841</v>
      </c>
      <c r="K540" s="130" t="s">
        <v>2268</v>
      </c>
      <c r="L540" s="129" t="s">
        <v>570</v>
      </c>
      <c r="M540" s="129" t="s">
        <v>570</v>
      </c>
      <c r="N540" s="129" t="s">
        <v>570</v>
      </c>
      <c r="O540" s="129" t="s">
        <v>570</v>
      </c>
      <c r="P540" s="409" t="s">
        <v>570</v>
      </c>
      <c r="Q540" s="179"/>
      <c r="R540" s="179"/>
      <c r="S540" s="179"/>
      <c r="T540" s="500" t="e">
        <f>_xlfn.XLOOKUP(H540,#REF!,#REF!,0,0)</f>
        <v>#REF!</v>
      </c>
    </row>
    <row r="541" spans="1:20" x14ac:dyDescent="0.4">
      <c r="A541" s="137" t="s">
        <v>570</v>
      </c>
      <c r="B541" s="137" t="s">
        <v>2269</v>
      </c>
      <c r="C541" s="137"/>
      <c r="D541" s="137" t="s">
        <v>2270</v>
      </c>
      <c r="E541" s="143"/>
      <c r="F541" s="195" t="s">
        <v>567</v>
      </c>
      <c r="G541" s="143" t="s">
        <v>1182</v>
      </c>
      <c r="H541" s="143">
        <v>42829</v>
      </c>
      <c r="I541" s="137" t="s">
        <v>2271</v>
      </c>
      <c r="J541" s="137">
        <v>64839</v>
      </c>
      <c r="K541" s="143"/>
      <c r="L541" s="137" t="s">
        <v>570</v>
      </c>
      <c r="M541" s="137" t="s">
        <v>570</v>
      </c>
      <c r="N541" s="137" t="s">
        <v>570</v>
      </c>
      <c r="O541" s="137" t="s">
        <v>570</v>
      </c>
      <c r="P541" s="451" t="s">
        <v>570</v>
      </c>
      <c r="Q541" s="179"/>
      <c r="R541" s="179"/>
      <c r="S541" s="179"/>
      <c r="T541" s="500" t="e">
        <f>_xlfn.XLOOKUP(H541,#REF!,#REF!,0,0)</f>
        <v>#REF!</v>
      </c>
    </row>
    <row r="542" spans="1:20" x14ac:dyDescent="0.4">
      <c r="A542" s="129" t="s">
        <v>570</v>
      </c>
      <c r="B542" s="129" t="s">
        <v>2272</v>
      </c>
      <c r="C542" s="129"/>
      <c r="D542" s="129" t="s">
        <v>767</v>
      </c>
      <c r="E542" s="130"/>
      <c r="F542" s="129" t="s">
        <v>567</v>
      </c>
      <c r="G542" s="130" t="s">
        <v>1182</v>
      </c>
      <c r="H542" s="130">
        <v>42829</v>
      </c>
      <c r="I542" s="129" t="s">
        <v>2273</v>
      </c>
      <c r="J542" s="129">
        <v>64851</v>
      </c>
      <c r="K542" s="130" t="s">
        <v>2274</v>
      </c>
      <c r="L542" s="129" t="s">
        <v>570</v>
      </c>
      <c r="M542" s="129" t="s">
        <v>570</v>
      </c>
      <c r="N542" s="129" t="s">
        <v>570</v>
      </c>
      <c r="O542" s="129" t="s">
        <v>570</v>
      </c>
      <c r="P542" s="409" t="s">
        <v>570</v>
      </c>
      <c r="Q542" s="179"/>
      <c r="R542" s="179"/>
      <c r="S542" s="179"/>
      <c r="T542" s="500" t="e">
        <f>_xlfn.XLOOKUP(H542,#REF!,#REF!,0,0)</f>
        <v>#REF!</v>
      </c>
    </row>
    <row r="543" spans="1:20" x14ac:dyDescent="0.4">
      <c r="A543" s="129" t="s">
        <v>570</v>
      </c>
      <c r="B543" s="129" t="s">
        <v>2275</v>
      </c>
      <c r="C543" s="129"/>
      <c r="D543" s="129" t="s">
        <v>767</v>
      </c>
      <c r="E543" s="130"/>
      <c r="F543" s="129" t="s">
        <v>567</v>
      </c>
      <c r="G543" s="130" t="s">
        <v>1182</v>
      </c>
      <c r="H543" s="130">
        <v>42829</v>
      </c>
      <c r="I543" s="129" t="s">
        <v>2276</v>
      </c>
      <c r="J543" s="129">
        <v>64850</v>
      </c>
      <c r="K543" s="130" t="s">
        <v>2277</v>
      </c>
      <c r="L543" s="129" t="s">
        <v>570</v>
      </c>
      <c r="M543" s="129" t="s">
        <v>570</v>
      </c>
      <c r="N543" s="129" t="s">
        <v>570</v>
      </c>
      <c r="O543" s="129" t="s">
        <v>570</v>
      </c>
      <c r="P543" s="409" t="s">
        <v>570</v>
      </c>
      <c r="Q543" s="179"/>
      <c r="R543" s="179"/>
      <c r="S543" s="179"/>
      <c r="T543" s="500" t="e">
        <f>_xlfn.XLOOKUP(H543,#REF!,#REF!,0,0)</f>
        <v>#REF!</v>
      </c>
    </row>
    <row r="544" spans="1:20" x14ac:dyDescent="0.4">
      <c r="A544" s="129" t="s">
        <v>570</v>
      </c>
      <c r="B544" s="129" t="s">
        <v>2278</v>
      </c>
      <c r="C544" s="129"/>
      <c r="D544" s="129" t="s">
        <v>767</v>
      </c>
      <c r="E544" s="130"/>
      <c r="F544" s="129" t="s">
        <v>567</v>
      </c>
      <c r="G544" s="130" t="s">
        <v>1182</v>
      </c>
      <c r="H544" s="130">
        <v>42829</v>
      </c>
      <c r="I544" s="129" t="s">
        <v>2279</v>
      </c>
      <c r="J544" s="129">
        <v>64844</v>
      </c>
      <c r="K544" s="130" t="s">
        <v>2280</v>
      </c>
      <c r="L544" s="129" t="s">
        <v>570</v>
      </c>
      <c r="M544" s="129" t="s">
        <v>570</v>
      </c>
      <c r="N544" s="129" t="s">
        <v>570</v>
      </c>
      <c r="O544" s="129" t="s">
        <v>570</v>
      </c>
      <c r="P544" s="409" t="s">
        <v>570</v>
      </c>
      <c r="Q544" s="179"/>
      <c r="R544" s="179"/>
      <c r="S544" s="179"/>
      <c r="T544" s="500" t="e">
        <f>_xlfn.XLOOKUP(H544,#REF!,#REF!,0,0)</f>
        <v>#REF!</v>
      </c>
    </row>
    <row r="545" spans="1:20" x14ac:dyDescent="0.4">
      <c r="A545" s="129" t="s">
        <v>570</v>
      </c>
      <c r="B545" s="129" t="s">
        <v>2281</v>
      </c>
      <c r="C545" s="129"/>
      <c r="D545" s="129" t="s">
        <v>767</v>
      </c>
      <c r="E545" s="130"/>
      <c r="F545" s="129" t="s">
        <v>567</v>
      </c>
      <c r="G545" s="130" t="s">
        <v>1182</v>
      </c>
      <c r="H545" s="130">
        <v>42829</v>
      </c>
      <c r="I545" s="129" t="s">
        <v>2282</v>
      </c>
      <c r="J545" s="129">
        <v>64843</v>
      </c>
      <c r="K545" s="130"/>
      <c r="L545" s="129" t="s">
        <v>570</v>
      </c>
      <c r="M545" s="129" t="s">
        <v>570</v>
      </c>
      <c r="N545" s="129" t="s">
        <v>570</v>
      </c>
      <c r="O545" s="129" t="s">
        <v>570</v>
      </c>
      <c r="P545" s="409" t="s">
        <v>570</v>
      </c>
      <c r="Q545" s="179"/>
      <c r="R545" s="179"/>
      <c r="S545" s="179"/>
      <c r="T545" s="500" t="e">
        <f>_xlfn.XLOOKUP(H545,#REF!,#REF!,0,0)</f>
        <v>#REF!</v>
      </c>
    </row>
    <row r="546" spans="1:20" x14ac:dyDescent="0.4">
      <c r="A546" s="137" t="s">
        <v>570</v>
      </c>
      <c r="B546" s="129" t="s">
        <v>2283</v>
      </c>
      <c r="C546" s="129"/>
      <c r="D546" s="137" t="s">
        <v>767</v>
      </c>
      <c r="E546" s="143"/>
      <c r="F546" s="195" t="s">
        <v>567</v>
      </c>
      <c r="G546" s="143" t="s">
        <v>1182</v>
      </c>
      <c r="H546" s="143">
        <v>42829</v>
      </c>
      <c r="I546" s="137" t="s">
        <v>2284</v>
      </c>
      <c r="J546" s="137">
        <v>64848</v>
      </c>
      <c r="K546" s="143" t="s">
        <v>2285</v>
      </c>
      <c r="L546" s="137" t="s">
        <v>570</v>
      </c>
      <c r="M546" s="137" t="s">
        <v>570</v>
      </c>
      <c r="N546" s="137" t="s">
        <v>570</v>
      </c>
      <c r="O546" s="137" t="s">
        <v>570</v>
      </c>
      <c r="P546" s="451" t="s">
        <v>570</v>
      </c>
      <c r="Q546" s="179"/>
      <c r="R546" s="179"/>
      <c r="S546" s="179"/>
      <c r="T546" s="500" t="e">
        <f>_xlfn.XLOOKUP(H546,#REF!,#REF!,0,0)</f>
        <v>#REF!</v>
      </c>
    </row>
    <row r="547" spans="1:20" x14ac:dyDescent="0.4">
      <c r="A547" s="129" t="s">
        <v>570</v>
      </c>
      <c r="B547" s="129" t="s">
        <v>2286</v>
      </c>
      <c r="C547" s="129"/>
      <c r="D547" s="129" t="s">
        <v>767</v>
      </c>
      <c r="E547" s="130"/>
      <c r="F547" s="129" t="s">
        <v>567</v>
      </c>
      <c r="G547" s="130" t="s">
        <v>1182</v>
      </c>
      <c r="H547" s="130">
        <v>42829</v>
      </c>
      <c r="I547" s="129" t="s">
        <v>63</v>
      </c>
      <c r="J547" s="129">
        <v>64846</v>
      </c>
      <c r="K547" s="130" t="s">
        <v>2287</v>
      </c>
      <c r="L547" s="129" t="s">
        <v>570</v>
      </c>
      <c r="M547" s="129" t="s">
        <v>570</v>
      </c>
      <c r="N547" s="129" t="s">
        <v>570</v>
      </c>
      <c r="O547" s="129" t="s">
        <v>570</v>
      </c>
      <c r="P547" s="409" t="s">
        <v>570</v>
      </c>
      <c r="Q547" s="179"/>
      <c r="R547" s="179"/>
      <c r="S547" s="179"/>
      <c r="T547" s="500" t="e">
        <f>_xlfn.XLOOKUP(H547,#REF!,#REF!,0,0)</f>
        <v>#REF!</v>
      </c>
    </row>
    <row r="548" spans="1:20" x14ac:dyDescent="0.4">
      <c r="A548" s="129" t="s">
        <v>570</v>
      </c>
      <c r="B548" s="129" t="s">
        <v>2288</v>
      </c>
      <c r="C548" s="129"/>
      <c r="D548" s="129" t="s">
        <v>767</v>
      </c>
      <c r="E548" s="130"/>
      <c r="F548" s="129" t="s">
        <v>567</v>
      </c>
      <c r="G548" s="130" t="s">
        <v>1182</v>
      </c>
      <c r="H548" s="130">
        <v>42829</v>
      </c>
      <c r="I548" s="129" t="s">
        <v>2289</v>
      </c>
      <c r="J548" s="129">
        <v>64842</v>
      </c>
      <c r="K548" s="130" t="s">
        <v>2290</v>
      </c>
      <c r="L548" s="129" t="s">
        <v>570</v>
      </c>
      <c r="M548" s="129" t="s">
        <v>570</v>
      </c>
      <c r="N548" s="129" t="s">
        <v>570</v>
      </c>
      <c r="O548" s="129" t="s">
        <v>570</v>
      </c>
      <c r="P548" s="409" t="s">
        <v>570</v>
      </c>
      <c r="Q548" s="179"/>
      <c r="R548" s="179"/>
      <c r="S548" s="179"/>
      <c r="T548" s="500" t="e">
        <f>_xlfn.XLOOKUP(H548,#REF!,#REF!,0,0)</f>
        <v>#REF!</v>
      </c>
    </row>
    <row r="549" spans="1:20" x14ac:dyDescent="0.4">
      <c r="A549" s="129" t="s">
        <v>570</v>
      </c>
      <c r="B549" s="129" t="s">
        <v>2291</v>
      </c>
      <c r="C549" s="129"/>
      <c r="D549" s="129" t="s">
        <v>767</v>
      </c>
      <c r="E549" s="130"/>
      <c r="F549" s="129" t="s">
        <v>567</v>
      </c>
      <c r="G549" s="130" t="s">
        <v>1182</v>
      </c>
      <c r="H549" s="130">
        <v>42829</v>
      </c>
      <c r="I549" s="129" t="s">
        <v>64</v>
      </c>
      <c r="J549" s="129">
        <v>64852</v>
      </c>
      <c r="K549" s="130" t="s">
        <v>2292</v>
      </c>
      <c r="L549" s="129" t="s">
        <v>570</v>
      </c>
      <c r="M549" s="129" t="s">
        <v>570</v>
      </c>
      <c r="N549" s="129" t="s">
        <v>570</v>
      </c>
      <c r="O549" s="129" t="s">
        <v>570</v>
      </c>
      <c r="P549" s="409" t="s">
        <v>570</v>
      </c>
      <c r="Q549" s="179"/>
      <c r="R549" s="179"/>
      <c r="S549" s="179"/>
      <c r="T549" s="500" t="e">
        <f>_xlfn.XLOOKUP(H549,#REF!,#REF!,0,0)</f>
        <v>#REF!</v>
      </c>
    </row>
    <row r="550" spans="1:20" x14ac:dyDescent="0.4">
      <c r="A550" s="129" t="s">
        <v>570</v>
      </c>
      <c r="B550" s="129" t="s">
        <v>2293</v>
      </c>
      <c r="C550" s="129"/>
      <c r="D550" s="129" t="s">
        <v>767</v>
      </c>
      <c r="E550" s="130"/>
      <c r="F550" s="129" t="s">
        <v>567</v>
      </c>
      <c r="G550" s="130" t="s">
        <v>1182</v>
      </c>
      <c r="H550" s="130">
        <v>42829</v>
      </c>
      <c r="I550" s="129" t="s">
        <v>62</v>
      </c>
      <c r="J550" s="129">
        <v>64845</v>
      </c>
      <c r="K550" s="130" t="s">
        <v>2294</v>
      </c>
      <c r="L550" s="129" t="s">
        <v>570</v>
      </c>
      <c r="M550" s="129" t="s">
        <v>570</v>
      </c>
      <c r="N550" s="129" t="s">
        <v>570</v>
      </c>
      <c r="O550" s="129" t="s">
        <v>570</v>
      </c>
      <c r="P550" s="409" t="s">
        <v>570</v>
      </c>
      <c r="Q550" s="179"/>
      <c r="R550" s="179"/>
      <c r="S550" s="179"/>
      <c r="T550" s="500" t="e">
        <f>_xlfn.XLOOKUP(H550,#REF!,#REF!,0,0)</f>
        <v>#REF!</v>
      </c>
    </row>
    <row r="551" spans="1:20" x14ac:dyDescent="0.4">
      <c r="A551" s="129" t="s">
        <v>570</v>
      </c>
      <c r="B551" s="129" t="s">
        <v>2295</v>
      </c>
      <c r="C551" s="129"/>
      <c r="D551" s="129" t="s">
        <v>767</v>
      </c>
      <c r="E551" s="130"/>
      <c r="F551" s="129" t="s">
        <v>567</v>
      </c>
      <c r="G551" s="130" t="s">
        <v>1182</v>
      </c>
      <c r="H551" s="130">
        <v>42829</v>
      </c>
      <c r="I551" s="129" t="s">
        <v>2296</v>
      </c>
      <c r="J551" s="129">
        <v>64854</v>
      </c>
      <c r="K551" s="130" t="s">
        <v>2297</v>
      </c>
      <c r="L551" s="129" t="s">
        <v>570</v>
      </c>
      <c r="M551" s="129" t="s">
        <v>570</v>
      </c>
      <c r="N551" s="129" t="s">
        <v>570</v>
      </c>
      <c r="O551" s="129" t="s">
        <v>570</v>
      </c>
      <c r="P551" s="409" t="s">
        <v>570</v>
      </c>
      <c r="Q551" s="179"/>
      <c r="R551" s="179"/>
      <c r="S551" s="179"/>
      <c r="T551" s="500" t="e">
        <f>_xlfn.XLOOKUP(H551,#REF!,#REF!,0,0)</f>
        <v>#REF!</v>
      </c>
    </row>
    <row r="552" spans="1:20" x14ac:dyDescent="0.4">
      <c r="A552" s="129" t="s">
        <v>570</v>
      </c>
      <c r="B552" s="129" t="s">
        <v>2298</v>
      </c>
      <c r="C552" s="129"/>
      <c r="D552" s="129" t="s">
        <v>767</v>
      </c>
      <c r="E552" s="130"/>
      <c r="F552" s="129" t="s">
        <v>567</v>
      </c>
      <c r="G552" s="130" t="s">
        <v>1182</v>
      </c>
      <c r="H552" s="130">
        <v>42829</v>
      </c>
      <c r="I552" s="129" t="s">
        <v>2299</v>
      </c>
      <c r="J552" s="129">
        <v>64840</v>
      </c>
      <c r="K552" s="130" t="s">
        <v>2300</v>
      </c>
      <c r="L552" s="129" t="s">
        <v>570</v>
      </c>
      <c r="M552" s="129" t="s">
        <v>570</v>
      </c>
      <c r="N552" s="129" t="s">
        <v>570</v>
      </c>
      <c r="O552" s="129" t="s">
        <v>570</v>
      </c>
      <c r="P552" s="409" t="s">
        <v>570</v>
      </c>
      <c r="Q552" s="179"/>
      <c r="R552" s="179"/>
      <c r="S552" s="179"/>
      <c r="T552" s="500" t="e">
        <f>_xlfn.XLOOKUP(H552,#REF!,#REF!,0,0)</f>
        <v>#REF!</v>
      </c>
    </row>
    <row r="553" spans="1:20" x14ac:dyDescent="0.4">
      <c r="A553" s="129" t="s">
        <v>570</v>
      </c>
      <c r="B553" s="129" t="s">
        <v>2301</v>
      </c>
      <c r="C553" s="129"/>
      <c r="D553" s="129" t="s">
        <v>767</v>
      </c>
      <c r="E553" s="130"/>
      <c r="F553" s="129" t="s">
        <v>567</v>
      </c>
      <c r="G553" s="130" t="s">
        <v>1182</v>
      </c>
      <c r="H553" s="130">
        <v>42881</v>
      </c>
      <c r="I553" s="129" t="s">
        <v>2302</v>
      </c>
      <c r="J553" s="129">
        <v>64922</v>
      </c>
      <c r="K553" s="130" t="s">
        <v>2303</v>
      </c>
      <c r="L553" s="129" t="s">
        <v>570</v>
      </c>
      <c r="M553" s="129" t="s">
        <v>570</v>
      </c>
      <c r="N553" s="129" t="s">
        <v>570</v>
      </c>
      <c r="O553" s="129" t="s">
        <v>570</v>
      </c>
      <c r="P553" s="409" t="s">
        <v>570</v>
      </c>
      <c r="Q553" s="179"/>
      <c r="R553" s="179"/>
      <c r="S553" s="179"/>
      <c r="T553" s="500" t="e">
        <f>_xlfn.XLOOKUP(H553,#REF!,#REF!,0,0)</f>
        <v>#REF!</v>
      </c>
    </row>
    <row r="554" spans="1:20" x14ac:dyDescent="0.4">
      <c r="A554" s="129" t="s">
        <v>570</v>
      </c>
      <c r="B554" s="129" t="s">
        <v>2304</v>
      </c>
      <c r="C554" s="129"/>
      <c r="D554" s="129" t="s">
        <v>767</v>
      </c>
      <c r="E554" s="130"/>
      <c r="F554" s="129" t="s">
        <v>567</v>
      </c>
      <c r="G554" s="130" t="s">
        <v>1182</v>
      </c>
      <c r="H554" s="130">
        <v>42829</v>
      </c>
      <c r="I554" s="129" t="s">
        <v>2305</v>
      </c>
      <c r="J554" s="129">
        <v>64853</v>
      </c>
      <c r="K554" s="130" t="s">
        <v>2306</v>
      </c>
      <c r="L554" s="129" t="s">
        <v>570</v>
      </c>
      <c r="M554" s="129" t="s">
        <v>570</v>
      </c>
      <c r="N554" s="129" t="s">
        <v>570</v>
      </c>
      <c r="O554" s="129" t="s">
        <v>570</v>
      </c>
      <c r="P554" s="409" t="s">
        <v>570</v>
      </c>
      <c r="Q554" s="179"/>
      <c r="R554" s="179"/>
      <c r="S554" s="179"/>
      <c r="T554" s="500" t="e">
        <f>_xlfn.XLOOKUP(H554,#REF!,#REF!,0,0)</f>
        <v>#REF!</v>
      </c>
    </row>
    <row r="555" spans="1:20" x14ac:dyDescent="0.4">
      <c r="A555" s="129" t="s">
        <v>570</v>
      </c>
      <c r="B555" s="129" t="s">
        <v>2307</v>
      </c>
      <c r="C555" s="129"/>
      <c r="D555" s="129" t="s">
        <v>767</v>
      </c>
      <c r="E555" s="130"/>
      <c r="F555" s="129" t="s">
        <v>567</v>
      </c>
      <c r="G555" s="130" t="s">
        <v>1182</v>
      </c>
      <c r="H555" s="130">
        <v>42746</v>
      </c>
      <c r="I555" s="129" t="s">
        <v>2308</v>
      </c>
      <c r="J555" s="129">
        <v>64563</v>
      </c>
      <c r="K555" s="130" t="s">
        <v>2309</v>
      </c>
      <c r="L555" s="129" t="s">
        <v>570</v>
      </c>
      <c r="M555" s="129" t="s">
        <v>570</v>
      </c>
      <c r="N555" s="129" t="s">
        <v>570</v>
      </c>
      <c r="O555" s="129" t="s">
        <v>570</v>
      </c>
      <c r="P555" s="409" t="s">
        <v>570</v>
      </c>
      <c r="Q555" s="179"/>
      <c r="R555" s="179"/>
      <c r="S555" s="179"/>
      <c r="T555" s="500" t="e">
        <f>_xlfn.XLOOKUP(H555,#REF!,#REF!,0,0)</f>
        <v>#REF!</v>
      </c>
    </row>
    <row r="556" spans="1:20" x14ac:dyDescent="0.4">
      <c r="A556" s="129" t="s">
        <v>570</v>
      </c>
      <c r="B556" s="129" t="s">
        <v>2310</v>
      </c>
      <c r="C556" s="129"/>
      <c r="D556" s="129" t="s">
        <v>767</v>
      </c>
      <c r="E556" s="130"/>
      <c r="F556" s="129" t="s">
        <v>567</v>
      </c>
      <c r="G556" s="130" t="s">
        <v>1182</v>
      </c>
      <c r="H556" s="130">
        <v>42829</v>
      </c>
      <c r="I556" s="129" t="s">
        <v>2311</v>
      </c>
      <c r="J556" s="129">
        <v>64836</v>
      </c>
      <c r="K556" s="130" t="s">
        <v>2312</v>
      </c>
      <c r="L556" s="129" t="s">
        <v>570</v>
      </c>
      <c r="M556" s="129" t="s">
        <v>570</v>
      </c>
      <c r="N556" s="129" t="s">
        <v>570</v>
      </c>
      <c r="O556" s="129" t="s">
        <v>570</v>
      </c>
      <c r="P556" s="409" t="s">
        <v>570</v>
      </c>
      <c r="Q556" s="179"/>
      <c r="R556" s="179"/>
      <c r="S556" s="179"/>
      <c r="T556" s="500" t="e">
        <f>_xlfn.XLOOKUP(H556,#REF!,#REF!,0,0)</f>
        <v>#REF!</v>
      </c>
    </row>
    <row r="557" spans="1:20" x14ac:dyDescent="0.4">
      <c r="A557" s="129" t="s">
        <v>570</v>
      </c>
      <c r="B557" s="129" t="s">
        <v>2313</v>
      </c>
      <c r="C557" s="129"/>
      <c r="D557" s="129" t="s">
        <v>767</v>
      </c>
      <c r="E557" s="130"/>
      <c r="F557" s="129" t="s">
        <v>567</v>
      </c>
      <c r="G557" s="130" t="s">
        <v>1182</v>
      </c>
      <c r="H557" s="130">
        <v>42829</v>
      </c>
      <c r="I557" s="129" t="s">
        <v>2314</v>
      </c>
      <c r="J557" s="129">
        <v>64838</v>
      </c>
      <c r="K557" s="130" t="s">
        <v>2315</v>
      </c>
      <c r="L557" s="129" t="s">
        <v>570</v>
      </c>
      <c r="M557" s="129" t="s">
        <v>570</v>
      </c>
      <c r="N557" s="129" t="s">
        <v>570</v>
      </c>
      <c r="O557" s="129" t="s">
        <v>570</v>
      </c>
      <c r="P557" s="409" t="s">
        <v>570</v>
      </c>
      <c r="Q557" s="179"/>
      <c r="R557" s="179"/>
      <c r="S557" s="179"/>
      <c r="T557" s="500" t="e">
        <f>_xlfn.XLOOKUP(H557,#REF!,#REF!,0,0)</f>
        <v>#REF!</v>
      </c>
    </row>
    <row r="558" spans="1:20" x14ac:dyDescent="0.4">
      <c r="A558" s="129" t="s">
        <v>570</v>
      </c>
      <c r="B558" s="129" t="s">
        <v>2316</v>
      </c>
      <c r="C558" s="129"/>
      <c r="D558" s="129" t="s">
        <v>767</v>
      </c>
      <c r="E558" s="130"/>
      <c r="F558" s="129" t="s">
        <v>567</v>
      </c>
      <c r="G558" s="130" t="s">
        <v>1182</v>
      </c>
      <c r="H558" s="130">
        <v>42881</v>
      </c>
      <c r="I558" s="129" t="s">
        <v>2317</v>
      </c>
      <c r="J558" s="129">
        <v>64925</v>
      </c>
      <c r="K558" s="130" t="s">
        <v>2318</v>
      </c>
      <c r="L558" s="129" t="s">
        <v>570</v>
      </c>
      <c r="M558" s="129" t="s">
        <v>570</v>
      </c>
      <c r="N558" s="129" t="s">
        <v>570</v>
      </c>
      <c r="O558" s="129" t="s">
        <v>570</v>
      </c>
      <c r="P558" s="409" t="s">
        <v>570</v>
      </c>
      <c r="Q558" s="179"/>
      <c r="R558" s="179"/>
      <c r="S558" s="179"/>
      <c r="T558" s="500" t="e">
        <f>_xlfn.XLOOKUP(H558,#REF!,#REF!,0,0)</f>
        <v>#REF!</v>
      </c>
    </row>
    <row r="559" spans="1:20" x14ac:dyDescent="0.4">
      <c r="A559" s="129" t="s">
        <v>570</v>
      </c>
      <c r="B559" s="129" t="s">
        <v>2319</v>
      </c>
      <c r="C559" s="129"/>
      <c r="D559" s="129" t="s">
        <v>767</v>
      </c>
      <c r="E559" s="130"/>
      <c r="F559" s="129" t="s">
        <v>567</v>
      </c>
      <c r="G559" s="130" t="s">
        <v>1182</v>
      </c>
      <c r="H559" s="130">
        <v>42829</v>
      </c>
      <c r="I559" s="129" t="s">
        <v>2320</v>
      </c>
      <c r="J559" s="129">
        <v>64834</v>
      </c>
      <c r="K559" s="130" t="s">
        <v>2321</v>
      </c>
      <c r="L559" s="129" t="s">
        <v>570</v>
      </c>
      <c r="M559" s="129" t="s">
        <v>570</v>
      </c>
      <c r="N559" s="129" t="s">
        <v>570</v>
      </c>
      <c r="O559" s="129" t="s">
        <v>570</v>
      </c>
      <c r="P559" s="409" t="s">
        <v>570</v>
      </c>
      <c r="Q559" s="179"/>
      <c r="R559" s="179"/>
      <c r="S559" s="179"/>
      <c r="T559" s="500" t="e">
        <f>_xlfn.XLOOKUP(H559,#REF!,#REF!,0,0)</f>
        <v>#REF!</v>
      </c>
    </row>
    <row r="560" spans="1:20" x14ac:dyDescent="0.4">
      <c r="A560" s="129" t="s">
        <v>570</v>
      </c>
      <c r="B560" s="129" t="s">
        <v>2322</v>
      </c>
      <c r="C560" s="129"/>
      <c r="D560" s="129" t="s">
        <v>767</v>
      </c>
      <c r="E560" s="130"/>
      <c r="F560" s="129" t="s">
        <v>567</v>
      </c>
      <c r="G560" s="130" t="s">
        <v>1182</v>
      </c>
      <c r="H560" s="130">
        <v>42829</v>
      </c>
      <c r="I560" s="129" t="s">
        <v>2323</v>
      </c>
      <c r="J560" s="129">
        <v>64835</v>
      </c>
      <c r="K560" s="130" t="s">
        <v>2324</v>
      </c>
      <c r="L560" s="129" t="s">
        <v>570</v>
      </c>
      <c r="M560" s="129" t="s">
        <v>570</v>
      </c>
      <c r="N560" s="129" t="s">
        <v>570</v>
      </c>
      <c r="O560" s="129" t="s">
        <v>570</v>
      </c>
      <c r="P560" s="409" t="s">
        <v>570</v>
      </c>
      <c r="Q560" s="179"/>
      <c r="R560" s="179"/>
      <c r="S560" s="179"/>
      <c r="T560" s="500" t="e">
        <f>_xlfn.XLOOKUP(H560,#REF!,#REF!,0,0)</f>
        <v>#REF!</v>
      </c>
    </row>
    <row r="561" spans="1:20" x14ac:dyDescent="0.4">
      <c r="A561" s="129" t="s">
        <v>570</v>
      </c>
      <c r="B561" s="129" t="s">
        <v>2325</v>
      </c>
      <c r="C561" s="129"/>
      <c r="D561" s="129" t="s">
        <v>767</v>
      </c>
      <c r="E561" s="130"/>
      <c r="F561" s="129" t="s">
        <v>567</v>
      </c>
      <c r="G561" s="130" t="s">
        <v>1182</v>
      </c>
      <c r="H561" s="130">
        <v>42881</v>
      </c>
      <c r="I561" s="129" t="s">
        <v>2326</v>
      </c>
      <c r="J561" s="129">
        <v>64923</v>
      </c>
      <c r="K561" s="130" t="s">
        <v>2327</v>
      </c>
      <c r="L561" s="129" t="s">
        <v>570</v>
      </c>
      <c r="M561" s="129" t="s">
        <v>570</v>
      </c>
      <c r="N561" s="129" t="s">
        <v>570</v>
      </c>
      <c r="O561" s="129" t="s">
        <v>570</v>
      </c>
      <c r="P561" s="409" t="s">
        <v>570</v>
      </c>
      <c r="Q561" s="179"/>
      <c r="R561" s="179"/>
      <c r="S561" s="179"/>
      <c r="T561" s="500" t="e">
        <f>_xlfn.XLOOKUP(H561,#REF!,#REF!,0,0)</f>
        <v>#REF!</v>
      </c>
    </row>
    <row r="562" spans="1:20" x14ac:dyDescent="0.4">
      <c r="A562" s="129" t="s">
        <v>570</v>
      </c>
      <c r="B562" s="129" t="s">
        <v>2328</v>
      </c>
      <c r="C562" s="129"/>
      <c r="D562" s="129" t="s">
        <v>767</v>
      </c>
      <c r="E562" s="130"/>
      <c r="F562" s="129" t="s">
        <v>567</v>
      </c>
      <c r="G562" s="130" t="s">
        <v>1182</v>
      </c>
      <c r="H562" s="130">
        <v>42829</v>
      </c>
      <c r="I562" s="129" t="s">
        <v>2329</v>
      </c>
      <c r="J562" s="129">
        <v>64837</v>
      </c>
      <c r="K562" s="130" t="s">
        <v>2330</v>
      </c>
      <c r="L562" s="129" t="s">
        <v>570</v>
      </c>
      <c r="M562" s="129" t="s">
        <v>570</v>
      </c>
      <c r="N562" s="129" t="s">
        <v>570</v>
      </c>
      <c r="O562" s="129" t="s">
        <v>570</v>
      </c>
      <c r="P562" s="409" t="s">
        <v>570</v>
      </c>
      <c r="Q562" s="179"/>
      <c r="R562" s="179"/>
      <c r="S562" s="179"/>
      <c r="T562" s="500" t="e">
        <f>_xlfn.XLOOKUP(H562,#REF!,#REF!,0,0)</f>
        <v>#REF!</v>
      </c>
    </row>
    <row r="563" spans="1:20" x14ac:dyDescent="0.4">
      <c r="A563" s="129" t="s">
        <v>570</v>
      </c>
      <c r="B563" s="129" t="s">
        <v>2331</v>
      </c>
      <c r="C563" s="129"/>
      <c r="D563" s="129" t="s">
        <v>767</v>
      </c>
      <c r="E563" s="130"/>
      <c r="F563" s="129" t="s">
        <v>567</v>
      </c>
      <c r="G563" s="130" t="s">
        <v>1182</v>
      </c>
      <c r="H563" s="130">
        <v>42829</v>
      </c>
      <c r="I563" s="129" t="s">
        <v>2332</v>
      </c>
      <c r="J563" s="129">
        <v>64833</v>
      </c>
      <c r="K563" s="130" t="s">
        <v>2333</v>
      </c>
      <c r="L563" s="129" t="s">
        <v>570</v>
      </c>
      <c r="M563" s="129" t="s">
        <v>570</v>
      </c>
      <c r="N563" s="129" t="s">
        <v>570</v>
      </c>
      <c r="O563" s="129" t="s">
        <v>570</v>
      </c>
      <c r="P563" s="409" t="s">
        <v>570</v>
      </c>
      <c r="Q563" s="179"/>
      <c r="R563" s="179"/>
      <c r="S563" s="179"/>
      <c r="T563" s="500" t="e">
        <f>_xlfn.XLOOKUP(H563,#REF!,#REF!,0,0)</f>
        <v>#REF!</v>
      </c>
    </row>
    <row r="564" spans="1:20" x14ac:dyDescent="0.4">
      <c r="A564" s="129" t="s">
        <v>570</v>
      </c>
      <c r="B564" s="129" t="s">
        <v>2334</v>
      </c>
      <c r="C564" s="129"/>
      <c r="D564" s="129" t="s">
        <v>767</v>
      </c>
      <c r="E564" s="130"/>
      <c r="F564" s="129" t="s">
        <v>567</v>
      </c>
      <c r="G564" s="130" t="s">
        <v>1182</v>
      </c>
      <c r="H564" s="130">
        <v>42829</v>
      </c>
      <c r="I564" s="129" t="s">
        <v>2335</v>
      </c>
      <c r="J564" s="129">
        <v>64847</v>
      </c>
      <c r="K564" s="130" t="s">
        <v>2336</v>
      </c>
      <c r="L564" s="129" t="s">
        <v>570</v>
      </c>
      <c r="M564" s="129" t="s">
        <v>570</v>
      </c>
      <c r="N564" s="129" t="s">
        <v>570</v>
      </c>
      <c r="O564" s="129" t="s">
        <v>570</v>
      </c>
      <c r="P564" s="409" t="s">
        <v>570</v>
      </c>
      <c r="Q564" s="179"/>
      <c r="R564" s="179"/>
      <c r="S564" s="179"/>
      <c r="T564" s="500" t="e">
        <f>_xlfn.XLOOKUP(H564,#REF!,#REF!,0,0)</f>
        <v>#REF!</v>
      </c>
    </row>
    <row r="565" spans="1:20" x14ac:dyDescent="0.4">
      <c r="A565" s="129" t="s">
        <v>570</v>
      </c>
      <c r="B565" s="129" t="s">
        <v>2337</v>
      </c>
      <c r="C565" s="129"/>
      <c r="D565" s="129" t="s">
        <v>767</v>
      </c>
      <c r="E565" s="130"/>
      <c r="F565" s="129" t="s">
        <v>567</v>
      </c>
      <c r="G565" s="130" t="s">
        <v>1182</v>
      </c>
      <c r="H565" s="130">
        <v>42881</v>
      </c>
      <c r="I565" s="129" t="s">
        <v>2338</v>
      </c>
      <c r="J565" s="129">
        <v>64921</v>
      </c>
      <c r="K565" s="130" t="s">
        <v>2339</v>
      </c>
      <c r="L565" s="129" t="s">
        <v>570</v>
      </c>
      <c r="M565" s="129" t="s">
        <v>570</v>
      </c>
      <c r="N565" s="129" t="s">
        <v>570</v>
      </c>
      <c r="O565" s="129" t="s">
        <v>570</v>
      </c>
      <c r="P565" s="409" t="s">
        <v>570</v>
      </c>
      <c r="Q565" s="179"/>
      <c r="R565" s="179"/>
      <c r="S565" s="179"/>
      <c r="T565" s="500" t="e">
        <f>_xlfn.XLOOKUP(H565,#REF!,#REF!,0,0)</f>
        <v>#REF!</v>
      </c>
    </row>
    <row r="566" spans="1:20" x14ac:dyDescent="0.4">
      <c r="A566" s="129" t="s">
        <v>570</v>
      </c>
      <c r="B566" s="129" t="s">
        <v>2340</v>
      </c>
      <c r="C566" s="129"/>
      <c r="D566" s="129" t="s">
        <v>2270</v>
      </c>
      <c r="E566" s="130"/>
      <c r="F566" s="129" t="s">
        <v>567</v>
      </c>
      <c r="G566" s="130" t="s">
        <v>1182</v>
      </c>
      <c r="H566" s="130">
        <v>42829</v>
      </c>
      <c r="I566" s="129" t="s">
        <v>2341</v>
      </c>
      <c r="J566" s="129">
        <v>64828</v>
      </c>
      <c r="K566" s="130" t="s">
        <v>2342</v>
      </c>
      <c r="L566" s="129" t="s">
        <v>570</v>
      </c>
      <c r="M566" s="129" t="s">
        <v>570</v>
      </c>
      <c r="N566" s="129" t="s">
        <v>570</v>
      </c>
      <c r="O566" s="129" t="s">
        <v>570</v>
      </c>
      <c r="P566" s="409" t="s">
        <v>570</v>
      </c>
      <c r="Q566" s="179"/>
      <c r="R566" s="179"/>
      <c r="S566" s="179"/>
      <c r="T566" s="500" t="e">
        <f>_xlfn.XLOOKUP(H566,#REF!,#REF!,0,0)</f>
        <v>#REF!</v>
      </c>
    </row>
    <row r="567" spans="1:20" x14ac:dyDescent="0.4">
      <c r="A567" s="129" t="s">
        <v>570</v>
      </c>
      <c r="B567" s="129" t="s">
        <v>2343</v>
      </c>
      <c r="C567" s="129"/>
      <c r="D567" s="129" t="s">
        <v>767</v>
      </c>
      <c r="E567" s="130"/>
      <c r="F567" s="129" t="s">
        <v>567</v>
      </c>
      <c r="G567" s="130" t="s">
        <v>1182</v>
      </c>
      <c r="H567" s="130">
        <v>42829</v>
      </c>
      <c r="I567" s="129" t="s">
        <v>2344</v>
      </c>
      <c r="J567" s="129">
        <v>64830</v>
      </c>
      <c r="K567" s="130" t="s">
        <v>2345</v>
      </c>
      <c r="L567" s="129" t="s">
        <v>570</v>
      </c>
      <c r="M567" s="129" t="s">
        <v>570</v>
      </c>
      <c r="N567" s="129" t="s">
        <v>570</v>
      </c>
      <c r="O567" s="129" t="s">
        <v>570</v>
      </c>
      <c r="P567" s="409" t="s">
        <v>570</v>
      </c>
      <c r="Q567" s="179"/>
      <c r="R567" s="179"/>
      <c r="S567" s="179"/>
      <c r="T567" s="500" t="e">
        <f>_xlfn.XLOOKUP(H567,#REF!,#REF!,0,0)</f>
        <v>#REF!</v>
      </c>
    </row>
    <row r="568" spans="1:20" x14ac:dyDescent="0.4">
      <c r="A568" s="129" t="s">
        <v>570</v>
      </c>
      <c r="B568" s="129" t="s">
        <v>2346</v>
      </c>
      <c r="C568" s="129"/>
      <c r="D568" s="129" t="s">
        <v>767</v>
      </c>
      <c r="E568" s="130"/>
      <c r="F568" s="129" t="s">
        <v>567</v>
      </c>
      <c r="G568" s="130" t="s">
        <v>1182</v>
      </c>
      <c r="H568" s="130">
        <v>42829</v>
      </c>
      <c r="I568" s="129" t="s">
        <v>2347</v>
      </c>
      <c r="J568" s="129">
        <v>64829</v>
      </c>
      <c r="K568" s="130" t="s">
        <v>2348</v>
      </c>
      <c r="L568" s="129" t="s">
        <v>570</v>
      </c>
      <c r="M568" s="129" t="s">
        <v>570</v>
      </c>
      <c r="N568" s="129" t="s">
        <v>570</v>
      </c>
      <c r="O568" s="129" t="s">
        <v>570</v>
      </c>
      <c r="P568" s="409" t="s">
        <v>570</v>
      </c>
      <c r="Q568" s="179"/>
      <c r="R568" s="179"/>
      <c r="S568" s="179"/>
      <c r="T568" s="500" t="e">
        <f>_xlfn.XLOOKUP(H568,#REF!,#REF!,0,0)</f>
        <v>#REF!</v>
      </c>
    </row>
    <row r="569" spans="1:20" x14ac:dyDescent="0.4">
      <c r="A569" s="129" t="s">
        <v>570</v>
      </c>
      <c r="B569" s="129" t="s">
        <v>2349</v>
      </c>
      <c r="C569" s="129"/>
      <c r="D569" s="129" t="s">
        <v>767</v>
      </c>
      <c r="E569" s="130"/>
      <c r="F569" s="129" t="s">
        <v>567</v>
      </c>
      <c r="G569" s="130" t="s">
        <v>1182</v>
      </c>
      <c r="H569" s="130">
        <v>42829</v>
      </c>
      <c r="I569" s="129" t="s">
        <v>2350</v>
      </c>
      <c r="J569" s="129">
        <v>64832</v>
      </c>
      <c r="K569" s="130" t="s">
        <v>2351</v>
      </c>
      <c r="L569" s="129" t="s">
        <v>570</v>
      </c>
      <c r="M569" s="129" t="s">
        <v>570</v>
      </c>
      <c r="N569" s="129" t="s">
        <v>570</v>
      </c>
      <c r="O569" s="129" t="s">
        <v>570</v>
      </c>
      <c r="P569" s="409" t="s">
        <v>570</v>
      </c>
      <c r="Q569" s="179"/>
      <c r="R569" s="179"/>
      <c r="S569" s="179"/>
      <c r="T569" s="500" t="e">
        <f>_xlfn.XLOOKUP(H569,#REF!,#REF!,0,0)</f>
        <v>#REF!</v>
      </c>
    </row>
    <row r="570" spans="1:20" x14ac:dyDescent="0.4">
      <c r="A570" s="129" t="s">
        <v>570</v>
      </c>
      <c r="B570" s="129" t="s">
        <v>2352</v>
      </c>
      <c r="C570" s="129"/>
      <c r="D570" s="129" t="s">
        <v>767</v>
      </c>
      <c r="E570" s="130"/>
      <c r="F570" s="129" t="s">
        <v>567</v>
      </c>
      <c r="G570" s="130" t="s">
        <v>1182</v>
      </c>
      <c r="H570" s="130">
        <v>42829</v>
      </c>
      <c r="I570" s="129" t="s">
        <v>2353</v>
      </c>
      <c r="J570" s="129">
        <v>64831</v>
      </c>
      <c r="K570" s="130" t="s">
        <v>2354</v>
      </c>
      <c r="L570" s="129" t="s">
        <v>570</v>
      </c>
      <c r="M570" s="129" t="s">
        <v>570</v>
      </c>
      <c r="N570" s="129" t="s">
        <v>570</v>
      </c>
      <c r="O570" s="129" t="s">
        <v>570</v>
      </c>
      <c r="P570" s="409" t="s">
        <v>570</v>
      </c>
      <c r="Q570" s="179"/>
      <c r="R570" s="179"/>
      <c r="S570" s="179"/>
      <c r="T570" s="500" t="e">
        <f>_xlfn.XLOOKUP(H570,#REF!,#REF!,0,0)</f>
        <v>#REF!</v>
      </c>
    </row>
    <row r="571" spans="1:20" x14ac:dyDescent="0.4">
      <c r="A571" s="129" t="s">
        <v>570</v>
      </c>
      <c r="B571" s="129" t="s">
        <v>2355</v>
      </c>
      <c r="C571" s="129"/>
      <c r="D571" s="129" t="s">
        <v>767</v>
      </c>
      <c r="E571" s="130"/>
      <c r="F571" s="129" t="s">
        <v>567</v>
      </c>
      <c r="G571" s="130" t="s">
        <v>1182</v>
      </c>
      <c r="H571" s="130">
        <v>42829</v>
      </c>
      <c r="I571" s="129" t="s">
        <v>2356</v>
      </c>
      <c r="J571" s="129">
        <v>64826</v>
      </c>
      <c r="K571" s="130" t="s">
        <v>2357</v>
      </c>
      <c r="L571" s="129" t="s">
        <v>570</v>
      </c>
      <c r="M571" s="129" t="s">
        <v>570</v>
      </c>
      <c r="N571" s="129" t="s">
        <v>570</v>
      </c>
      <c r="O571" s="129" t="s">
        <v>570</v>
      </c>
      <c r="P571" s="409" t="s">
        <v>570</v>
      </c>
      <c r="Q571" s="179"/>
      <c r="R571" s="179"/>
      <c r="S571" s="179"/>
      <c r="T571" s="500" t="e">
        <f>_xlfn.XLOOKUP(H571,#REF!,#REF!,0,0)</f>
        <v>#REF!</v>
      </c>
    </row>
    <row r="572" spans="1:20" x14ac:dyDescent="0.4">
      <c r="A572" s="129" t="s">
        <v>570</v>
      </c>
      <c r="B572" s="129" t="s">
        <v>2358</v>
      </c>
      <c r="C572" s="129"/>
      <c r="D572" s="129" t="s">
        <v>767</v>
      </c>
      <c r="E572" s="130"/>
      <c r="F572" s="129" t="s">
        <v>567</v>
      </c>
      <c r="G572" s="130" t="s">
        <v>1182</v>
      </c>
      <c r="H572" s="130">
        <v>42829</v>
      </c>
      <c r="I572" s="129" t="s">
        <v>61</v>
      </c>
      <c r="J572" s="129">
        <v>64827</v>
      </c>
      <c r="K572" s="130" t="s">
        <v>2359</v>
      </c>
      <c r="L572" s="129" t="s">
        <v>570</v>
      </c>
      <c r="M572" s="129" t="s">
        <v>570</v>
      </c>
      <c r="N572" s="129" t="s">
        <v>570</v>
      </c>
      <c r="O572" s="129" t="s">
        <v>570</v>
      </c>
      <c r="P572" s="409" t="s">
        <v>570</v>
      </c>
      <c r="Q572" s="179"/>
      <c r="R572" s="179"/>
      <c r="S572" s="179"/>
      <c r="T572" s="500" t="e">
        <f>_xlfn.XLOOKUP(H572,#REF!,#REF!,0,0)</f>
        <v>#REF!</v>
      </c>
    </row>
    <row r="573" spans="1:20" x14ac:dyDescent="0.4">
      <c r="A573" s="129" t="s">
        <v>570</v>
      </c>
      <c r="B573" s="129" t="s">
        <v>2360</v>
      </c>
      <c r="C573" s="129"/>
      <c r="D573" s="129" t="s">
        <v>767</v>
      </c>
      <c r="E573" s="130"/>
      <c r="F573" s="129" t="s">
        <v>567</v>
      </c>
      <c r="G573" s="130" t="s">
        <v>1182</v>
      </c>
      <c r="H573" s="130">
        <v>42935</v>
      </c>
      <c r="I573" s="129" t="s">
        <v>2361</v>
      </c>
      <c r="J573" s="129">
        <v>65039</v>
      </c>
      <c r="K573" s="130" t="s">
        <v>2362</v>
      </c>
      <c r="L573" s="129" t="s">
        <v>570</v>
      </c>
      <c r="M573" s="129" t="s">
        <v>570</v>
      </c>
      <c r="N573" s="129" t="s">
        <v>570</v>
      </c>
      <c r="O573" s="129" t="s">
        <v>570</v>
      </c>
      <c r="P573" s="409" t="s">
        <v>570</v>
      </c>
      <c r="Q573" s="179"/>
      <c r="R573" s="179"/>
      <c r="S573" s="179"/>
      <c r="T573" s="500" t="e">
        <f>_xlfn.XLOOKUP(H573,#REF!,#REF!,0,0)</f>
        <v>#REF!</v>
      </c>
    </row>
    <row r="574" spans="1:20" x14ac:dyDescent="0.4">
      <c r="A574" s="129" t="s">
        <v>570</v>
      </c>
      <c r="B574" s="129" t="s">
        <v>2363</v>
      </c>
      <c r="C574" s="129"/>
      <c r="D574" s="129" t="s">
        <v>767</v>
      </c>
      <c r="E574" s="130"/>
      <c r="F574" s="129" t="s">
        <v>567</v>
      </c>
      <c r="G574" s="130" t="s">
        <v>1182</v>
      </c>
      <c r="H574" s="130">
        <v>42881</v>
      </c>
      <c r="I574" s="129" t="s">
        <v>2364</v>
      </c>
      <c r="J574" s="129">
        <v>64924</v>
      </c>
      <c r="K574" s="130" t="s">
        <v>2365</v>
      </c>
      <c r="L574" s="129" t="s">
        <v>570</v>
      </c>
      <c r="M574" s="129" t="s">
        <v>570</v>
      </c>
      <c r="N574" s="129" t="s">
        <v>570</v>
      </c>
      <c r="O574" s="129" t="s">
        <v>570</v>
      </c>
      <c r="P574" s="409" t="s">
        <v>570</v>
      </c>
      <c r="Q574" s="179"/>
      <c r="R574" s="179"/>
      <c r="S574" s="179"/>
      <c r="T574" s="500" t="e">
        <f>_xlfn.XLOOKUP(H574,#REF!,#REF!,0,0)</f>
        <v>#REF!</v>
      </c>
    </row>
    <row r="575" spans="1:20" x14ac:dyDescent="0.4">
      <c r="A575" s="129" t="s">
        <v>570</v>
      </c>
      <c r="B575" s="129" t="s">
        <v>2366</v>
      </c>
      <c r="C575" s="129"/>
      <c r="D575" s="129" t="s">
        <v>767</v>
      </c>
      <c r="E575" s="130"/>
      <c r="F575" s="129" t="s">
        <v>567</v>
      </c>
      <c r="G575" s="130" t="s">
        <v>1182</v>
      </c>
      <c r="H575" s="130">
        <v>42935</v>
      </c>
      <c r="I575" s="129" t="s">
        <v>2367</v>
      </c>
      <c r="J575" s="129">
        <v>65032</v>
      </c>
      <c r="K575" s="130" t="s">
        <v>2368</v>
      </c>
      <c r="L575" s="129" t="s">
        <v>570</v>
      </c>
      <c r="M575" s="129" t="s">
        <v>570</v>
      </c>
      <c r="N575" s="129" t="s">
        <v>570</v>
      </c>
      <c r="O575" s="129" t="s">
        <v>570</v>
      </c>
      <c r="P575" s="409" t="s">
        <v>570</v>
      </c>
      <c r="Q575" s="179"/>
      <c r="R575" s="179"/>
      <c r="S575" s="179"/>
      <c r="T575" s="500" t="e">
        <f>_xlfn.XLOOKUP(H575,#REF!,#REF!,0,0)</f>
        <v>#REF!</v>
      </c>
    </row>
    <row r="576" spans="1:20" x14ac:dyDescent="0.4">
      <c r="A576" s="129" t="s">
        <v>570</v>
      </c>
      <c r="B576" s="129" t="s">
        <v>2369</v>
      </c>
      <c r="C576" s="129"/>
      <c r="D576" s="129" t="s">
        <v>767</v>
      </c>
      <c r="E576" s="130"/>
      <c r="F576" s="129" t="s">
        <v>567</v>
      </c>
      <c r="G576" s="130" t="s">
        <v>1182</v>
      </c>
      <c r="H576" s="130">
        <v>42935</v>
      </c>
      <c r="I576" s="129" t="s">
        <v>2370</v>
      </c>
      <c r="J576" s="129">
        <v>65040</v>
      </c>
      <c r="K576" s="130" t="s">
        <v>2371</v>
      </c>
      <c r="L576" s="129" t="s">
        <v>570</v>
      </c>
      <c r="M576" s="129" t="s">
        <v>570</v>
      </c>
      <c r="N576" s="129" t="s">
        <v>570</v>
      </c>
      <c r="O576" s="129" t="s">
        <v>570</v>
      </c>
      <c r="P576" s="409" t="s">
        <v>570</v>
      </c>
      <c r="Q576" s="179"/>
      <c r="R576" s="179"/>
      <c r="S576" s="179"/>
      <c r="T576" s="500" t="e">
        <f>_xlfn.XLOOKUP(H576,#REF!,#REF!,0,0)</f>
        <v>#REF!</v>
      </c>
    </row>
    <row r="577" spans="1:20" x14ac:dyDescent="0.4">
      <c r="A577" s="129" t="s">
        <v>570</v>
      </c>
      <c r="B577" s="129" t="s">
        <v>2372</v>
      </c>
      <c r="C577" s="129"/>
      <c r="D577" s="129" t="s">
        <v>767</v>
      </c>
      <c r="E577" s="130"/>
      <c r="F577" s="129" t="s">
        <v>567</v>
      </c>
      <c r="G577" s="130" t="s">
        <v>1182</v>
      </c>
      <c r="H577" s="130">
        <v>42935</v>
      </c>
      <c r="I577" s="129" t="s">
        <v>2373</v>
      </c>
      <c r="J577" s="129">
        <v>65033</v>
      </c>
      <c r="K577" s="130" t="s">
        <v>2374</v>
      </c>
      <c r="L577" s="129" t="s">
        <v>570</v>
      </c>
      <c r="M577" s="129" t="s">
        <v>570</v>
      </c>
      <c r="N577" s="129" t="s">
        <v>570</v>
      </c>
      <c r="O577" s="129" t="s">
        <v>570</v>
      </c>
      <c r="P577" s="409" t="s">
        <v>570</v>
      </c>
      <c r="Q577" s="179"/>
      <c r="R577" s="179"/>
      <c r="S577" s="179"/>
      <c r="T577" s="500" t="e">
        <f>_xlfn.XLOOKUP(H577,#REF!,#REF!,0,0)</f>
        <v>#REF!</v>
      </c>
    </row>
    <row r="578" spans="1:20" x14ac:dyDescent="0.4">
      <c r="A578" s="129" t="s">
        <v>570</v>
      </c>
      <c r="B578" s="129" t="s">
        <v>2372</v>
      </c>
      <c r="C578" s="129"/>
      <c r="D578" s="129" t="s">
        <v>767</v>
      </c>
      <c r="E578" s="130"/>
      <c r="F578" s="129" t="s">
        <v>567</v>
      </c>
      <c r="G578" s="130" t="s">
        <v>1182</v>
      </c>
      <c r="H578" s="130">
        <v>42935</v>
      </c>
      <c r="I578" s="129" t="s">
        <v>2375</v>
      </c>
      <c r="J578" s="129">
        <v>65034</v>
      </c>
      <c r="K578" s="130" t="s">
        <v>2376</v>
      </c>
      <c r="L578" s="129" t="s">
        <v>570</v>
      </c>
      <c r="M578" s="129" t="s">
        <v>570</v>
      </c>
      <c r="N578" s="129" t="s">
        <v>570</v>
      </c>
      <c r="O578" s="129" t="s">
        <v>570</v>
      </c>
      <c r="P578" s="409" t="s">
        <v>570</v>
      </c>
      <c r="Q578" s="179"/>
      <c r="R578" s="179"/>
      <c r="S578" s="179"/>
      <c r="T578" s="500" t="e">
        <f>_xlfn.XLOOKUP(H578,#REF!,#REF!,0,0)</f>
        <v>#REF!</v>
      </c>
    </row>
    <row r="579" spans="1:20" x14ac:dyDescent="0.4">
      <c r="A579" s="129" t="s">
        <v>570</v>
      </c>
      <c r="B579" s="129" t="s">
        <v>2372</v>
      </c>
      <c r="C579" s="129"/>
      <c r="D579" s="129" t="s">
        <v>767</v>
      </c>
      <c r="E579" s="130"/>
      <c r="F579" s="129" t="s">
        <v>567</v>
      </c>
      <c r="G579" s="130" t="s">
        <v>1182</v>
      </c>
      <c r="H579" s="130">
        <v>42935</v>
      </c>
      <c r="I579" s="129" t="s">
        <v>2377</v>
      </c>
      <c r="J579" s="129">
        <v>65035</v>
      </c>
      <c r="K579" s="130" t="s">
        <v>2378</v>
      </c>
      <c r="L579" s="129" t="s">
        <v>570</v>
      </c>
      <c r="M579" s="129" t="s">
        <v>570</v>
      </c>
      <c r="N579" s="129" t="s">
        <v>570</v>
      </c>
      <c r="O579" s="129" t="s">
        <v>570</v>
      </c>
      <c r="P579" s="409" t="s">
        <v>570</v>
      </c>
      <c r="Q579" s="179"/>
      <c r="R579" s="179"/>
      <c r="S579" s="179"/>
      <c r="T579" s="500" t="e">
        <f>_xlfn.XLOOKUP(H579,#REF!,#REF!,0,0)</f>
        <v>#REF!</v>
      </c>
    </row>
    <row r="580" spans="1:20" x14ac:dyDescent="0.4">
      <c r="A580" s="129" t="s">
        <v>570</v>
      </c>
      <c r="B580" s="129" t="s">
        <v>2379</v>
      </c>
      <c r="C580" s="129"/>
      <c r="D580" s="129" t="s">
        <v>767</v>
      </c>
      <c r="E580" s="130"/>
      <c r="F580" s="129" t="s">
        <v>567</v>
      </c>
      <c r="G580" s="130" t="s">
        <v>1182</v>
      </c>
      <c r="H580" s="130">
        <v>42935</v>
      </c>
      <c r="I580" s="129" t="s">
        <v>2380</v>
      </c>
      <c r="J580" s="129">
        <v>65025</v>
      </c>
      <c r="K580" s="130" t="s">
        <v>2381</v>
      </c>
      <c r="L580" s="129" t="s">
        <v>570</v>
      </c>
      <c r="M580" s="129" t="s">
        <v>570</v>
      </c>
      <c r="N580" s="129" t="s">
        <v>570</v>
      </c>
      <c r="O580" s="129" t="s">
        <v>570</v>
      </c>
      <c r="P580" s="409" t="s">
        <v>570</v>
      </c>
      <c r="Q580" s="179"/>
      <c r="R580" s="179"/>
      <c r="S580" s="179"/>
      <c r="T580" s="500" t="e">
        <f>_xlfn.XLOOKUP(H580,#REF!,#REF!,0,0)</f>
        <v>#REF!</v>
      </c>
    </row>
    <row r="581" spans="1:20" x14ac:dyDescent="0.4">
      <c r="A581" s="129" t="s">
        <v>570</v>
      </c>
      <c r="B581" s="129" t="s">
        <v>2382</v>
      </c>
      <c r="C581" s="129"/>
      <c r="D581" s="129" t="s">
        <v>767</v>
      </c>
      <c r="E581" s="130"/>
      <c r="F581" s="129" t="s">
        <v>567</v>
      </c>
      <c r="G581" s="130" t="s">
        <v>1182</v>
      </c>
      <c r="H581" s="130">
        <v>42935</v>
      </c>
      <c r="I581" s="129" t="s">
        <v>2383</v>
      </c>
      <c r="J581" s="129">
        <v>65024</v>
      </c>
      <c r="K581" s="130" t="s">
        <v>2384</v>
      </c>
      <c r="L581" s="129" t="s">
        <v>570</v>
      </c>
      <c r="M581" s="129" t="s">
        <v>570</v>
      </c>
      <c r="N581" s="129" t="s">
        <v>570</v>
      </c>
      <c r="O581" s="129" t="s">
        <v>570</v>
      </c>
      <c r="P581" s="409" t="s">
        <v>570</v>
      </c>
      <c r="Q581" s="179"/>
      <c r="R581" s="179"/>
      <c r="S581" s="179"/>
      <c r="T581" s="500" t="e">
        <f>_xlfn.XLOOKUP(H581,#REF!,#REF!,0,0)</f>
        <v>#REF!</v>
      </c>
    </row>
    <row r="582" spans="1:20" x14ac:dyDescent="0.4">
      <c r="A582" s="129" t="s">
        <v>570</v>
      </c>
      <c r="B582" s="129" t="s">
        <v>2385</v>
      </c>
      <c r="C582" s="129"/>
      <c r="D582" s="129" t="s">
        <v>767</v>
      </c>
      <c r="E582" s="130"/>
      <c r="F582" s="129" t="s">
        <v>567</v>
      </c>
      <c r="G582" s="130" t="s">
        <v>1182</v>
      </c>
      <c r="H582" s="130">
        <v>42436</v>
      </c>
      <c r="I582" s="129" t="s">
        <v>1908</v>
      </c>
      <c r="J582" s="129">
        <v>63535</v>
      </c>
      <c r="K582" s="130" t="s">
        <v>2386</v>
      </c>
      <c r="L582" s="129" t="s">
        <v>570</v>
      </c>
      <c r="M582" s="129" t="s">
        <v>570</v>
      </c>
      <c r="N582" s="129" t="s">
        <v>570</v>
      </c>
      <c r="O582" s="129" t="s">
        <v>570</v>
      </c>
      <c r="P582" s="409" t="s">
        <v>570</v>
      </c>
      <c r="Q582" s="179"/>
      <c r="R582" s="179"/>
      <c r="S582" s="179"/>
      <c r="T582" s="500" t="e">
        <f>_xlfn.XLOOKUP(H582,#REF!,#REF!,0,0)</f>
        <v>#REF!</v>
      </c>
    </row>
    <row r="583" spans="1:20" x14ac:dyDescent="0.4">
      <c r="A583" s="129" t="s">
        <v>570</v>
      </c>
      <c r="B583" s="129" t="s">
        <v>2387</v>
      </c>
      <c r="C583" s="129"/>
      <c r="D583" s="129" t="s">
        <v>767</v>
      </c>
      <c r="E583" s="130"/>
      <c r="F583" s="129" t="s">
        <v>567</v>
      </c>
      <c r="G583" s="130" t="s">
        <v>1182</v>
      </c>
      <c r="H583" s="130">
        <v>42935</v>
      </c>
      <c r="I583" s="129" t="s">
        <v>2388</v>
      </c>
      <c r="J583" s="129">
        <v>65023</v>
      </c>
      <c r="K583" s="130" t="s">
        <v>2389</v>
      </c>
      <c r="L583" s="129" t="s">
        <v>570</v>
      </c>
      <c r="M583" s="129" t="s">
        <v>570</v>
      </c>
      <c r="N583" s="129" t="s">
        <v>570</v>
      </c>
      <c r="O583" s="129" t="s">
        <v>570</v>
      </c>
      <c r="P583" s="409" t="s">
        <v>570</v>
      </c>
      <c r="Q583" s="179"/>
      <c r="R583" s="179"/>
      <c r="S583" s="179"/>
      <c r="T583" s="500" t="e">
        <f>_xlfn.XLOOKUP(H583,#REF!,#REF!,0,0)</f>
        <v>#REF!</v>
      </c>
    </row>
    <row r="584" spans="1:20" x14ac:dyDescent="0.4">
      <c r="A584" s="129" t="s">
        <v>570</v>
      </c>
      <c r="B584" s="129" t="s">
        <v>2390</v>
      </c>
      <c r="C584" s="129"/>
      <c r="D584" s="129" t="s">
        <v>767</v>
      </c>
      <c r="E584" s="130"/>
      <c r="F584" s="129" t="s">
        <v>567</v>
      </c>
      <c r="G584" s="130" t="s">
        <v>1182</v>
      </c>
      <c r="H584" s="130">
        <v>42935</v>
      </c>
      <c r="I584" s="129" t="s">
        <v>2391</v>
      </c>
      <c r="J584" s="129">
        <v>65022</v>
      </c>
      <c r="K584" s="130" t="s">
        <v>2392</v>
      </c>
      <c r="L584" s="129" t="s">
        <v>570</v>
      </c>
      <c r="M584" s="129" t="s">
        <v>570</v>
      </c>
      <c r="N584" s="129" t="s">
        <v>570</v>
      </c>
      <c r="O584" s="129" t="s">
        <v>570</v>
      </c>
      <c r="P584" s="409" t="s">
        <v>570</v>
      </c>
      <c r="Q584" s="179"/>
      <c r="R584" s="179"/>
      <c r="S584" s="179"/>
      <c r="T584" s="500" t="e">
        <f>_xlfn.XLOOKUP(H584,#REF!,#REF!,0,0)</f>
        <v>#REF!</v>
      </c>
    </row>
    <row r="585" spans="1:20" x14ac:dyDescent="0.4">
      <c r="A585" s="129" t="s">
        <v>570</v>
      </c>
      <c r="B585" s="129" t="s">
        <v>2393</v>
      </c>
      <c r="C585" s="129"/>
      <c r="D585" s="129" t="s">
        <v>767</v>
      </c>
      <c r="E585" s="130"/>
      <c r="F585" s="129" t="s">
        <v>567</v>
      </c>
      <c r="G585" s="130" t="s">
        <v>1182</v>
      </c>
      <c r="H585" s="130">
        <v>42935</v>
      </c>
      <c r="I585" s="129" t="s">
        <v>2394</v>
      </c>
      <c r="J585" s="129">
        <v>65010</v>
      </c>
      <c r="K585" s="130" t="s">
        <v>2395</v>
      </c>
      <c r="L585" s="129" t="s">
        <v>570</v>
      </c>
      <c r="M585" s="129" t="s">
        <v>570</v>
      </c>
      <c r="N585" s="129" t="s">
        <v>570</v>
      </c>
      <c r="O585" s="129" t="s">
        <v>570</v>
      </c>
      <c r="P585" s="409" t="s">
        <v>570</v>
      </c>
      <c r="Q585" s="179"/>
      <c r="R585" s="179"/>
      <c r="S585" s="179"/>
      <c r="T585" s="500" t="e">
        <f>_xlfn.XLOOKUP(H585,#REF!,#REF!,0,0)</f>
        <v>#REF!</v>
      </c>
    </row>
    <row r="586" spans="1:20" x14ac:dyDescent="0.4">
      <c r="A586" s="129" t="s">
        <v>570</v>
      </c>
      <c r="B586" s="129" t="s">
        <v>2396</v>
      </c>
      <c r="C586" s="129"/>
      <c r="D586" s="129" t="s">
        <v>767</v>
      </c>
      <c r="E586" s="130"/>
      <c r="F586" s="129" t="s">
        <v>567</v>
      </c>
      <c r="G586" s="130" t="s">
        <v>1182</v>
      </c>
      <c r="H586" s="130">
        <v>42935</v>
      </c>
      <c r="I586" s="129" t="s">
        <v>2397</v>
      </c>
      <c r="J586" s="129">
        <v>65009</v>
      </c>
      <c r="K586" s="130" t="s">
        <v>2398</v>
      </c>
      <c r="L586" s="129" t="s">
        <v>570</v>
      </c>
      <c r="M586" s="129" t="s">
        <v>570</v>
      </c>
      <c r="N586" s="129" t="s">
        <v>570</v>
      </c>
      <c r="O586" s="129" t="s">
        <v>570</v>
      </c>
      <c r="P586" s="409" t="s">
        <v>570</v>
      </c>
      <c r="Q586" s="179"/>
      <c r="R586" s="179"/>
      <c r="S586" s="179"/>
      <c r="T586" s="500" t="e">
        <f>_xlfn.XLOOKUP(H586,#REF!,#REF!,0,0)</f>
        <v>#REF!</v>
      </c>
    </row>
    <row r="587" spans="1:20" x14ac:dyDescent="0.4">
      <c r="A587" s="129" t="s">
        <v>570</v>
      </c>
      <c r="B587" s="129" t="s">
        <v>2399</v>
      </c>
      <c r="C587" s="129"/>
      <c r="D587" s="129" t="s">
        <v>767</v>
      </c>
      <c r="E587" s="130"/>
      <c r="F587" s="129" t="s">
        <v>567</v>
      </c>
      <c r="G587" s="130" t="s">
        <v>1182</v>
      </c>
      <c r="H587" s="130">
        <v>42935</v>
      </c>
      <c r="I587" s="129" t="s">
        <v>2400</v>
      </c>
      <c r="J587" s="129">
        <v>65008</v>
      </c>
      <c r="K587" s="130" t="s">
        <v>2401</v>
      </c>
      <c r="L587" s="129" t="s">
        <v>570</v>
      </c>
      <c r="M587" s="129" t="s">
        <v>570</v>
      </c>
      <c r="N587" s="129" t="s">
        <v>570</v>
      </c>
      <c r="O587" s="129" t="s">
        <v>570</v>
      </c>
      <c r="P587" s="409" t="s">
        <v>570</v>
      </c>
      <c r="Q587" s="179"/>
      <c r="R587" s="179"/>
      <c r="S587" s="179"/>
      <c r="T587" s="500" t="e">
        <f>_xlfn.XLOOKUP(H587,#REF!,#REF!,0,0)</f>
        <v>#REF!</v>
      </c>
    </row>
    <row r="588" spans="1:20" x14ac:dyDescent="0.4">
      <c r="A588" s="129" t="s">
        <v>570</v>
      </c>
      <c r="B588" s="129" t="s">
        <v>2402</v>
      </c>
      <c r="C588" s="129"/>
      <c r="D588" s="129" t="s">
        <v>767</v>
      </c>
      <c r="E588" s="130"/>
      <c r="F588" s="129" t="s">
        <v>567</v>
      </c>
      <c r="G588" s="130" t="s">
        <v>1182</v>
      </c>
      <c r="H588" s="130">
        <v>42935</v>
      </c>
      <c r="I588" s="129" t="s">
        <v>2403</v>
      </c>
      <c r="J588" s="129">
        <v>65021</v>
      </c>
      <c r="K588" s="130" t="s">
        <v>2404</v>
      </c>
      <c r="L588" s="129" t="s">
        <v>570</v>
      </c>
      <c r="M588" s="129" t="s">
        <v>570</v>
      </c>
      <c r="N588" s="129" t="s">
        <v>570</v>
      </c>
      <c r="O588" s="129" t="s">
        <v>570</v>
      </c>
      <c r="P588" s="409" t="s">
        <v>570</v>
      </c>
      <c r="Q588" s="179"/>
      <c r="R588" s="179"/>
      <c r="S588" s="179"/>
      <c r="T588" s="500" t="e">
        <f>_xlfn.XLOOKUP(H588,#REF!,#REF!,0,0)</f>
        <v>#REF!</v>
      </c>
    </row>
    <row r="589" spans="1:20" x14ac:dyDescent="0.4">
      <c r="A589" s="129" t="s">
        <v>570</v>
      </c>
      <c r="B589" s="129" t="s">
        <v>2405</v>
      </c>
      <c r="C589" s="129"/>
      <c r="D589" s="129" t="s">
        <v>767</v>
      </c>
      <c r="E589" s="130"/>
      <c r="F589" s="129" t="s">
        <v>567</v>
      </c>
      <c r="G589" s="130" t="s">
        <v>1182</v>
      </c>
      <c r="H589" s="130">
        <v>42935</v>
      </c>
      <c r="I589" s="129" t="s">
        <v>2406</v>
      </c>
      <c r="J589" s="129">
        <v>65020</v>
      </c>
      <c r="K589" s="130" t="s">
        <v>2407</v>
      </c>
      <c r="L589" s="129" t="s">
        <v>570</v>
      </c>
      <c r="M589" s="129" t="s">
        <v>570</v>
      </c>
      <c r="N589" s="129" t="s">
        <v>570</v>
      </c>
      <c r="O589" s="129" t="s">
        <v>570</v>
      </c>
      <c r="P589" s="409" t="s">
        <v>570</v>
      </c>
      <c r="Q589" s="179"/>
      <c r="R589" s="179"/>
      <c r="S589" s="179"/>
      <c r="T589" s="500" t="e">
        <f>_xlfn.XLOOKUP(H589,#REF!,#REF!,0,0)</f>
        <v>#REF!</v>
      </c>
    </row>
    <row r="590" spans="1:20" x14ac:dyDescent="0.4">
      <c r="A590" s="129" t="s">
        <v>570</v>
      </c>
      <c r="B590" s="129" t="s">
        <v>2408</v>
      </c>
      <c r="C590" s="129"/>
      <c r="D590" s="129" t="s">
        <v>767</v>
      </c>
      <c r="E590" s="130" t="s">
        <v>432</v>
      </c>
      <c r="F590" s="129" t="s">
        <v>567</v>
      </c>
      <c r="G590" s="130" t="s">
        <v>1182</v>
      </c>
      <c r="H590" s="130">
        <v>42935</v>
      </c>
      <c r="I590" s="129" t="s">
        <v>2409</v>
      </c>
      <c r="J590" s="129">
        <v>65029</v>
      </c>
      <c r="K590" s="130" t="s">
        <v>2410</v>
      </c>
      <c r="L590" s="129" t="s">
        <v>570</v>
      </c>
      <c r="M590" s="129" t="s">
        <v>570</v>
      </c>
      <c r="N590" s="129" t="s">
        <v>570</v>
      </c>
      <c r="O590" s="129" t="s">
        <v>570</v>
      </c>
      <c r="P590" s="409" t="s">
        <v>570</v>
      </c>
      <c r="Q590" s="179"/>
      <c r="R590" s="179"/>
      <c r="S590" s="179"/>
      <c r="T590" s="500" t="e">
        <f>_xlfn.XLOOKUP(H590,#REF!,#REF!,0,0)</f>
        <v>#REF!</v>
      </c>
    </row>
    <row r="591" spans="1:20" x14ac:dyDescent="0.4">
      <c r="A591" s="129" t="s">
        <v>570</v>
      </c>
      <c r="B591" s="129" t="s">
        <v>2411</v>
      </c>
      <c r="C591" s="129"/>
      <c r="D591" s="129" t="s">
        <v>767</v>
      </c>
      <c r="E591" s="130"/>
      <c r="F591" s="129" t="s">
        <v>567</v>
      </c>
      <c r="G591" s="130" t="s">
        <v>1182</v>
      </c>
      <c r="H591" s="130">
        <v>42935</v>
      </c>
      <c r="I591" s="129" t="s">
        <v>2412</v>
      </c>
      <c r="J591" s="129">
        <v>65026</v>
      </c>
      <c r="K591" s="130" t="s">
        <v>2413</v>
      </c>
      <c r="L591" s="129" t="s">
        <v>570</v>
      </c>
      <c r="M591" s="129" t="s">
        <v>570</v>
      </c>
      <c r="N591" s="129" t="s">
        <v>570</v>
      </c>
      <c r="O591" s="129" t="s">
        <v>570</v>
      </c>
      <c r="P591" s="409" t="s">
        <v>570</v>
      </c>
      <c r="Q591" s="179"/>
      <c r="R591" s="179"/>
      <c r="S591" s="179"/>
      <c r="T591" s="500" t="e">
        <f>_xlfn.XLOOKUP(H591,#REF!,#REF!,0,0)</f>
        <v>#REF!</v>
      </c>
    </row>
    <row r="592" spans="1:20" x14ac:dyDescent="0.4">
      <c r="A592" s="129" t="s">
        <v>570</v>
      </c>
      <c r="B592" s="129" t="s">
        <v>2414</v>
      </c>
      <c r="C592" s="129"/>
      <c r="D592" s="129" t="s">
        <v>767</v>
      </c>
      <c r="E592" s="130"/>
      <c r="F592" s="129" t="s">
        <v>567</v>
      </c>
      <c r="G592" s="130" t="s">
        <v>1182</v>
      </c>
      <c r="H592" s="130">
        <v>42935</v>
      </c>
      <c r="I592" s="129" t="s">
        <v>67</v>
      </c>
      <c r="J592" s="129">
        <v>65027</v>
      </c>
      <c r="K592" s="130" t="s">
        <v>2415</v>
      </c>
      <c r="L592" s="129" t="s">
        <v>570</v>
      </c>
      <c r="M592" s="129" t="s">
        <v>570</v>
      </c>
      <c r="N592" s="129" t="s">
        <v>570</v>
      </c>
      <c r="O592" s="129" t="s">
        <v>570</v>
      </c>
      <c r="P592" s="409" t="s">
        <v>570</v>
      </c>
      <c r="Q592" s="179"/>
      <c r="R592" s="179"/>
      <c r="S592" s="179"/>
      <c r="T592" s="500" t="e">
        <f>_xlfn.XLOOKUP(H592,#REF!,#REF!,0,0)</f>
        <v>#REF!</v>
      </c>
    </row>
    <row r="593" spans="1:20" x14ac:dyDescent="0.4">
      <c r="A593" s="129" t="s">
        <v>570</v>
      </c>
      <c r="B593" s="129" t="s">
        <v>2416</v>
      </c>
      <c r="C593" s="129"/>
      <c r="D593" s="129" t="s">
        <v>767</v>
      </c>
      <c r="E593" s="130"/>
      <c r="F593" s="129" t="s">
        <v>567</v>
      </c>
      <c r="G593" s="130" t="s">
        <v>1182</v>
      </c>
      <c r="H593" s="130">
        <v>42935</v>
      </c>
      <c r="I593" s="129" t="s">
        <v>2417</v>
      </c>
      <c r="J593" s="129">
        <v>65030</v>
      </c>
      <c r="K593" s="130" t="s">
        <v>2418</v>
      </c>
      <c r="L593" s="129" t="s">
        <v>570</v>
      </c>
      <c r="M593" s="129" t="s">
        <v>570</v>
      </c>
      <c r="N593" s="129" t="s">
        <v>570</v>
      </c>
      <c r="O593" s="129" t="s">
        <v>570</v>
      </c>
      <c r="P593" s="409" t="s">
        <v>570</v>
      </c>
      <c r="Q593" s="179"/>
      <c r="R593" s="179"/>
      <c r="S593" s="179"/>
      <c r="T593" s="500" t="e">
        <f>_xlfn.XLOOKUP(H593,#REF!,#REF!,0,0)</f>
        <v>#REF!</v>
      </c>
    </row>
    <row r="594" spans="1:20" x14ac:dyDescent="0.4">
      <c r="A594" s="129" t="s">
        <v>570</v>
      </c>
      <c r="B594" s="129" t="s">
        <v>2419</v>
      </c>
      <c r="C594" s="129"/>
      <c r="D594" s="129" t="s">
        <v>767</v>
      </c>
      <c r="E594" s="130"/>
      <c r="F594" s="129" t="s">
        <v>567</v>
      </c>
      <c r="G594" s="130" t="s">
        <v>1182</v>
      </c>
      <c r="H594" s="130">
        <v>42935</v>
      </c>
      <c r="I594" s="129" t="s">
        <v>2420</v>
      </c>
      <c r="J594" s="129">
        <v>65031</v>
      </c>
      <c r="K594" s="130" t="s">
        <v>2421</v>
      </c>
      <c r="L594" s="129" t="s">
        <v>570</v>
      </c>
      <c r="M594" s="129" t="s">
        <v>570</v>
      </c>
      <c r="N594" s="129" t="s">
        <v>570</v>
      </c>
      <c r="O594" s="129" t="s">
        <v>570</v>
      </c>
      <c r="P594" s="409" t="s">
        <v>570</v>
      </c>
      <c r="Q594" s="179"/>
      <c r="R594" s="179"/>
      <c r="S594" s="179"/>
      <c r="T594" s="500" t="e">
        <f>_xlfn.XLOOKUP(H594,#REF!,#REF!,0,0)</f>
        <v>#REF!</v>
      </c>
    </row>
    <row r="595" spans="1:20" x14ac:dyDescent="0.4">
      <c r="A595" s="129" t="s">
        <v>570</v>
      </c>
      <c r="B595" s="129" t="s">
        <v>2422</v>
      </c>
      <c r="C595" s="129"/>
      <c r="D595" s="129" t="s">
        <v>767</v>
      </c>
      <c r="E595" s="130"/>
      <c r="F595" s="129" t="s">
        <v>567</v>
      </c>
      <c r="G595" s="130" t="s">
        <v>1182</v>
      </c>
      <c r="H595" s="130">
        <v>42935</v>
      </c>
      <c r="I595" s="129" t="s">
        <v>2423</v>
      </c>
      <c r="J595" s="129">
        <v>65028</v>
      </c>
      <c r="K595" s="130" t="s">
        <v>2424</v>
      </c>
      <c r="L595" s="129" t="s">
        <v>570</v>
      </c>
      <c r="M595" s="129" t="s">
        <v>570</v>
      </c>
      <c r="N595" s="129" t="s">
        <v>570</v>
      </c>
      <c r="O595" s="129" t="s">
        <v>570</v>
      </c>
      <c r="P595" s="409" t="s">
        <v>570</v>
      </c>
      <c r="Q595" s="179"/>
      <c r="R595" s="179"/>
      <c r="S595" s="179"/>
      <c r="T595" s="500" t="e">
        <f>_xlfn.XLOOKUP(H595,#REF!,#REF!,0,0)</f>
        <v>#REF!</v>
      </c>
    </row>
    <row r="596" spans="1:20" x14ac:dyDescent="0.4">
      <c r="A596" s="129" t="s">
        <v>570</v>
      </c>
      <c r="B596" s="129" t="s">
        <v>2425</v>
      </c>
      <c r="C596" s="129"/>
      <c r="D596" s="129" t="s">
        <v>767</v>
      </c>
      <c r="E596" s="130"/>
      <c r="F596" s="129" t="s">
        <v>567</v>
      </c>
      <c r="G596" s="130" t="s">
        <v>1182</v>
      </c>
      <c r="H596" s="130">
        <v>42935</v>
      </c>
      <c r="I596" s="129" t="s">
        <v>2426</v>
      </c>
      <c r="J596" s="129">
        <v>65041</v>
      </c>
      <c r="K596" s="130" t="s">
        <v>2427</v>
      </c>
      <c r="L596" s="129" t="s">
        <v>570</v>
      </c>
      <c r="M596" s="129" t="s">
        <v>570</v>
      </c>
      <c r="N596" s="129" t="s">
        <v>570</v>
      </c>
      <c r="O596" s="129" t="s">
        <v>570</v>
      </c>
      <c r="P596" s="409" t="s">
        <v>570</v>
      </c>
      <c r="Q596" s="179"/>
      <c r="R596" s="179"/>
      <c r="S596" s="179"/>
      <c r="T596" s="500" t="e">
        <f>_xlfn.XLOOKUP(H596,#REF!,#REF!,0,0)</f>
        <v>#REF!</v>
      </c>
    </row>
    <row r="597" spans="1:20" x14ac:dyDescent="0.4">
      <c r="A597" s="129" t="s">
        <v>570</v>
      </c>
      <c r="B597" s="129" t="s">
        <v>2428</v>
      </c>
      <c r="C597" s="129"/>
      <c r="D597" s="129" t="s">
        <v>767</v>
      </c>
      <c r="E597" s="130"/>
      <c r="F597" s="129" t="s">
        <v>567</v>
      </c>
      <c r="G597" s="130" t="s">
        <v>1182</v>
      </c>
      <c r="H597" s="130">
        <v>42935</v>
      </c>
      <c r="I597" s="129" t="s">
        <v>2429</v>
      </c>
      <c r="J597" s="129">
        <v>65038</v>
      </c>
      <c r="K597" s="130" t="s">
        <v>2430</v>
      </c>
      <c r="L597" s="129" t="s">
        <v>570</v>
      </c>
      <c r="M597" s="129" t="s">
        <v>570</v>
      </c>
      <c r="N597" s="129" t="s">
        <v>570</v>
      </c>
      <c r="O597" s="129" t="s">
        <v>570</v>
      </c>
      <c r="P597" s="409" t="s">
        <v>570</v>
      </c>
      <c r="Q597" s="179"/>
      <c r="R597" s="179"/>
      <c r="S597" s="179"/>
      <c r="T597" s="500" t="e">
        <f>_xlfn.XLOOKUP(H597,#REF!,#REF!,0,0)</f>
        <v>#REF!</v>
      </c>
    </row>
    <row r="598" spans="1:20" x14ac:dyDescent="0.4">
      <c r="A598" s="129" t="s">
        <v>570</v>
      </c>
      <c r="B598" s="129" t="s">
        <v>2431</v>
      </c>
      <c r="C598" s="129"/>
      <c r="D598" s="129" t="s">
        <v>767</v>
      </c>
      <c r="E598" s="130">
        <v>43003</v>
      </c>
      <c r="F598" s="129" t="s">
        <v>567</v>
      </c>
      <c r="G598" s="130" t="s">
        <v>1182</v>
      </c>
      <c r="H598" s="130">
        <v>42935</v>
      </c>
      <c r="I598" s="129" t="s">
        <v>2432</v>
      </c>
      <c r="J598" s="129">
        <v>65036</v>
      </c>
      <c r="K598" s="130" t="s">
        <v>2433</v>
      </c>
      <c r="L598" s="129" t="s">
        <v>570</v>
      </c>
      <c r="M598" s="129" t="s">
        <v>570</v>
      </c>
      <c r="N598" s="129" t="s">
        <v>570</v>
      </c>
      <c r="O598" s="129" t="s">
        <v>570</v>
      </c>
      <c r="P598" s="409" t="s">
        <v>570</v>
      </c>
      <c r="Q598" s="179"/>
      <c r="R598" s="179"/>
      <c r="S598" s="179"/>
      <c r="T598" s="500" t="e">
        <f>_xlfn.XLOOKUP(H598,#REF!,#REF!,0,0)</f>
        <v>#REF!</v>
      </c>
    </row>
    <row r="599" spans="1:20" x14ac:dyDescent="0.4">
      <c r="A599" s="129" t="s">
        <v>570</v>
      </c>
      <c r="B599" s="129" t="s">
        <v>2434</v>
      </c>
      <c r="C599" s="129"/>
      <c r="D599" s="129" t="s">
        <v>767</v>
      </c>
      <c r="E599" s="130"/>
      <c r="F599" s="129" t="s">
        <v>567</v>
      </c>
      <c r="G599" s="130" t="s">
        <v>1182</v>
      </c>
      <c r="H599" s="130">
        <v>42935</v>
      </c>
      <c r="I599" s="129" t="s">
        <v>2435</v>
      </c>
      <c r="J599" s="129">
        <v>65005</v>
      </c>
      <c r="K599" s="130" t="s">
        <v>2436</v>
      </c>
      <c r="L599" s="129" t="s">
        <v>570</v>
      </c>
      <c r="M599" s="129" t="s">
        <v>570</v>
      </c>
      <c r="N599" s="129" t="s">
        <v>570</v>
      </c>
      <c r="O599" s="129" t="s">
        <v>570</v>
      </c>
      <c r="P599" s="409" t="s">
        <v>570</v>
      </c>
      <c r="Q599" s="179"/>
      <c r="R599" s="179"/>
      <c r="S599" s="179"/>
      <c r="T599" s="500" t="e">
        <f>_xlfn.XLOOKUP(H599,#REF!,#REF!,0,0)</f>
        <v>#REF!</v>
      </c>
    </row>
    <row r="600" spans="1:20" x14ac:dyDescent="0.4">
      <c r="A600" s="129" t="s">
        <v>570</v>
      </c>
      <c r="B600" s="129" t="s">
        <v>2437</v>
      </c>
      <c r="C600" s="129"/>
      <c r="D600" s="129" t="s">
        <v>767</v>
      </c>
      <c r="E600" s="130"/>
      <c r="F600" s="129" t="s">
        <v>567</v>
      </c>
      <c r="G600" s="130" t="s">
        <v>1182</v>
      </c>
      <c r="H600" s="130">
        <v>42935</v>
      </c>
      <c r="I600" s="129" t="s">
        <v>2438</v>
      </c>
      <c r="J600" s="129">
        <v>65013</v>
      </c>
      <c r="K600" s="130" t="s">
        <v>2439</v>
      </c>
      <c r="L600" s="129" t="s">
        <v>570</v>
      </c>
      <c r="M600" s="129" t="s">
        <v>570</v>
      </c>
      <c r="N600" s="129" t="s">
        <v>570</v>
      </c>
      <c r="O600" s="129" t="s">
        <v>570</v>
      </c>
      <c r="P600" s="409" t="s">
        <v>570</v>
      </c>
      <c r="Q600" s="179"/>
      <c r="R600" s="179"/>
      <c r="S600" s="179"/>
      <c r="T600" s="500" t="e">
        <f>_xlfn.XLOOKUP(H600,#REF!,#REF!,0,0)</f>
        <v>#REF!</v>
      </c>
    </row>
    <row r="601" spans="1:20" x14ac:dyDescent="0.4">
      <c r="A601" s="129" t="s">
        <v>570</v>
      </c>
      <c r="B601" s="129" t="s">
        <v>2440</v>
      </c>
      <c r="C601" s="129"/>
      <c r="D601" s="129" t="s">
        <v>767</v>
      </c>
      <c r="E601" s="130"/>
      <c r="F601" s="129" t="s">
        <v>567</v>
      </c>
      <c r="G601" s="130" t="s">
        <v>1182</v>
      </c>
      <c r="H601" s="130">
        <v>42935</v>
      </c>
      <c r="I601" s="129" t="s">
        <v>2441</v>
      </c>
      <c r="J601" s="129">
        <v>65037</v>
      </c>
      <c r="K601" s="130" t="s">
        <v>2442</v>
      </c>
      <c r="L601" s="129" t="s">
        <v>570</v>
      </c>
      <c r="M601" s="129" t="s">
        <v>570</v>
      </c>
      <c r="N601" s="129" t="s">
        <v>570</v>
      </c>
      <c r="O601" s="129" t="s">
        <v>570</v>
      </c>
      <c r="P601" s="409" t="s">
        <v>570</v>
      </c>
      <c r="Q601" s="179"/>
      <c r="R601" s="179"/>
      <c r="S601" s="179"/>
      <c r="T601" s="500" t="e">
        <f>_xlfn.XLOOKUP(H601,#REF!,#REF!,0,0)</f>
        <v>#REF!</v>
      </c>
    </row>
    <row r="602" spans="1:20" x14ac:dyDescent="0.4">
      <c r="A602" s="129" t="s">
        <v>570</v>
      </c>
      <c r="B602" s="129" t="s">
        <v>2443</v>
      </c>
      <c r="C602" s="129"/>
      <c r="D602" s="129" t="s">
        <v>767</v>
      </c>
      <c r="E602" s="130"/>
      <c r="F602" s="129" t="s">
        <v>567</v>
      </c>
      <c r="G602" s="130" t="s">
        <v>1182</v>
      </c>
      <c r="H602" s="130">
        <v>42935</v>
      </c>
      <c r="I602" s="129" t="s">
        <v>2444</v>
      </c>
      <c r="J602" s="129">
        <v>65012</v>
      </c>
      <c r="K602" s="130" t="s">
        <v>2445</v>
      </c>
      <c r="L602" s="129" t="s">
        <v>570</v>
      </c>
      <c r="M602" s="129" t="s">
        <v>570</v>
      </c>
      <c r="N602" s="129" t="s">
        <v>570</v>
      </c>
      <c r="O602" s="129" t="s">
        <v>570</v>
      </c>
      <c r="P602" s="409" t="s">
        <v>570</v>
      </c>
      <c r="Q602" s="179"/>
      <c r="R602" s="179"/>
      <c r="S602" s="179"/>
      <c r="T602" s="500" t="e">
        <f>_xlfn.XLOOKUP(H602,#REF!,#REF!,0,0)</f>
        <v>#REF!</v>
      </c>
    </row>
    <row r="603" spans="1:20" x14ac:dyDescent="0.4">
      <c r="A603" s="129" t="s">
        <v>570</v>
      </c>
      <c r="B603" s="129" t="s">
        <v>2446</v>
      </c>
      <c r="C603" s="129"/>
      <c r="D603" s="129" t="s">
        <v>767</v>
      </c>
      <c r="E603" s="130"/>
      <c r="F603" s="129" t="s">
        <v>567</v>
      </c>
      <c r="G603" s="130" t="s">
        <v>1182</v>
      </c>
      <c r="H603" s="130">
        <v>42436</v>
      </c>
      <c r="I603" s="129" t="s">
        <v>1928</v>
      </c>
      <c r="J603" s="129">
        <v>63546</v>
      </c>
      <c r="K603" s="130" t="s">
        <v>1930</v>
      </c>
      <c r="L603" s="129" t="s">
        <v>570</v>
      </c>
      <c r="M603" s="129" t="s">
        <v>570</v>
      </c>
      <c r="N603" s="129" t="s">
        <v>570</v>
      </c>
      <c r="O603" s="129" t="s">
        <v>570</v>
      </c>
      <c r="P603" s="409" t="s">
        <v>570</v>
      </c>
      <c r="Q603" s="179"/>
      <c r="R603" s="179"/>
      <c r="S603" s="179"/>
      <c r="T603" s="500" t="e">
        <f>_xlfn.XLOOKUP(H603,#REF!,#REF!,0,0)</f>
        <v>#REF!</v>
      </c>
    </row>
    <row r="604" spans="1:20" x14ac:dyDescent="0.4">
      <c r="A604" s="129" t="s">
        <v>570</v>
      </c>
      <c r="B604" s="129" t="s">
        <v>2447</v>
      </c>
      <c r="C604" s="129"/>
      <c r="D604" s="129" t="s">
        <v>767</v>
      </c>
      <c r="E604" s="130"/>
      <c r="F604" s="129" t="s">
        <v>567</v>
      </c>
      <c r="G604" s="130" t="s">
        <v>1182</v>
      </c>
      <c r="H604" s="130">
        <v>42935</v>
      </c>
      <c r="I604" s="129" t="s">
        <v>2448</v>
      </c>
      <c r="J604" s="129">
        <v>65011</v>
      </c>
      <c r="K604" s="130" t="s">
        <v>2449</v>
      </c>
      <c r="L604" s="129" t="s">
        <v>570</v>
      </c>
      <c r="M604" s="129" t="s">
        <v>570</v>
      </c>
      <c r="N604" s="129" t="s">
        <v>570</v>
      </c>
      <c r="O604" s="129" t="s">
        <v>570</v>
      </c>
      <c r="P604" s="409" t="s">
        <v>570</v>
      </c>
      <c r="Q604" s="179"/>
      <c r="R604" s="179"/>
      <c r="S604" s="179"/>
      <c r="T604" s="500" t="e">
        <f>_xlfn.XLOOKUP(H604,#REF!,#REF!,0,0)</f>
        <v>#REF!</v>
      </c>
    </row>
    <row r="605" spans="1:20" x14ac:dyDescent="0.4">
      <c r="A605" s="129" t="s">
        <v>570</v>
      </c>
      <c r="B605" s="129" t="s">
        <v>2450</v>
      </c>
      <c r="C605" s="129"/>
      <c r="D605" s="129" t="s">
        <v>767</v>
      </c>
      <c r="E605" s="130"/>
      <c r="F605" s="129" t="s">
        <v>567</v>
      </c>
      <c r="G605" s="130" t="s">
        <v>1182</v>
      </c>
      <c r="H605" s="130">
        <v>42935</v>
      </c>
      <c r="I605" s="129" t="s">
        <v>66</v>
      </c>
      <c r="J605" s="129">
        <v>65019</v>
      </c>
      <c r="K605" s="130" t="s">
        <v>2451</v>
      </c>
      <c r="L605" s="129" t="s">
        <v>570</v>
      </c>
      <c r="M605" s="129" t="s">
        <v>570</v>
      </c>
      <c r="N605" s="129" t="s">
        <v>570</v>
      </c>
      <c r="O605" s="129" t="s">
        <v>570</v>
      </c>
      <c r="P605" s="409" t="s">
        <v>570</v>
      </c>
      <c r="Q605" s="179"/>
      <c r="R605" s="179"/>
      <c r="S605" s="179"/>
      <c r="T605" s="500" t="e">
        <f>_xlfn.XLOOKUP(H605,#REF!,#REF!,0,0)</f>
        <v>#REF!</v>
      </c>
    </row>
    <row r="606" spans="1:20" x14ac:dyDescent="0.4">
      <c r="A606" s="129" t="s">
        <v>570</v>
      </c>
      <c r="B606" s="129" t="s">
        <v>2452</v>
      </c>
      <c r="C606" s="129"/>
      <c r="D606" s="129" t="s">
        <v>767</v>
      </c>
      <c r="E606" s="130"/>
      <c r="F606" s="129" t="s">
        <v>567</v>
      </c>
      <c r="G606" s="130" t="s">
        <v>1182</v>
      </c>
      <c r="H606" s="130">
        <v>42935</v>
      </c>
      <c r="I606" s="129" t="s">
        <v>2453</v>
      </c>
      <c r="J606" s="129">
        <v>65018</v>
      </c>
      <c r="K606" s="130" t="s">
        <v>2454</v>
      </c>
      <c r="L606" s="129" t="s">
        <v>570</v>
      </c>
      <c r="M606" s="129" t="s">
        <v>570</v>
      </c>
      <c r="N606" s="129" t="s">
        <v>570</v>
      </c>
      <c r="O606" s="129" t="s">
        <v>570</v>
      </c>
      <c r="P606" s="409" t="s">
        <v>570</v>
      </c>
      <c r="Q606" s="179"/>
      <c r="R606" s="179"/>
      <c r="S606" s="179"/>
      <c r="T606" s="500" t="e">
        <f>_xlfn.XLOOKUP(H606,#REF!,#REF!,0,0)</f>
        <v>#REF!</v>
      </c>
    </row>
    <row r="607" spans="1:20" x14ac:dyDescent="0.4">
      <c r="A607" s="129" t="s">
        <v>570</v>
      </c>
      <c r="B607" s="129" t="s">
        <v>2455</v>
      </c>
      <c r="C607" s="129"/>
      <c r="D607" s="129" t="s">
        <v>767</v>
      </c>
      <c r="E607" s="130"/>
      <c r="F607" s="129" t="s">
        <v>567</v>
      </c>
      <c r="G607" s="130" t="s">
        <v>1182</v>
      </c>
      <c r="H607" s="130">
        <v>42935</v>
      </c>
      <c r="I607" s="129" t="s">
        <v>65</v>
      </c>
      <c r="J607" s="129">
        <v>65016</v>
      </c>
      <c r="K607" s="130" t="s">
        <v>2456</v>
      </c>
      <c r="L607" s="129" t="s">
        <v>570</v>
      </c>
      <c r="M607" s="129" t="s">
        <v>570</v>
      </c>
      <c r="N607" s="129" t="s">
        <v>570</v>
      </c>
      <c r="O607" s="129" t="s">
        <v>570</v>
      </c>
      <c r="P607" s="409" t="s">
        <v>570</v>
      </c>
      <c r="Q607" s="179"/>
      <c r="R607" s="179"/>
      <c r="S607" s="179"/>
      <c r="T607" s="500" t="e">
        <f>_xlfn.XLOOKUP(H607,#REF!,#REF!,0,0)</f>
        <v>#REF!</v>
      </c>
    </row>
    <row r="608" spans="1:20" x14ac:dyDescent="0.4">
      <c r="A608" s="129" t="s">
        <v>570</v>
      </c>
      <c r="B608" s="129" t="s">
        <v>2457</v>
      </c>
      <c r="C608" s="129"/>
      <c r="D608" s="129" t="s">
        <v>767</v>
      </c>
      <c r="E608" s="130"/>
      <c r="F608" s="129" t="s">
        <v>567</v>
      </c>
      <c r="G608" s="130" t="s">
        <v>1182</v>
      </c>
      <c r="H608" s="130">
        <v>42935</v>
      </c>
      <c r="I608" s="129" t="s">
        <v>2458</v>
      </c>
      <c r="J608" s="129">
        <v>65017</v>
      </c>
      <c r="K608" s="130" t="s">
        <v>2459</v>
      </c>
      <c r="L608" s="129" t="s">
        <v>570</v>
      </c>
      <c r="M608" s="129" t="s">
        <v>570</v>
      </c>
      <c r="N608" s="129" t="s">
        <v>570</v>
      </c>
      <c r="O608" s="129" t="s">
        <v>570</v>
      </c>
      <c r="P608" s="409" t="s">
        <v>570</v>
      </c>
      <c r="Q608" s="179"/>
      <c r="R608" s="179"/>
      <c r="S608" s="179"/>
      <c r="T608" s="500" t="e">
        <f>_xlfn.XLOOKUP(H608,#REF!,#REF!,0,0)</f>
        <v>#REF!</v>
      </c>
    </row>
    <row r="609" spans="1:20" x14ac:dyDescent="0.4">
      <c r="A609" s="129" t="s">
        <v>570</v>
      </c>
      <c r="B609" s="129" t="s">
        <v>2460</v>
      </c>
      <c r="C609" s="129"/>
      <c r="D609" s="129" t="s">
        <v>767</v>
      </c>
      <c r="E609" s="130"/>
      <c r="F609" s="129" t="s">
        <v>567</v>
      </c>
      <c r="G609" s="130" t="s">
        <v>1182</v>
      </c>
      <c r="H609" s="130">
        <v>42935</v>
      </c>
      <c r="I609" s="129" t="s">
        <v>2461</v>
      </c>
      <c r="J609" s="129">
        <v>65006</v>
      </c>
      <c r="K609" s="130" t="s">
        <v>2462</v>
      </c>
      <c r="L609" s="129" t="s">
        <v>570</v>
      </c>
      <c r="M609" s="129" t="s">
        <v>570</v>
      </c>
      <c r="N609" s="129" t="s">
        <v>570</v>
      </c>
      <c r="O609" s="129" t="s">
        <v>570</v>
      </c>
      <c r="P609" s="409" t="s">
        <v>570</v>
      </c>
      <c r="Q609" s="179"/>
      <c r="R609" s="179"/>
      <c r="S609" s="179"/>
      <c r="T609" s="500" t="e">
        <f>_xlfn.XLOOKUP(H609,#REF!,#REF!,0,0)</f>
        <v>#REF!</v>
      </c>
    </row>
    <row r="610" spans="1:20" x14ac:dyDescent="0.4">
      <c r="A610" s="129" t="s">
        <v>570</v>
      </c>
      <c r="B610" s="129" t="s">
        <v>2463</v>
      </c>
      <c r="C610" s="129"/>
      <c r="D610" s="129" t="s">
        <v>767</v>
      </c>
      <c r="E610" s="130"/>
      <c r="F610" s="129" t="s">
        <v>567</v>
      </c>
      <c r="G610" s="130" t="s">
        <v>1182</v>
      </c>
      <c r="H610" s="130">
        <v>42935</v>
      </c>
      <c r="I610" s="129" t="s">
        <v>2464</v>
      </c>
      <c r="J610" s="129">
        <v>65007</v>
      </c>
      <c r="K610" s="130" t="s">
        <v>2465</v>
      </c>
      <c r="L610" s="129" t="s">
        <v>570</v>
      </c>
      <c r="M610" s="129" t="s">
        <v>570</v>
      </c>
      <c r="N610" s="129" t="s">
        <v>570</v>
      </c>
      <c r="O610" s="129" t="s">
        <v>570</v>
      </c>
      <c r="P610" s="409" t="s">
        <v>570</v>
      </c>
      <c r="Q610" s="179"/>
      <c r="R610" s="179"/>
      <c r="S610" s="179"/>
      <c r="T610" s="500" t="e">
        <f>_xlfn.XLOOKUP(H610,#REF!,#REF!,0,0)</f>
        <v>#REF!</v>
      </c>
    </row>
    <row r="611" spans="1:20" x14ac:dyDescent="0.4">
      <c r="A611" s="129" t="s">
        <v>570</v>
      </c>
      <c r="B611" s="129" t="s">
        <v>2466</v>
      </c>
      <c r="C611" s="129"/>
      <c r="D611" s="129" t="s">
        <v>767</v>
      </c>
      <c r="E611" s="130"/>
      <c r="F611" s="129" t="s">
        <v>567</v>
      </c>
      <c r="G611" s="130" t="s">
        <v>1182</v>
      </c>
      <c r="H611" s="130">
        <v>42935</v>
      </c>
      <c r="I611" s="129" t="s">
        <v>2467</v>
      </c>
      <c r="J611" s="129">
        <v>65014</v>
      </c>
      <c r="K611" s="130" t="s">
        <v>2468</v>
      </c>
      <c r="L611" s="129" t="s">
        <v>570</v>
      </c>
      <c r="M611" s="129" t="s">
        <v>570</v>
      </c>
      <c r="N611" s="129" t="s">
        <v>570</v>
      </c>
      <c r="O611" s="129" t="s">
        <v>570</v>
      </c>
      <c r="P611" s="409" t="s">
        <v>570</v>
      </c>
      <c r="Q611" s="179"/>
      <c r="R611" s="179"/>
      <c r="S611" s="179"/>
      <c r="T611" s="500" t="e">
        <f>_xlfn.XLOOKUP(H611,#REF!,#REF!,0,0)</f>
        <v>#REF!</v>
      </c>
    </row>
    <row r="612" spans="1:20" x14ac:dyDescent="0.4">
      <c r="A612" s="129" t="s">
        <v>570</v>
      </c>
      <c r="B612" s="129" t="s">
        <v>2469</v>
      </c>
      <c r="C612" s="129"/>
      <c r="D612" s="129" t="s">
        <v>767</v>
      </c>
      <c r="E612" s="130"/>
      <c r="F612" s="129" t="s">
        <v>567</v>
      </c>
      <c r="G612" s="130" t="s">
        <v>1182</v>
      </c>
      <c r="H612" s="130">
        <v>42950</v>
      </c>
      <c r="I612" s="129" t="s">
        <v>2470</v>
      </c>
      <c r="J612" s="129">
        <v>65145</v>
      </c>
      <c r="K612" s="130" t="s">
        <v>2471</v>
      </c>
      <c r="L612" s="129" t="s">
        <v>570</v>
      </c>
      <c r="M612" s="129" t="s">
        <v>2472</v>
      </c>
      <c r="N612" s="129" t="s">
        <v>570</v>
      </c>
      <c r="O612" s="129" t="s">
        <v>570</v>
      </c>
      <c r="P612" s="409" t="s">
        <v>570</v>
      </c>
      <c r="Q612" s="179"/>
      <c r="R612" s="179"/>
      <c r="S612" s="179"/>
      <c r="T612" s="500" t="e">
        <f>_xlfn.XLOOKUP(H612,#REF!,#REF!,0,0)</f>
        <v>#REF!</v>
      </c>
    </row>
    <row r="613" spans="1:20" x14ac:dyDescent="0.4">
      <c r="A613" s="129" t="s">
        <v>570</v>
      </c>
      <c r="B613" s="129" t="s">
        <v>2473</v>
      </c>
      <c r="C613" s="129"/>
      <c r="D613" s="129" t="s">
        <v>767</v>
      </c>
      <c r="E613" s="130"/>
      <c r="F613" s="129" t="s">
        <v>567</v>
      </c>
      <c r="G613" s="130" t="s">
        <v>1182</v>
      </c>
      <c r="H613" s="130">
        <v>42950</v>
      </c>
      <c r="I613" s="129" t="s">
        <v>69</v>
      </c>
      <c r="J613" s="129">
        <v>65136</v>
      </c>
      <c r="K613" s="130" t="s">
        <v>2474</v>
      </c>
      <c r="L613" s="129" t="s">
        <v>570</v>
      </c>
      <c r="M613" s="129" t="s">
        <v>570</v>
      </c>
      <c r="N613" s="129" t="s">
        <v>570</v>
      </c>
      <c r="O613" s="129" t="s">
        <v>570</v>
      </c>
      <c r="P613" s="409" t="s">
        <v>570</v>
      </c>
      <c r="Q613" s="179"/>
      <c r="R613" s="179"/>
      <c r="S613" s="179"/>
      <c r="T613" s="500" t="e">
        <f>_xlfn.XLOOKUP(H613,#REF!,#REF!,0,0)</f>
        <v>#REF!</v>
      </c>
    </row>
    <row r="614" spans="1:20" x14ac:dyDescent="0.4">
      <c r="A614" s="129" t="s">
        <v>570</v>
      </c>
      <c r="B614" s="129" t="s">
        <v>2475</v>
      </c>
      <c r="C614" s="129"/>
      <c r="D614" s="129" t="s">
        <v>767</v>
      </c>
      <c r="E614" s="130"/>
      <c r="F614" s="129" t="s">
        <v>567</v>
      </c>
      <c r="G614" s="130" t="s">
        <v>1182</v>
      </c>
      <c r="H614" s="130">
        <v>42935</v>
      </c>
      <c r="I614" s="129" t="s">
        <v>2476</v>
      </c>
      <c r="J614" s="129">
        <v>65015</v>
      </c>
      <c r="K614" s="130" t="s">
        <v>2477</v>
      </c>
      <c r="L614" s="129" t="s">
        <v>570</v>
      </c>
      <c r="M614" s="129" t="s">
        <v>570</v>
      </c>
      <c r="N614" s="129" t="s">
        <v>570</v>
      </c>
      <c r="O614" s="129" t="s">
        <v>570</v>
      </c>
      <c r="P614" s="409" t="s">
        <v>570</v>
      </c>
      <c r="Q614" s="179"/>
      <c r="R614" s="179"/>
      <c r="S614" s="179"/>
      <c r="T614" s="500" t="e">
        <f>_xlfn.XLOOKUP(H614,#REF!,#REF!,0,0)</f>
        <v>#REF!</v>
      </c>
    </row>
    <row r="615" spans="1:20" x14ac:dyDescent="0.4">
      <c r="A615" s="129" t="s">
        <v>570</v>
      </c>
      <c r="B615" s="129" t="s">
        <v>2478</v>
      </c>
      <c r="C615" s="129"/>
      <c r="D615" s="129" t="s">
        <v>767</v>
      </c>
      <c r="E615" s="130"/>
      <c r="F615" s="129" t="s">
        <v>567</v>
      </c>
      <c r="G615" s="130" t="s">
        <v>1182</v>
      </c>
      <c r="H615" s="130">
        <v>42950</v>
      </c>
      <c r="I615" s="129" t="s">
        <v>2479</v>
      </c>
      <c r="J615" s="129">
        <v>65141</v>
      </c>
      <c r="K615" s="130" t="s">
        <v>2480</v>
      </c>
      <c r="L615" s="129" t="s">
        <v>570</v>
      </c>
      <c r="M615" s="129" t="s">
        <v>570</v>
      </c>
      <c r="N615" s="129" t="s">
        <v>570</v>
      </c>
      <c r="O615" s="129" t="s">
        <v>570</v>
      </c>
      <c r="P615" s="409" t="s">
        <v>570</v>
      </c>
      <c r="Q615" s="179"/>
      <c r="R615" s="179"/>
      <c r="S615" s="179"/>
      <c r="T615" s="500" t="e">
        <f>_xlfn.XLOOKUP(H615,#REF!,#REF!,0,0)</f>
        <v>#REF!</v>
      </c>
    </row>
    <row r="616" spans="1:20" x14ac:dyDescent="0.4">
      <c r="A616" s="129" t="s">
        <v>570</v>
      </c>
      <c r="B616" s="129" t="s">
        <v>2481</v>
      </c>
      <c r="C616" s="129"/>
      <c r="D616" s="129" t="s">
        <v>767</v>
      </c>
      <c r="E616" s="130"/>
      <c r="F616" s="129" t="s">
        <v>567</v>
      </c>
      <c r="G616" s="130" t="s">
        <v>1182</v>
      </c>
      <c r="H616" s="130">
        <v>42950</v>
      </c>
      <c r="I616" s="129" t="s">
        <v>2482</v>
      </c>
      <c r="J616" s="129">
        <v>65140</v>
      </c>
      <c r="K616" s="130" t="s">
        <v>2483</v>
      </c>
      <c r="L616" s="129" t="s">
        <v>570</v>
      </c>
      <c r="M616" s="129" t="s">
        <v>570</v>
      </c>
      <c r="N616" s="129" t="s">
        <v>570</v>
      </c>
      <c r="O616" s="129" t="s">
        <v>570</v>
      </c>
      <c r="P616" s="409" t="s">
        <v>570</v>
      </c>
      <c r="Q616" s="179"/>
      <c r="R616" s="179"/>
      <c r="S616" s="179"/>
      <c r="T616" s="500" t="e">
        <f>_xlfn.XLOOKUP(H616,#REF!,#REF!,0,0)</f>
        <v>#REF!</v>
      </c>
    </row>
    <row r="617" spans="1:20" x14ac:dyDescent="0.4">
      <c r="A617" s="129" t="s">
        <v>570</v>
      </c>
      <c r="B617" s="129" t="s">
        <v>2484</v>
      </c>
      <c r="C617" s="129"/>
      <c r="D617" s="129" t="s">
        <v>767</v>
      </c>
      <c r="E617" s="130"/>
      <c r="F617" s="129" t="s">
        <v>567</v>
      </c>
      <c r="G617" s="130" t="s">
        <v>1182</v>
      </c>
      <c r="H617" s="130">
        <v>42950</v>
      </c>
      <c r="I617" s="129" t="s">
        <v>2485</v>
      </c>
      <c r="J617" s="129">
        <v>65139</v>
      </c>
      <c r="K617" s="130" t="s">
        <v>2486</v>
      </c>
      <c r="L617" s="129" t="s">
        <v>570</v>
      </c>
      <c r="M617" s="129" t="s">
        <v>570</v>
      </c>
      <c r="N617" s="129" t="s">
        <v>570</v>
      </c>
      <c r="O617" s="129" t="s">
        <v>570</v>
      </c>
      <c r="P617" s="409" t="s">
        <v>570</v>
      </c>
      <c r="Q617" s="179"/>
      <c r="R617" s="179"/>
      <c r="S617" s="179"/>
      <c r="T617" s="500" t="e">
        <f>_xlfn.XLOOKUP(H617,#REF!,#REF!,0,0)</f>
        <v>#REF!</v>
      </c>
    </row>
    <row r="618" spans="1:20" x14ac:dyDescent="0.4">
      <c r="A618" s="129" t="s">
        <v>570</v>
      </c>
      <c r="B618" s="129" t="s">
        <v>2487</v>
      </c>
      <c r="C618" s="129"/>
      <c r="D618" s="129" t="s">
        <v>767</v>
      </c>
      <c r="E618" s="130"/>
      <c r="F618" s="129" t="s">
        <v>567</v>
      </c>
      <c r="G618" s="130" t="s">
        <v>1182</v>
      </c>
      <c r="H618" s="130">
        <v>42950</v>
      </c>
      <c r="I618" s="129" t="s">
        <v>2488</v>
      </c>
      <c r="J618" s="129">
        <v>65138</v>
      </c>
      <c r="K618" s="130" t="s">
        <v>2489</v>
      </c>
      <c r="L618" s="129" t="s">
        <v>570</v>
      </c>
      <c r="M618" s="129" t="s">
        <v>570</v>
      </c>
      <c r="N618" s="129" t="s">
        <v>570</v>
      </c>
      <c r="O618" s="129" t="s">
        <v>570</v>
      </c>
      <c r="P618" s="409" t="s">
        <v>570</v>
      </c>
      <c r="Q618" s="179"/>
      <c r="R618" s="179"/>
      <c r="S618" s="179"/>
      <c r="T618" s="500" t="e">
        <f>_xlfn.XLOOKUP(H618,#REF!,#REF!,0,0)</f>
        <v>#REF!</v>
      </c>
    </row>
    <row r="619" spans="1:20" x14ac:dyDescent="0.4">
      <c r="A619" s="129" t="s">
        <v>570</v>
      </c>
      <c r="B619" s="129" t="s">
        <v>2490</v>
      </c>
      <c r="C619" s="129"/>
      <c r="D619" s="129" t="s">
        <v>767</v>
      </c>
      <c r="E619" s="130"/>
      <c r="F619" s="129" t="s">
        <v>567</v>
      </c>
      <c r="G619" s="130" t="s">
        <v>1182</v>
      </c>
      <c r="H619" s="130">
        <v>42342</v>
      </c>
      <c r="I619" s="129" t="s">
        <v>1810</v>
      </c>
      <c r="J619" s="129">
        <v>60610</v>
      </c>
      <c r="K619" s="130" t="s">
        <v>1812</v>
      </c>
      <c r="L619" s="129" t="s">
        <v>570</v>
      </c>
      <c r="M619" s="129" t="s">
        <v>570</v>
      </c>
      <c r="N619" s="129" t="s">
        <v>570</v>
      </c>
      <c r="O619" s="129" t="s">
        <v>570</v>
      </c>
      <c r="P619" s="409" t="s">
        <v>570</v>
      </c>
      <c r="Q619" s="179"/>
      <c r="R619" s="179"/>
      <c r="S619" s="179"/>
      <c r="T619" s="500" t="e">
        <f>_xlfn.XLOOKUP(H619,#REF!,#REF!,0,0)</f>
        <v>#REF!</v>
      </c>
    </row>
    <row r="620" spans="1:20" x14ac:dyDescent="0.4">
      <c r="A620" s="129" t="s">
        <v>570</v>
      </c>
      <c r="B620" s="129" t="s">
        <v>2491</v>
      </c>
      <c r="C620" s="129"/>
      <c r="D620" s="129" t="s">
        <v>767</v>
      </c>
      <c r="E620" s="130"/>
      <c r="F620" s="129" t="s">
        <v>567</v>
      </c>
      <c r="G620" s="130" t="s">
        <v>1182</v>
      </c>
      <c r="H620" s="130">
        <v>43045</v>
      </c>
      <c r="I620" s="129" t="s">
        <v>72</v>
      </c>
      <c r="J620" s="129">
        <v>65508</v>
      </c>
      <c r="K620" s="130" t="s">
        <v>2492</v>
      </c>
      <c r="L620" s="129" t="s">
        <v>570</v>
      </c>
      <c r="M620" s="129" t="s">
        <v>570</v>
      </c>
      <c r="N620" s="129" t="s">
        <v>570</v>
      </c>
      <c r="O620" s="129" t="s">
        <v>570</v>
      </c>
      <c r="P620" s="409" t="s">
        <v>570</v>
      </c>
      <c r="Q620" s="179"/>
      <c r="R620" s="179"/>
      <c r="S620" s="179"/>
      <c r="T620" s="500" t="e">
        <f>_xlfn.XLOOKUP(H620,#REF!,#REF!,0,0)</f>
        <v>#REF!</v>
      </c>
    </row>
    <row r="621" spans="1:20" x14ac:dyDescent="0.4">
      <c r="A621" s="129" t="s">
        <v>570</v>
      </c>
      <c r="B621" s="129" t="s">
        <v>2493</v>
      </c>
      <c r="C621" s="129"/>
      <c r="D621" s="129" t="s">
        <v>767</v>
      </c>
      <c r="E621" s="130"/>
      <c r="F621" s="129" t="s">
        <v>567</v>
      </c>
      <c r="G621" s="130" t="s">
        <v>1182</v>
      </c>
      <c r="H621" s="130">
        <v>42950</v>
      </c>
      <c r="I621" s="129" t="s">
        <v>2494</v>
      </c>
      <c r="J621" s="129">
        <v>65142</v>
      </c>
      <c r="K621" s="130" t="s">
        <v>2495</v>
      </c>
      <c r="L621" s="129" t="s">
        <v>570</v>
      </c>
      <c r="M621" s="129" t="s">
        <v>570</v>
      </c>
      <c r="N621" s="129" t="s">
        <v>570</v>
      </c>
      <c r="O621" s="129" t="s">
        <v>570</v>
      </c>
      <c r="P621" s="409" t="s">
        <v>570</v>
      </c>
      <c r="Q621" s="179"/>
      <c r="R621" s="179"/>
      <c r="S621" s="179"/>
      <c r="T621" s="500" t="e">
        <f>_xlfn.XLOOKUP(H621,#REF!,#REF!,0,0)</f>
        <v>#REF!</v>
      </c>
    </row>
    <row r="622" spans="1:20" x14ac:dyDescent="0.4">
      <c r="A622" s="129" t="s">
        <v>570</v>
      </c>
      <c r="B622" s="129" t="s">
        <v>2496</v>
      </c>
      <c r="C622" s="129"/>
      <c r="D622" s="129" t="s">
        <v>767</v>
      </c>
      <c r="E622" s="130"/>
      <c r="F622" s="129" t="s">
        <v>567</v>
      </c>
      <c r="G622" s="130" t="s">
        <v>1182</v>
      </c>
      <c r="H622" s="130">
        <v>43045</v>
      </c>
      <c r="I622" s="129" t="s">
        <v>2497</v>
      </c>
      <c r="J622" s="129">
        <v>65511</v>
      </c>
      <c r="K622" s="130" t="s">
        <v>2498</v>
      </c>
      <c r="L622" s="129" t="s">
        <v>570</v>
      </c>
      <c r="M622" s="129" t="s">
        <v>570</v>
      </c>
      <c r="N622" s="129" t="s">
        <v>570</v>
      </c>
      <c r="O622" s="129" t="s">
        <v>570</v>
      </c>
      <c r="P622" s="409" t="s">
        <v>570</v>
      </c>
      <c r="Q622" s="179"/>
      <c r="R622" s="179"/>
      <c r="S622" s="179"/>
      <c r="T622" s="500" t="e">
        <f>_xlfn.XLOOKUP(H622,#REF!,#REF!,0,0)</f>
        <v>#REF!</v>
      </c>
    </row>
    <row r="623" spans="1:20" x14ac:dyDescent="0.4">
      <c r="A623" s="129" t="s">
        <v>570</v>
      </c>
      <c r="B623" s="129" t="s">
        <v>2499</v>
      </c>
      <c r="C623" s="129"/>
      <c r="D623" s="129" t="s">
        <v>767</v>
      </c>
      <c r="E623" s="130"/>
      <c r="F623" s="129" t="s">
        <v>567</v>
      </c>
      <c r="G623" s="130" t="s">
        <v>1182</v>
      </c>
      <c r="H623" s="130">
        <v>43045</v>
      </c>
      <c r="I623" s="129" t="s">
        <v>2500</v>
      </c>
      <c r="J623" s="129">
        <v>65510</v>
      </c>
      <c r="K623" s="130" t="s">
        <v>2501</v>
      </c>
      <c r="L623" s="129" t="s">
        <v>570</v>
      </c>
      <c r="M623" s="129" t="s">
        <v>570</v>
      </c>
      <c r="N623" s="129" t="s">
        <v>570</v>
      </c>
      <c r="O623" s="129" t="s">
        <v>570</v>
      </c>
      <c r="P623" s="409" t="s">
        <v>570</v>
      </c>
      <c r="Q623" s="179"/>
      <c r="R623" s="179"/>
      <c r="S623" s="179"/>
      <c r="T623" s="500" t="e">
        <f>_xlfn.XLOOKUP(H623,#REF!,#REF!,0,0)</f>
        <v>#REF!</v>
      </c>
    </row>
    <row r="624" spans="1:20" x14ac:dyDescent="0.4">
      <c r="A624" s="129" t="s">
        <v>570</v>
      </c>
      <c r="B624" s="129" t="s">
        <v>2502</v>
      </c>
      <c r="C624" s="129"/>
      <c r="D624" s="129" t="s">
        <v>767</v>
      </c>
      <c r="E624" s="130"/>
      <c r="F624" s="129" t="s">
        <v>567</v>
      </c>
      <c r="G624" s="130" t="s">
        <v>2503</v>
      </c>
      <c r="H624" s="130">
        <v>42343</v>
      </c>
      <c r="I624" s="129" t="s">
        <v>1813</v>
      </c>
      <c r="J624" s="129">
        <v>60611</v>
      </c>
      <c r="K624" s="130" t="s">
        <v>1815</v>
      </c>
      <c r="L624" s="129" t="s">
        <v>570</v>
      </c>
      <c r="M624" s="129" t="s">
        <v>570</v>
      </c>
      <c r="N624" s="129" t="s">
        <v>570</v>
      </c>
      <c r="O624" s="129" t="s">
        <v>570</v>
      </c>
      <c r="P624" s="409" t="s">
        <v>570</v>
      </c>
      <c r="Q624" s="179"/>
      <c r="R624" s="179"/>
      <c r="S624" s="179"/>
      <c r="T624" s="500" t="e">
        <f>_xlfn.XLOOKUP(H624,#REF!,#REF!,0,0)</f>
        <v>#REF!</v>
      </c>
    </row>
    <row r="625" spans="1:20" x14ac:dyDescent="0.4">
      <c r="A625" s="129" t="s">
        <v>570</v>
      </c>
      <c r="B625" s="129" t="s">
        <v>2504</v>
      </c>
      <c r="C625" s="129"/>
      <c r="D625" s="129" t="s">
        <v>767</v>
      </c>
      <c r="E625" s="130"/>
      <c r="F625" s="129" t="s">
        <v>567</v>
      </c>
      <c r="G625" s="130" t="s">
        <v>2505</v>
      </c>
      <c r="H625" s="130">
        <v>43045</v>
      </c>
      <c r="I625" s="129" t="s">
        <v>2506</v>
      </c>
      <c r="J625" s="129">
        <v>65509</v>
      </c>
      <c r="K625" s="130" t="s">
        <v>2507</v>
      </c>
      <c r="L625" s="129" t="s">
        <v>570</v>
      </c>
      <c r="M625" s="129" t="s">
        <v>570</v>
      </c>
      <c r="N625" s="129" t="s">
        <v>570</v>
      </c>
      <c r="O625" s="129" t="s">
        <v>570</v>
      </c>
      <c r="P625" s="409" t="s">
        <v>570</v>
      </c>
      <c r="Q625" s="179"/>
      <c r="R625" s="179"/>
      <c r="S625" s="179"/>
      <c r="T625" s="500" t="e">
        <f>_xlfn.XLOOKUP(H625,#REF!,#REF!,0,0)</f>
        <v>#REF!</v>
      </c>
    </row>
    <row r="626" spans="1:20" x14ac:dyDescent="0.4">
      <c r="A626" s="129" t="s">
        <v>570</v>
      </c>
      <c r="B626" s="129" t="s">
        <v>2508</v>
      </c>
      <c r="C626" s="129"/>
      <c r="D626" s="129" t="s">
        <v>767</v>
      </c>
      <c r="E626" s="130"/>
      <c r="F626" s="129" t="s">
        <v>567</v>
      </c>
      <c r="G626" s="130" t="s">
        <v>2505</v>
      </c>
      <c r="H626" s="130">
        <v>42950</v>
      </c>
      <c r="I626" s="129" t="s">
        <v>2509</v>
      </c>
      <c r="J626" s="129">
        <v>65137</v>
      </c>
      <c r="K626" s="130" t="s">
        <v>2510</v>
      </c>
      <c r="L626" s="129" t="s">
        <v>570</v>
      </c>
      <c r="M626" s="129" t="s">
        <v>570</v>
      </c>
      <c r="N626" s="129" t="s">
        <v>570</v>
      </c>
      <c r="O626" s="129" t="s">
        <v>570</v>
      </c>
      <c r="P626" s="409" t="s">
        <v>570</v>
      </c>
      <c r="Q626" s="179"/>
      <c r="R626" s="179"/>
      <c r="S626" s="179"/>
      <c r="T626" s="500" t="e">
        <f>_xlfn.XLOOKUP(H626,#REF!,#REF!,0,0)</f>
        <v>#REF!</v>
      </c>
    </row>
    <row r="627" spans="1:20" x14ac:dyDescent="0.4">
      <c r="A627" s="129" t="s">
        <v>570</v>
      </c>
      <c r="B627" s="129" t="s">
        <v>2511</v>
      </c>
      <c r="C627" s="129"/>
      <c r="D627" s="129" t="s">
        <v>767</v>
      </c>
      <c r="E627" s="130"/>
      <c r="F627" s="129" t="s">
        <v>567</v>
      </c>
      <c r="G627" s="130" t="s">
        <v>2505</v>
      </c>
      <c r="H627" s="130">
        <v>42950</v>
      </c>
      <c r="I627" s="129" t="s">
        <v>70</v>
      </c>
      <c r="J627" s="129">
        <v>65144</v>
      </c>
      <c r="K627" s="130" t="s">
        <v>2512</v>
      </c>
      <c r="L627" s="129" t="s">
        <v>570</v>
      </c>
      <c r="M627" s="129" t="s">
        <v>570</v>
      </c>
      <c r="N627" s="129" t="s">
        <v>570</v>
      </c>
      <c r="O627" s="129" t="s">
        <v>570</v>
      </c>
      <c r="P627" s="409" t="s">
        <v>570</v>
      </c>
      <c r="Q627" s="179"/>
      <c r="R627" s="179"/>
      <c r="S627" s="179"/>
      <c r="T627" s="500" t="e">
        <f>_xlfn.XLOOKUP(H627,#REF!,#REF!,0,0)</f>
        <v>#REF!</v>
      </c>
    </row>
    <row r="628" spans="1:20" x14ac:dyDescent="0.4">
      <c r="A628" s="129" t="s">
        <v>570</v>
      </c>
      <c r="B628" s="129" t="s">
        <v>2513</v>
      </c>
      <c r="C628" s="129"/>
      <c r="D628" s="129" t="s">
        <v>767</v>
      </c>
      <c r="E628" s="130"/>
      <c r="F628" s="129" t="s">
        <v>567</v>
      </c>
      <c r="G628" s="130" t="s">
        <v>2514</v>
      </c>
      <c r="H628" s="130">
        <v>41932</v>
      </c>
      <c r="I628" s="129" t="s">
        <v>1352</v>
      </c>
      <c r="J628" s="129">
        <v>59390</v>
      </c>
      <c r="K628" s="130" t="s">
        <v>1354</v>
      </c>
      <c r="L628" s="129" t="s">
        <v>570</v>
      </c>
      <c r="M628" s="129" t="s">
        <v>570</v>
      </c>
      <c r="N628" s="129" t="s">
        <v>570</v>
      </c>
      <c r="O628" s="129" t="s">
        <v>570</v>
      </c>
      <c r="P628" s="409" t="s">
        <v>570</v>
      </c>
      <c r="Q628" s="179"/>
      <c r="R628" s="179"/>
      <c r="S628" s="179"/>
      <c r="T628" s="500" t="e">
        <f>_xlfn.XLOOKUP(H628,#REF!,#REF!,0,0)</f>
        <v>#REF!</v>
      </c>
    </row>
    <row r="629" spans="1:20" x14ac:dyDescent="0.4">
      <c r="A629" s="129" t="s">
        <v>570</v>
      </c>
      <c r="B629" s="129" t="s">
        <v>2515</v>
      </c>
      <c r="C629" s="129"/>
      <c r="D629" s="129" t="s">
        <v>767</v>
      </c>
      <c r="E629" s="130"/>
      <c r="F629" s="129" t="s">
        <v>567</v>
      </c>
      <c r="G629" s="130" t="s">
        <v>2516</v>
      </c>
      <c r="H629" s="130">
        <v>43081</v>
      </c>
      <c r="I629" s="129" t="s">
        <v>2517</v>
      </c>
      <c r="J629" s="129">
        <v>65613</v>
      </c>
      <c r="K629" s="130" t="s">
        <v>2518</v>
      </c>
      <c r="L629" s="129" t="s">
        <v>570</v>
      </c>
      <c r="M629" s="129" t="s">
        <v>570</v>
      </c>
      <c r="N629" s="129" t="s">
        <v>570</v>
      </c>
      <c r="O629" s="129" t="s">
        <v>333</v>
      </c>
      <c r="P629" s="409" t="s">
        <v>570</v>
      </c>
      <c r="Q629" s="179"/>
      <c r="R629" s="179"/>
      <c r="S629" s="179"/>
      <c r="T629" s="500" t="e">
        <f>_xlfn.XLOOKUP(H629,#REF!,#REF!,0,0)</f>
        <v>#REF!</v>
      </c>
    </row>
    <row r="630" spans="1:20" x14ac:dyDescent="0.4">
      <c r="A630" s="129" t="s">
        <v>570</v>
      </c>
      <c r="B630" s="129" t="s">
        <v>2515</v>
      </c>
      <c r="C630" s="129"/>
      <c r="D630" s="129" t="s">
        <v>767</v>
      </c>
      <c r="E630" s="130"/>
      <c r="F630" s="129" t="s">
        <v>567</v>
      </c>
      <c r="G630" s="130" t="s">
        <v>2516</v>
      </c>
      <c r="H630" s="130">
        <v>43081</v>
      </c>
      <c r="I630" s="129" t="s">
        <v>73</v>
      </c>
      <c r="J630" s="129">
        <v>65612</v>
      </c>
      <c r="K630" s="130" t="s">
        <v>2519</v>
      </c>
      <c r="L630" s="129" t="s">
        <v>570</v>
      </c>
      <c r="M630" s="129" t="s">
        <v>570</v>
      </c>
      <c r="N630" s="129" t="s">
        <v>570</v>
      </c>
      <c r="O630" s="129" t="s">
        <v>333</v>
      </c>
      <c r="P630" s="409" t="s">
        <v>570</v>
      </c>
      <c r="Q630" s="179"/>
      <c r="R630" s="179"/>
      <c r="S630" s="179"/>
      <c r="T630" s="500" t="e">
        <f>_xlfn.XLOOKUP(H630,#REF!,#REF!,0,0)</f>
        <v>#REF!</v>
      </c>
    </row>
    <row r="631" spans="1:20" x14ac:dyDescent="0.4">
      <c r="A631" s="129" t="s">
        <v>570</v>
      </c>
      <c r="B631" s="129" t="s">
        <v>2520</v>
      </c>
      <c r="C631" s="129"/>
      <c r="D631" s="129" t="s">
        <v>767</v>
      </c>
      <c r="E631" s="130"/>
      <c r="F631" s="129" t="s">
        <v>567</v>
      </c>
      <c r="G631" s="130" t="s">
        <v>2505</v>
      </c>
      <c r="H631" s="130">
        <v>42950</v>
      </c>
      <c r="I631" s="129" t="s">
        <v>2521</v>
      </c>
      <c r="J631" s="129">
        <v>65143</v>
      </c>
      <c r="K631" s="130" t="s">
        <v>2522</v>
      </c>
      <c r="L631" s="129" t="s">
        <v>570</v>
      </c>
      <c r="M631" s="129" t="s">
        <v>570</v>
      </c>
      <c r="N631" s="129" t="s">
        <v>570</v>
      </c>
      <c r="O631" s="129" t="s">
        <v>570</v>
      </c>
      <c r="P631" s="409" t="s">
        <v>570</v>
      </c>
      <c r="Q631" s="179"/>
      <c r="R631" s="179"/>
      <c r="S631" s="179"/>
      <c r="T631" s="500" t="e">
        <f>_xlfn.XLOOKUP(H631,#REF!,#REF!,0,0)</f>
        <v>#REF!</v>
      </c>
    </row>
    <row r="632" spans="1:20" x14ac:dyDescent="0.4">
      <c r="A632" s="129" t="s">
        <v>570</v>
      </c>
      <c r="B632" s="129" t="s">
        <v>2523</v>
      </c>
      <c r="C632" s="129"/>
      <c r="D632" s="129" t="s">
        <v>767</v>
      </c>
      <c r="E632" s="130">
        <v>43101</v>
      </c>
      <c r="F632" s="129" t="s">
        <v>567</v>
      </c>
      <c r="G632" s="130" t="s">
        <v>2505</v>
      </c>
      <c r="H632" s="130">
        <v>43045</v>
      </c>
      <c r="I632" s="129" t="s">
        <v>2524</v>
      </c>
      <c r="J632" s="129">
        <v>65507</v>
      </c>
      <c r="K632" s="130" t="s">
        <v>2525</v>
      </c>
      <c r="L632" s="129" t="s">
        <v>570</v>
      </c>
      <c r="M632" s="129" t="s">
        <v>570</v>
      </c>
      <c r="N632" s="129" t="s">
        <v>570</v>
      </c>
      <c r="O632" s="129" t="s">
        <v>570</v>
      </c>
      <c r="P632" s="409" t="s">
        <v>570</v>
      </c>
      <c r="Q632" s="179"/>
      <c r="R632" s="179"/>
      <c r="S632" s="179"/>
      <c r="T632" s="500" t="e">
        <f>_xlfn.XLOOKUP(H632,#REF!,#REF!,0,0)</f>
        <v>#REF!</v>
      </c>
    </row>
    <row r="633" spans="1:20" x14ac:dyDescent="0.4">
      <c r="A633" s="129" t="s">
        <v>570</v>
      </c>
      <c r="B633" s="129" t="s">
        <v>2526</v>
      </c>
      <c r="C633" s="129"/>
      <c r="D633" s="129" t="s">
        <v>767</v>
      </c>
      <c r="E633" s="130"/>
      <c r="F633" s="129" t="s">
        <v>567</v>
      </c>
      <c r="G633" s="130" t="s">
        <v>2503</v>
      </c>
      <c r="H633" s="130">
        <v>42265</v>
      </c>
      <c r="I633" s="129" t="s">
        <v>1745</v>
      </c>
      <c r="J633" s="129">
        <v>60446</v>
      </c>
      <c r="K633" s="130" t="s">
        <v>1747</v>
      </c>
      <c r="L633" s="129" t="s">
        <v>570</v>
      </c>
      <c r="M633" s="129" t="s">
        <v>570</v>
      </c>
      <c r="N633" s="129" t="s">
        <v>570</v>
      </c>
      <c r="O633" s="129" t="s">
        <v>570</v>
      </c>
      <c r="P633" s="409" t="s">
        <v>570</v>
      </c>
      <c r="Q633" s="179"/>
      <c r="R633" s="179"/>
      <c r="S633" s="179"/>
      <c r="T633" s="500" t="e">
        <f>_xlfn.XLOOKUP(H633,#REF!,#REF!,0,0)</f>
        <v>#REF!</v>
      </c>
    </row>
    <row r="634" spans="1:20" x14ac:dyDescent="0.4">
      <c r="A634" s="129" t="s">
        <v>570</v>
      </c>
      <c r="B634" s="129" t="s">
        <v>2527</v>
      </c>
      <c r="C634" s="129"/>
      <c r="D634" s="129" t="s">
        <v>767</v>
      </c>
      <c r="E634" s="130"/>
      <c r="F634" s="129" t="s">
        <v>567</v>
      </c>
      <c r="G634" s="130" t="s">
        <v>2505</v>
      </c>
      <c r="H634" s="130">
        <v>43045</v>
      </c>
      <c r="I634" s="129" t="s">
        <v>2528</v>
      </c>
      <c r="J634" s="129">
        <v>65512</v>
      </c>
      <c r="K634" s="130" t="s">
        <v>2529</v>
      </c>
      <c r="L634" s="129" t="s">
        <v>570</v>
      </c>
      <c r="M634" s="129" t="s">
        <v>570</v>
      </c>
      <c r="N634" s="129" t="s">
        <v>570</v>
      </c>
      <c r="O634" s="129" t="s">
        <v>570</v>
      </c>
      <c r="P634" s="409" t="s">
        <v>570</v>
      </c>
      <c r="Q634" s="179"/>
      <c r="R634" s="179"/>
      <c r="S634" s="179"/>
      <c r="T634" s="500" t="e">
        <f>_xlfn.XLOOKUP(H634,#REF!,#REF!,0,0)</f>
        <v>#REF!</v>
      </c>
    </row>
    <row r="635" spans="1:20" x14ac:dyDescent="0.4">
      <c r="A635" s="129" t="s">
        <v>570</v>
      </c>
      <c r="B635" s="129" t="s">
        <v>2530</v>
      </c>
      <c r="C635" s="129"/>
      <c r="D635" s="129" t="s">
        <v>767</v>
      </c>
      <c r="E635" s="130">
        <v>43132</v>
      </c>
      <c r="F635" s="129" t="s">
        <v>567</v>
      </c>
      <c r="G635" s="130" t="s">
        <v>2505</v>
      </c>
      <c r="H635" s="130">
        <v>43045</v>
      </c>
      <c r="I635" s="129" t="s">
        <v>2531</v>
      </c>
      <c r="J635" s="129">
        <v>65513</v>
      </c>
      <c r="K635" s="130" t="s">
        <v>2532</v>
      </c>
      <c r="L635" s="129" t="s">
        <v>570</v>
      </c>
      <c r="M635" s="129" t="s">
        <v>570</v>
      </c>
      <c r="N635" s="129" t="s">
        <v>570</v>
      </c>
      <c r="O635" s="129" t="s">
        <v>570</v>
      </c>
      <c r="P635" s="409" t="s">
        <v>570</v>
      </c>
      <c r="Q635" s="179"/>
      <c r="R635" s="179"/>
      <c r="S635" s="179"/>
      <c r="T635" s="500" t="e">
        <f>_xlfn.XLOOKUP(H635,#REF!,#REF!,0,0)</f>
        <v>#REF!</v>
      </c>
    </row>
    <row r="636" spans="1:20" x14ac:dyDescent="0.4">
      <c r="A636" s="129" t="s">
        <v>570</v>
      </c>
      <c r="B636" s="129" t="s">
        <v>2533</v>
      </c>
      <c r="C636" s="129"/>
      <c r="D636" s="129" t="s">
        <v>2270</v>
      </c>
      <c r="E636" s="130"/>
      <c r="F636" s="129" t="s">
        <v>567</v>
      </c>
      <c r="G636" s="130" t="s">
        <v>2516</v>
      </c>
      <c r="H636" s="130">
        <v>43136</v>
      </c>
      <c r="I636" s="129" t="s">
        <v>2534</v>
      </c>
      <c r="J636" s="129">
        <v>65728</v>
      </c>
      <c r="K636" s="130" t="s">
        <v>2535</v>
      </c>
      <c r="L636" s="129" t="s">
        <v>570</v>
      </c>
      <c r="M636" s="129" t="s">
        <v>570</v>
      </c>
      <c r="N636" s="129" t="s">
        <v>570</v>
      </c>
      <c r="O636" s="129" t="s">
        <v>2536</v>
      </c>
      <c r="P636" s="409" t="s">
        <v>570</v>
      </c>
      <c r="Q636" s="179"/>
      <c r="R636" s="179"/>
      <c r="S636" s="179"/>
      <c r="T636" s="500" t="e">
        <f>_xlfn.XLOOKUP(H636,#REF!,#REF!,0,0)</f>
        <v>#REF!</v>
      </c>
    </row>
    <row r="637" spans="1:20" x14ac:dyDescent="0.4">
      <c r="A637" s="129" t="s">
        <v>570</v>
      </c>
      <c r="B637" s="129" t="s">
        <v>2533</v>
      </c>
      <c r="C637" s="129"/>
      <c r="D637" s="129" t="s">
        <v>2270</v>
      </c>
      <c r="E637" s="130"/>
      <c r="F637" s="129" t="s">
        <v>567</v>
      </c>
      <c r="G637" s="130" t="s">
        <v>2516</v>
      </c>
      <c r="H637" s="130">
        <v>43136</v>
      </c>
      <c r="I637" s="129" t="s">
        <v>2537</v>
      </c>
      <c r="J637" s="129">
        <v>65729</v>
      </c>
      <c r="K637" s="130" t="s">
        <v>2538</v>
      </c>
      <c r="L637" s="129" t="s">
        <v>570</v>
      </c>
      <c r="M637" s="129" t="s">
        <v>570</v>
      </c>
      <c r="N637" s="129" t="s">
        <v>570</v>
      </c>
      <c r="O637" s="129" t="s">
        <v>2536</v>
      </c>
      <c r="P637" s="409" t="s">
        <v>570</v>
      </c>
      <c r="Q637" s="179"/>
      <c r="R637" s="179"/>
      <c r="S637" s="179"/>
      <c r="T637" s="500" t="e">
        <f>_xlfn.XLOOKUP(H637,#REF!,#REF!,0,0)</f>
        <v>#REF!</v>
      </c>
    </row>
    <row r="638" spans="1:20" x14ac:dyDescent="0.4">
      <c r="A638" s="129" t="s">
        <v>570</v>
      </c>
      <c r="B638" s="129" t="s">
        <v>2533</v>
      </c>
      <c r="C638" s="129"/>
      <c r="D638" s="129" t="s">
        <v>2270</v>
      </c>
      <c r="E638" s="130"/>
      <c r="F638" s="129" t="s">
        <v>567</v>
      </c>
      <c r="G638" s="130" t="s">
        <v>2516</v>
      </c>
      <c r="H638" s="130">
        <v>43136</v>
      </c>
      <c r="I638" s="129" t="s">
        <v>2539</v>
      </c>
      <c r="J638" s="129">
        <v>65730</v>
      </c>
      <c r="K638" s="130" t="s">
        <v>2540</v>
      </c>
      <c r="L638" s="129" t="s">
        <v>570</v>
      </c>
      <c r="M638" s="129" t="s">
        <v>570</v>
      </c>
      <c r="N638" s="129" t="s">
        <v>570</v>
      </c>
      <c r="O638" s="129" t="s">
        <v>2536</v>
      </c>
      <c r="P638" s="409" t="s">
        <v>570</v>
      </c>
      <c r="Q638" s="179"/>
      <c r="R638" s="179"/>
      <c r="S638" s="179"/>
      <c r="T638" s="500" t="e">
        <f>_xlfn.XLOOKUP(H638,#REF!,#REF!,0,0)</f>
        <v>#REF!</v>
      </c>
    </row>
    <row r="639" spans="1:20" x14ac:dyDescent="0.4">
      <c r="A639" s="129" t="s">
        <v>570</v>
      </c>
      <c r="B639" s="129" t="s">
        <v>2533</v>
      </c>
      <c r="C639" s="129"/>
      <c r="D639" s="129" t="s">
        <v>2270</v>
      </c>
      <c r="E639" s="130"/>
      <c r="F639" s="129" t="s">
        <v>567</v>
      </c>
      <c r="G639" s="130" t="s">
        <v>2516</v>
      </c>
      <c r="H639" s="130">
        <v>43136</v>
      </c>
      <c r="I639" s="129" t="s">
        <v>2541</v>
      </c>
      <c r="J639" s="129">
        <v>65731</v>
      </c>
      <c r="K639" s="130"/>
      <c r="L639" s="129" t="s">
        <v>570</v>
      </c>
      <c r="M639" s="129" t="s">
        <v>570</v>
      </c>
      <c r="N639" s="129" t="s">
        <v>570</v>
      </c>
      <c r="O639" s="129" t="s">
        <v>2536</v>
      </c>
      <c r="P639" s="409" t="s">
        <v>570</v>
      </c>
      <c r="Q639" s="179"/>
      <c r="R639" s="179"/>
      <c r="S639" s="179"/>
      <c r="T639" s="500" t="e">
        <f>_xlfn.XLOOKUP(H639,#REF!,#REF!,0,0)</f>
        <v>#REF!</v>
      </c>
    </row>
    <row r="640" spans="1:20" x14ac:dyDescent="0.4">
      <c r="A640" s="129" t="s">
        <v>570</v>
      </c>
      <c r="B640" s="129" t="s">
        <v>2533</v>
      </c>
      <c r="C640" s="129"/>
      <c r="D640" s="129" t="s">
        <v>2270</v>
      </c>
      <c r="E640" s="130"/>
      <c r="F640" s="129" t="s">
        <v>567</v>
      </c>
      <c r="G640" s="130" t="s">
        <v>2516</v>
      </c>
      <c r="H640" s="130">
        <v>43136</v>
      </c>
      <c r="I640" s="129" t="s">
        <v>74</v>
      </c>
      <c r="J640" s="129">
        <v>65732</v>
      </c>
      <c r="K640" s="130"/>
      <c r="L640" s="129" t="s">
        <v>570</v>
      </c>
      <c r="M640" s="129" t="s">
        <v>570</v>
      </c>
      <c r="N640" s="129" t="s">
        <v>570</v>
      </c>
      <c r="O640" s="129" t="s">
        <v>2536</v>
      </c>
      <c r="P640" s="409" t="s">
        <v>570</v>
      </c>
      <c r="Q640" s="179"/>
      <c r="R640" s="179"/>
      <c r="S640" s="179"/>
      <c r="T640" s="500" t="e">
        <f>_xlfn.XLOOKUP(H640,#REF!,#REF!,0,0)</f>
        <v>#REF!</v>
      </c>
    </row>
    <row r="641" spans="1:20" x14ac:dyDescent="0.4">
      <c r="A641" s="129" t="s">
        <v>570</v>
      </c>
      <c r="B641" s="129" t="s">
        <v>2542</v>
      </c>
      <c r="C641" s="129"/>
      <c r="D641" s="129" t="s">
        <v>767</v>
      </c>
      <c r="E641" s="130">
        <v>43147</v>
      </c>
      <c r="F641" s="129" t="s">
        <v>567</v>
      </c>
      <c r="G641" s="130" t="s">
        <v>2505</v>
      </c>
      <c r="H641" s="130">
        <v>43045</v>
      </c>
      <c r="I641" s="129" t="s">
        <v>2543</v>
      </c>
      <c r="J641" s="129">
        <v>65514</v>
      </c>
      <c r="K641" s="130" t="s">
        <v>2544</v>
      </c>
      <c r="L641" s="129" t="s">
        <v>570</v>
      </c>
      <c r="M641" s="129" t="s">
        <v>570</v>
      </c>
      <c r="N641" s="129" t="s">
        <v>570</v>
      </c>
      <c r="O641" s="129" t="s">
        <v>570</v>
      </c>
      <c r="P641" s="409" t="s">
        <v>570</v>
      </c>
      <c r="Q641" s="179"/>
      <c r="R641" s="179"/>
      <c r="S641" s="179"/>
      <c r="T641" s="500" t="e">
        <f>_xlfn.XLOOKUP(H641,#REF!,#REF!,0,0)</f>
        <v>#REF!</v>
      </c>
    </row>
    <row r="642" spans="1:20" x14ac:dyDescent="0.4">
      <c r="A642" s="129" t="s">
        <v>570</v>
      </c>
      <c r="B642" s="129" t="s">
        <v>2545</v>
      </c>
      <c r="C642" s="129"/>
      <c r="D642" s="129" t="s">
        <v>767</v>
      </c>
      <c r="E642" s="130"/>
      <c r="F642" s="129" t="s">
        <v>567</v>
      </c>
      <c r="G642" s="130" t="s">
        <v>2516</v>
      </c>
      <c r="H642" s="130">
        <v>43144</v>
      </c>
      <c r="I642" s="129" t="s">
        <v>92</v>
      </c>
      <c r="J642" s="129">
        <v>65758</v>
      </c>
      <c r="K642" s="130" t="s">
        <v>775</v>
      </c>
      <c r="L642" s="129" t="s">
        <v>570</v>
      </c>
      <c r="M642" s="129" t="s">
        <v>570</v>
      </c>
      <c r="N642" s="129" t="s">
        <v>570</v>
      </c>
      <c r="O642" s="129" t="s">
        <v>570</v>
      </c>
      <c r="P642" s="409" t="s">
        <v>570</v>
      </c>
      <c r="Q642" s="179"/>
      <c r="R642" s="179"/>
      <c r="S642" s="179"/>
      <c r="T642" s="500" t="e">
        <f>_xlfn.XLOOKUP(H642,#REF!,#REF!,0,0)</f>
        <v>#REF!</v>
      </c>
    </row>
    <row r="643" spans="1:20" x14ac:dyDescent="0.4">
      <c r="A643" s="129" t="s">
        <v>570</v>
      </c>
      <c r="B643" s="129" t="s">
        <v>2546</v>
      </c>
      <c r="C643" s="129"/>
      <c r="D643" s="129" t="s">
        <v>767</v>
      </c>
      <c r="E643" s="130"/>
      <c r="F643" s="129" t="s">
        <v>567</v>
      </c>
      <c r="G643" s="130" t="s">
        <v>2503</v>
      </c>
      <c r="H643" s="130">
        <v>42039</v>
      </c>
      <c r="I643" s="129" t="s">
        <v>44</v>
      </c>
      <c r="J643" s="129">
        <v>59809</v>
      </c>
      <c r="K643" s="130" t="s">
        <v>1454</v>
      </c>
      <c r="L643" s="129" t="s">
        <v>570</v>
      </c>
      <c r="M643" s="129" t="s">
        <v>570</v>
      </c>
      <c r="N643" s="129" t="s">
        <v>570</v>
      </c>
      <c r="O643" s="129" t="s">
        <v>570</v>
      </c>
      <c r="P643" s="409" t="s">
        <v>570</v>
      </c>
      <c r="Q643" s="179"/>
      <c r="R643" s="179"/>
      <c r="S643" s="179"/>
      <c r="T643" s="500" t="e">
        <f>_xlfn.XLOOKUP(H643,#REF!,#REF!,0,0)</f>
        <v>#REF!</v>
      </c>
    </row>
    <row r="644" spans="1:20" x14ac:dyDescent="0.4">
      <c r="A644" s="129" t="s">
        <v>570</v>
      </c>
      <c r="B644" s="129" t="s">
        <v>2547</v>
      </c>
      <c r="C644" s="129"/>
      <c r="D644" s="129" t="s">
        <v>767</v>
      </c>
      <c r="E644" s="130"/>
      <c r="F644" s="129" t="s">
        <v>567</v>
      </c>
      <c r="G644" s="130" t="s">
        <v>2516</v>
      </c>
      <c r="H644" s="130">
        <v>43144</v>
      </c>
      <c r="I644" s="129" t="s">
        <v>96</v>
      </c>
      <c r="J644" s="129">
        <v>65766</v>
      </c>
      <c r="K644" s="130" t="s">
        <v>2548</v>
      </c>
      <c r="L644" s="129" t="s">
        <v>570</v>
      </c>
      <c r="M644" s="129" t="s">
        <v>570</v>
      </c>
      <c r="N644" s="129" t="s">
        <v>570</v>
      </c>
      <c r="O644" s="129" t="s">
        <v>570</v>
      </c>
      <c r="P644" s="409" t="s">
        <v>570</v>
      </c>
      <c r="Q644" s="179"/>
      <c r="R644" s="179"/>
      <c r="S644" s="179"/>
      <c r="T644" s="500" t="e">
        <f>_xlfn.XLOOKUP(H644,#REF!,#REF!,0,0)</f>
        <v>#REF!</v>
      </c>
    </row>
    <row r="645" spans="1:20" x14ac:dyDescent="0.4">
      <c r="A645" s="129" t="s">
        <v>570</v>
      </c>
      <c r="B645" s="129" t="s">
        <v>2549</v>
      </c>
      <c r="C645" s="129"/>
      <c r="D645" s="129" t="s">
        <v>767</v>
      </c>
      <c r="E645" s="130"/>
      <c r="F645" s="129" t="s">
        <v>567</v>
      </c>
      <c r="G645" s="130" t="s">
        <v>2516</v>
      </c>
      <c r="H645" s="130">
        <v>43144</v>
      </c>
      <c r="I645" s="129" t="s">
        <v>2550</v>
      </c>
      <c r="J645" s="129">
        <v>65760</v>
      </c>
      <c r="K645" s="130" t="s">
        <v>2551</v>
      </c>
      <c r="L645" s="129" t="s">
        <v>570</v>
      </c>
      <c r="M645" s="129" t="s">
        <v>570</v>
      </c>
      <c r="N645" s="129" t="s">
        <v>570</v>
      </c>
      <c r="O645" s="129" t="s">
        <v>570</v>
      </c>
      <c r="P645" s="409" t="s">
        <v>570</v>
      </c>
      <c r="Q645" s="179"/>
      <c r="R645" s="179"/>
      <c r="S645" s="179"/>
      <c r="T645" s="500" t="e">
        <f>_xlfn.XLOOKUP(H645,#REF!,#REF!,0,0)</f>
        <v>#REF!</v>
      </c>
    </row>
    <row r="646" spans="1:20" x14ac:dyDescent="0.4">
      <c r="A646" s="129" t="s">
        <v>570</v>
      </c>
      <c r="B646" s="129" t="s">
        <v>2552</v>
      </c>
      <c r="C646" s="129"/>
      <c r="D646" s="129" t="s">
        <v>767</v>
      </c>
      <c r="E646" s="130"/>
      <c r="F646" s="129" t="s">
        <v>567</v>
      </c>
      <c r="G646" s="130" t="s">
        <v>2516</v>
      </c>
      <c r="H646" s="130">
        <v>43144</v>
      </c>
      <c r="I646" s="129" t="s">
        <v>93</v>
      </c>
      <c r="J646" s="129">
        <v>65762</v>
      </c>
      <c r="K646" s="130" t="s">
        <v>2553</v>
      </c>
      <c r="L646" s="129" t="s">
        <v>570</v>
      </c>
      <c r="M646" s="129" t="s">
        <v>570</v>
      </c>
      <c r="N646" s="129" t="s">
        <v>570</v>
      </c>
      <c r="O646" s="129" t="s">
        <v>570</v>
      </c>
      <c r="P646" s="409" t="s">
        <v>570</v>
      </c>
      <c r="Q646" s="179"/>
      <c r="R646" s="179"/>
      <c r="S646" s="179"/>
      <c r="T646" s="500" t="e">
        <f>_xlfn.XLOOKUP(H646,#REF!,#REF!,0,0)</f>
        <v>#REF!</v>
      </c>
    </row>
    <row r="647" spans="1:20" x14ac:dyDescent="0.4">
      <c r="A647" s="129" t="s">
        <v>570</v>
      </c>
      <c r="B647" s="129" t="s">
        <v>2554</v>
      </c>
      <c r="C647" s="129"/>
      <c r="D647" s="129" t="s">
        <v>767</v>
      </c>
      <c r="E647" s="130"/>
      <c r="F647" s="129" t="s">
        <v>567</v>
      </c>
      <c r="G647" s="130" t="s">
        <v>2516</v>
      </c>
      <c r="H647" s="130">
        <v>43144</v>
      </c>
      <c r="I647" s="129" t="s">
        <v>94</v>
      </c>
      <c r="J647" s="129">
        <v>65763</v>
      </c>
      <c r="K647" s="130" t="s">
        <v>2555</v>
      </c>
      <c r="L647" s="129" t="s">
        <v>570</v>
      </c>
      <c r="M647" s="129" t="s">
        <v>570</v>
      </c>
      <c r="N647" s="129" t="s">
        <v>570</v>
      </c>
      <c r="O647" s="129" t="s">
        <v>570</v>
      </c>
      <c r="P647" s="409" t="s">
        <v>570</v>
      </c>
      <c r="Q647" s="179"/>
      <c r="R647" s="179"/>
      <c r="S647" s="179"/>
      <c r="T647" s="500" t="e">
        <f>_xlfn.XLOOKUP(H647,#REF!,#REF!,0,0)</f>
        <v>#REF!</v>
      </c>
    </row>
    <row r="648" spans="1:20" x14ac:dyDescent="0.4">
      <c r="A648" s="129" t="s">
        <v>570</v>
      </c>
      <c r="B648" s="129" t="s">
        <v>2556</v>
      </c>
      <c r="C648" s="129"/>
      <c r="D648" s="129" t="s">
        <v>2215</v>
      </c>
      <c r="E648" s="130"/>
      <c r="F648" s="129" t="s">
        <v>567</v>
      </c>
      <c r="G648" s="130" t="s">
        <v>2516</v>
      </c>
      <c r="H648" s="130">
        <v>42746</v>
      </c>
      <c r="I648" s="129" t="s">
        <v>2222</v>
      </c>
      <c r="J648" s="129">
        <v>64583</v>
      </c>
      <c r="K648" s="130" t="s">
        <v>2557</v>
      </c>
      <c r="L648" s="129" t="s">
        <v>570</v>
      </c>
      <c r="M648" s="129" t="s">
        <v>570</v>
      </c>
      <c r="N648" s="129" t="s">
        <v>570</v>
      </c>
      <c r="O648" s="129" t="s">
        <v>570</v>
      </c>
      <c r="P648" s="409" t="s">
        <v>570</v>
      </c>
      <c r="Q648" s="179"/>
      <c r="R648" s="179"/>
      <c r="S648" s="179"/>
      <c r="T648" s="500" t="e">
        <f>_xlfn.XLOOKUP(H648,#REF!,#REF!,0,0)</f>
        <v>#REF!</v>
      </c>
    </row>
    <row r="649" spans="1:20" x14ac:dyDescent="0.4">
      <c r="A649" s="129" t="s">
        <v>570</v>
      </c>
      <c r="B649" s="129" t="s">
        <v>2558</v>
      </c>
      <c r="C649" s="129"/>
      <c r="D649" s="129" t="s">
        <v>767</v>
      </c>
      <c r="E649" s="130"/>
      <c r="F649" s="129" t="s">
        <v>567</v>
      </c>
      <c r="G649" s="130" t="s">
        <v>2516</v>
      </c>
      <c r="H649" s="130">
        <v>43144</v>
      </c>
      <c r="I649" s="129" t="s">
        <v>97</v>
      </c>
      <c r="J649" s="129">
        <v>65768</v>
      </c>
      <c r="K649" s="130" t="s">
        <v>2559</v>
      </c>
      <c r="L649" s="129" t="s">
        <v>570</v>
      </c>
      <c r="M649" s="129" t="s">
        <v>570</v>
      </c>
      <c r="N649" s="129" t="s">
        <v>570</v>
      </c>
      <c r="O649" s="129" t="s">
        <v>570</v>
      </c>
      <c r="P649" s="409" t="s">
        <v>570</v>
      </c>
      <c r="Q649" s="179"/>
      <c r="R649" s="179"/>
      <c r="S649" s="179"/>
      <c r="T649" s="500" t="e">
        <f>_xlfn.XLOOKUP(H649,#REF!,#REF!,0,0)</f>
        <v>#REF!</v>
      </c>
    </row>
    <row r="650" spans="1:20" x14ac:dyDescent="0.4">
      <c r="A650" s="129" t="s">
        <v>570</v>
      </c>
      <c r="B650" s="129" t="s">
        <v>2560</v>
      </c>
      <c r="C650" s="129"/>
      <c r="D650" s="129" t="s">
        <v>767</v>
      </c>
      <c r="E650" s="130"/>
      <c r="F650" s="129" t="s">
        <v>567</v>
      </c>
      <c r="G650" s="130" t="s">
        <v>2516</v>
      </c>
      <c r="H650" s="130">
        <v>43045</v>
      </c>
      <c r="I650" s="129" t="s">
        <v>2561</v>
      </c>
      <c r="J650" s="129">
        <v>65515</v>
      </c>
      <c r="K650" s="130" t="s">
        <v>2562</v>
      </c>
      <c r="L650" s="129" t="s">
        <v>570</v>
      </c>
      <c r="M650" s="129" t="s">
        <v>570</v>
      </c>
      <c r="N650" s="129" t="s">
        <v>570</v>
      </c>
      <c r="O650" s="129" t="s">
        <v>570</v>
      </c>
      <c r="P650" s="409" t="s">
        <v>570</v>
      </c>
      <c r="Q650" s="179"/>
      <c r="R650" s="179"/>
      <c r="S650" s="179"/>
      <c r="T650" s="500" t="e">
        <f>_xlfn.XLOOKUP(H650,#REF!,#REF!,0,0)</f>
        <v>#REF!</v>
      </c>
    </row>
    <row r="651" spans="1:20" x14ac:dyDescent="0.4">
      <c r="A651" s="129" t="s">
        <v>570</v>
      </c>
      <c r="B651" s="129" t="s">
        <v>2563</v>
      </c>
      <c r="C651" s="129"/>
      <c r="D651" s="129" t="s">
        <v>767</v>
      </c>
      <c r="E651" s="130"/>
      <c r="F651" s="129" t="s">
        <v>567</v>
      </c>
      <c r="G651" s="130" t="s">
        <v>2516</v>
      </c>
      <c r="H651" s="130">
        <v>43144</v>
      </c>
      <c r="I651" s="129" t="s">
        <v>98</v>
      </c>
      <c r="J651" s="129">
        <v>65769</v>
      </c>
      <c r="K651" s="130" t="s">
        <v>2564</v>
      </c>
      <c r="L651" s="129" t="s">
        <v>570</v>
      </c>
      <c r="M651" s="129" t="s">
        <v>570</v>
      </c>
      <c r="N651" s="129" t="s">
        <v>570</v>
      </c>
      <c r="O651" s="129" t="s">
        <v>570</v>
      </c>
      <c r="P651" s="409" t="s">
        <v>570</v>
      </c>
      <c r="Q651" s="179"/>
      <c r="R651" s="179"/>
      <c r="S651" s="179"/>
      <c r="T651" s="500" t="e">
        <f>_xlfn.XLOOKUP(H651,#REF!,#REF!,0,0)</f>
        <v>#REF!</v>
      </c>
    </row>
    <row r="652" spans="1:20" x14ac:dyDescent="0.4">
      <c r="A652" s="129" t="s">
        <v>570</v>
      </c>
      <c r="B652" s="129" t="s">
        <v>2565</v>
      </c>
      <c r="C652" s="129"/>
      <c r="D652" s="129" t="s">
        <v>767</v>
      </c>
      <c r="E652" s="130"/>
      <c r="F652" s="129" t="s">
        <v>567</v>
      </c>
      <c r="G652" s="130" t="s">
        <v>2516</v>
      </c>
      <c r="H652" s="130">
        <v>43144</v>
      </c>
      <c r="I652" s="129" t="s">
        <v>2566</v>
      </c>
      <c r="J652" s="129">
        <v>65761</v>
      </c>
      <c r="K652" s="130" t="s">
        <v>2567</v>
      </c>
      <c r="L652" s="129" t="s">
        <v>570</v>
      </c>
      <c r="M652" s="129" t="s">
        <v>570</v>
      </c>
      <c r="N652" s="129" t="s">
        <v>570</v>
      </c>
      <c r="O652" s="129" t="s">
        <v>570</v>
      </c>
      <c r="P652" s="409" t="s">
        <v>570</v>
      </c>
      <c r="Q652" s="179"/>
      <c r="R652" s="179"/>
      <c r="S652" s="179"/>
      <c r="T652" s="500" t="e">
        <f>_xlfn.XLOOKUP(H652,#REF!,#REF!,0,0)</f>
        <v>#REF!</v>
      </c>
    </row>
    <row r="653" spans="1:20" x14ac:dyDescent="0.4">
      <c r="A653" s="129" t="s">
        <v>570</v>
      </c>
      <c r="B653" s="129" t="s">
        <v>2568</v>
      </c>
      <c r="C653" s="129"/>
      <c r="D653" s="129" t="s">
        <v>767</v>
      </c>
      <c r="E653" s="130">
        <v>43168</v>
      </c>
      <c r="F653" s="129" t="s">
        <v>567</v>
      </c>
      <c r="G653" s="130" t="s">
        <v>2516</v>
      </c>
      <c r="H653" s="130">
        <v>43144</v>
      </c>
      <c r="I653" s="129" t="s">
        <v>2569</v>
      </c>
      <c r="J653" s="129">
        <v>65770</v>
      </c>
      <c r="K653" s="130" t="s">
        <v>2570</v>
      </c>
      <c r="L653" s="129" t="s">
        <v>570</v>
      </c>
      <c r="M653" s="129" t="s">
        <v>570</v>
      </c>
      <c r="N653" s="129" t="s">
        <v>570</v>
      </c>
      <c r="O653" s="129" t="s">
        <v>570</v>
      </c>
      <c r="P653" s="409" t="s">
        <v>570</v>
      </c>
      <c r="Q653" s="179"/>
      <c r="R653" s="179"/>
      <c r="S653" s="179"/>
      <c r="T653" s="500" t="e">
        <f>_xlfn.XLOOKUP(H653,#REF!,#REF!,0,0)</f>
        <v>#REF!</v>
      </c>
    </row>
    <row r="654" spans="1:20" x14ac:dyDescent="0.4">
      <c r="A654" s="129" t="s">
        <v>570</v>
      </c>
      <c r="B654" s="129" t="s">
        <v>2571</v>
      </c>
      <c r="C654" s="129"/>
      <c r="D654" s="129" t="s">
        <v>767</v>
      </c>
      <c r="E654" s="130"/>
      <c r="F654" s="129" t="s">
        <v>567</v>
      </c>
      <c r="G654" s="130" t="s">
        <v>2516</v>
      </c>
      <c r="H654" s="130">
        <v>43144</v>
      </c>
      <c r="I654" s="129" t="s">
        <v>2572</v>
      </c>
      <c r="J654" s="129">
        <v>65765</v>
      </c>
      <c r="K654" s="130" t="s">
        <v>2573</v>
      </c>
      <c r="L654" s="129" t="s">
        <v>570</v>
      </c>
      <c r="M654" s="129" t="s">
        <v>570</v>
      </c>
      <c r="N654" s="129" t="s">
        <v>570</v>
      </c>
      <c r="O654" s="129" t="s">
        <v>570</v>
      </c>
      <c r="P654" s="409" t="s">
        <v>570</v>
      </c>
      <c r="Q654" s="179"/>
      <c r="R654" s="179"/>
      <c r="S654" s="179"/>
      <c r="T654" s="500" t="e">
        <f>_xlfn.XLOOKUP(H654,#REF!,#REF!,0,0)</f>
        <v>#REF!</v>
      </c>
    </row>
    <row r="655" spans="1:20" x14ac:dyDescent="0.4">
      <c r="A655" s="129" t="s">
        <v>570</v>
      </c>
      <c r="B655" s="129" t="s">
        <v>2574</v>
      </c>
      <c r="C655" s="129"/>
      <c r="D655" s="129" t="s">
        <v>767</v>
      </c>
      <c r="E655" s="130"/>
      <c r="F655" s="129" t="s">
        <v>567</v>
      </c>
      <c r="G655" s="130" t="s">
        <v>2516</v>
      </c>
      <c r="H655" s="130">
        <v>43144</v>
      </c>
      <c r="I655" s="129" t="s">
        <v>2575</v>
      </c>
      <c r="J655" s="129">
        <v>65759</v>
      </c>
      <c r="K655" s="130" t="s">
        <v>2576</v>
      </c>
      <c r="L655" s="129" t="s">
        <v>570</v>
      </c>
      <c r="M655" s="129" t="s">
        <v>570</v>
      </c>
      <c r="N655" s="129" t="s">
        <v>570</v>
      </c>
      <c r="O655" s="129" t="s">
        <v>570</v>
      </c>
      <c r="P655" s="409" t="s">
        <v>570</v>
      </c>
      <c r="Q655" s="179"/>
      <c r="R655" s="179"/>
      <c r="S655" s="179"/>
      <c r="T655" s="500" t="e">
        <f>_xlfn.XLOOKUP(H655,#REF!,#REF!,0,0)</f>
        <v>#REF!</v>
      </c>
    </row>
    <row r="656" spans="1:20" x14ac:dyDescent="0.4">
      <c r="A656" s="129" t="s">
        <v>570</v>
      </c>
      <c r="B656" s="129" t="s">
        <v>2577</v>
      </c>
      <c r="C656" s="129"/>
      <c r="D656" s="129" t="s">
        <v>767</v>
      </c>
      <c r="E656" s="130"/>
      <c r="F656" s="129" t="s">
        <v>567</v>
      </c>
      <c r="G656" s="130" t="s">
        <v>2516</v>
      </c>
      <c r="H656" s="130">
        <v>43144</v>
      </c>
      <c r="I656" s="129" t="s">
        <v>2578</v>
      </c>
      <c r="J656" s="129">
        <v>65767</v>
      </c>
      <c r="K656" s="130" t="s">
        <v>2579</v>
      </c>
      <c r="L656" s="129" t="s">
        <v>570</v>
      </c>
      <c r="M656" s="129" t="s">
        <v>570</v>
      </c>
      <c r="N656" s="129" t="s">
        <v>570</v>
      </c>
      <c r="O656" s="129" t="s">
        <v>570</v>
      </c>
      <c r="P656" s="409" t="s">
        <v>570</v>
      </c>
      <c r="Q656" s="179"/>
      <c r="R656" s="179"/>
      <c r="S656" s="179"/>
      <c r="T656" s="500" t="e">
        <f>_xlfn.XLOOKUP(H656,#REF!,#REF!,0,0)</f>
        <v>#REF!</v>
      </c>
    </row>
    <row r="657" spans="1:20" x14ac:dyDescent="0.4">
      <c r="A657" s="129" t="s">
        <v>570</v>
      </c>
      <c r="B657" s="129" t="s">
        <v>2580</v>
      </c>
      <c r="C657" s="129"/>
      <c r="D657" s="129" t="s">
        <v>767</v>
      </c>
      <c r="E657" s="130"/>
      <c r="F657" s="129" t="s">
        <v>567</v>
      </c>
      <c r="G657" s="130" t="s">
        <v>2516</v>
      </c>
      <c r="H657" s="130">
        <v>43144</v>
      </c>
      <c r="I657" s="129" t="s">
        <v>2581</v>
      </c>
      <c r="J657" s="129">
        <v>65771</v>
      </c>
      <c r="K657" s="130" t="s">
        <v>2582</v>
      </c>
      <c r="L657" s="129" t="s">
        <v>570</v>
      </c>
      <c r="M657" s="129" t="s">
        <v>570</v>
      </c>
      <c r="N657" s="129" t="s">
        <v>570</v>
      </c>
      <c r="O657" s="129" t="s">
        <v>570</v>
      </c>
      <c r="P657" s="409" t="s">
        <v>570</v>
      </c>
      <c r="Q657" s="179"/>
      <c r="R657" s="179"/>
      <c r="S657" s="179"/>
      <c r="T657" s="500" t="e">
        <f>_xlfn.XLOOKUP(H657,#REF!,#REF!,0,0)</f>
        <v>#REF!</v>
      </c>
    </row>
    <row r="658" spans="1:20" x14ac:dyDescent="0.4">
      <c r="A658" s="129" t="s">
        <v>570</v>
      </c>
      <c r="B658" s="129" t="s">
        <v>2583</v>
      </c>
      <c r="C658" s="129"/>
      <c r="D658" s="129" t="s">
        <v>767</v>
      </c>
      <c r="E658" s="130"/>
      <c r="F658" s="129" t="s">
        <v>567</v>
      </c>
      <c r="G658" s="130" t="s">
        <v>2516</v>
      </c>
      <c r="H658" s="130">
        <v>43144</v>
      </c>
      <c r="I658" s="129" t="s">
        <v>76</v>
      </c>
      <c r="J658" s="129">
        <v>65733</v>
      </c>
      <c r="K658" s="130" t="s">
        <v>2584</v>
      </c>
      <c r="L658" s="129" t="s">
        <v>570</v>
      </c>
      <c r="M658" s="129" t="s">
        <v>570</v>
      </c>
      <c r="N658" s="129" t="s">
        <v>570</v>
      </c>
      <c r="O658" s="129" t="s">
        <v>570</v>
      </c>
      <c r="P658" s="409" t="s">
        <v>570</v>
      </c>
      <c r="Q658" s="179"/>
      <c r="R658" s="179"/>
      <c r="S658" s="179"/>
      <c r="T658" s="500" t="e">
        <f>_xlfn.XLOOKUP(H658,#REF!,#REF!,0,0)</f>
        <v>#REF!</v>
      </c>
    </row>
    <row r="659" spans="1:20" x14ac:dyDescent="0.4">
      <c r="A659" s="129" t="s">
        <v>570</v>
      </c>
      <c r="B659" s="129" t="s">
        <v>2585</v>
      </c>
      <c r="C659" s="129"/>
      <c r="D659" s="129" t="s">
        <v>767</v>
      </c>
      <c r="E659" s="130"/>
      <c r="F659" s="129" t="s">
        <v>567</v>
      </c>
      <c r="G659" s="130" t="s">
        <v>2516</v>
      </c>
      <c r="H659" s="130">
        <v>43144</v>
      </c>
      <c r="I659" s="129" t="s">
        <v>77</v>
      </c>
      <c r="J659" s="129">
        <v>65734</v>
      </c>
      <c r="K659" s="130" t="s">
        <v>2586</v>
      </c>
      <c r="L659" s="129" t="s">
        <v>570</v>
      </c>
      <c r="M659" s="129" t="s">
        <v>570</v>
      </c>
      <c r="N659" s="129" t="s">
        <v>570</v>
      </c>
      <c r="O659" s="129" t="s">
        <v>570</v>
      </c>
      <c r="P659" s="409" t="s">
        <v>570</v>
      </c>
      <c r="Q659" s="179"/>
      <c r="R659" s="179"/>
      <c r="S659" s="179"/>
      <c r="T659" s="500" t="e">
        <f>_xlfn.XLOOKUP(H659,#REF!,#REF!,0,0)</f>
        <v>#REF!</v>
      </c>
    </row>
    <row r="660" spans="1:20" x14ac:dyDescent="0.4">
      <c r="A660" s="129" t="s">
        <v>570</v>
      </c>
      <c r="B660" s="129" t="s">
        <v>2587</v>
      </c>
      <c r="C660" s="129"/>
      <c r="D660" s="129" t="s">
        <v>767</v>
      </c>
      <c r="E660" s="130"/>
      <c r="F660" s="129" t="s">
        <v>567</v>
      </c>
      <c r="G660" s="130" t="s">
        <v>2516</v>
      </c>
      <c r="H660" s="130">
        <v>43144</v>
      </c>
      <c r="I660" s="129" t="s">
        <v>2588</v>
      </c>
      <c r="J660" s="129">
        <v>65736</v>
      </c>
      <c r="K660" s="130" t="s">
        <v>2589</v>
      </c>
      <c r="L660" s="129" t="s">
        <v>570</v>
      </c>
      <c r="M660" s="129" t="s">
        <v>570</v>
      </c>
      <c r="N660" s="129" t="s">
        <v>570</v>
      </c>
      <c r="O660" s="129" t="s">
        <v>570</v>
      </c>
      <c r="P660" s="409" t="s">
        <v>570</v>
      </c>
      <c r="Q660" s="179"/>
      <c r="R660" s="179"/>
      <c r="S660" s="179"/>
      <c r="T660" s="500" t="e">
        <f>_xlfn.XLOOKUP(H660,#REF!,#REF!,0,0)</f>
        <v>#REF!</v>
      </c>
    </row>
    <row r="661" spans="1:20" x14ac:dyDescent="0.4">
      <c r="A661" s="129" t="s">
        <v>570</v>
      </c>
      <c r="B661" s="129" t="s">
        <v>2590</v>
      </c>
      <c r="C661" s="129"/>
      <c r="D661" s="129" t="s">
        <v>767</v>
      </c>
      <c r="E661" s="130"/>
      <c r="F661" s="129" t="s">
        <v>567</v>
      </c>
      <c r="G661" s="130" t="s">
        <v>2516</v>
      </c>
      <c r="H661" s="130">
        <v>43144</v>
      </c>
      <c r="I661" s="129" t="s">
        <v>2591</v>
      </c>
      <c r="J661" s="129">
        <v>65737</v>
      </c>
      <c r="K661" s="130" t="s">
        <v>2592</v>
      </c>
      <c r="L661" s="129" t="s">
        <v>570</v>
      </c>
      <c r="M661" s="129" t="s">
        <v>570</v>
      </c>
      <c r="N661" s="129" t="s">
        <v>570</v>
      </c>
      <c r="O661" s="129" t="s">
        <v>570</v>
      </c>
      <c r="P661" s="409" t="s">
        <v>570</v>
      </c>
      <c r="Q661" s="179"/>
      <c r="R661" s="179"/>
      <c r="S661" s="179"/>
      <c r="T661" s="500" t="e">
        <f>_xlfn.XLOOKUP(H661,#REF!,#REF!,0,0)</f>
        <v>#REF!</v>
      </c>
    </row>
    <row r="662" spans="1:20" x14ac:dyDescent="0.4">
      <c r="A662" s="129" t="s">
        <v>570</v>
      </c>
      <c r="B662" s="129" t="s">
        <v>2593</v>
      </c>
      <c r="C662" s="129"/>
      <c r="D662" s="129" t="s">
        <v>767</v>
      </c>
      <c r="E662" s="130"/>
      <c r="F662" s="129" t="s">
        <v>567</v>
      </c>
      <c r="G662" s="130" t="s">
        <v>2516</v>
      </c>
      <c r="H662" s="130">
        <v>43144</v>
      </c>
      <c r="I662" s="129" t="s">
        <v>2594</v>
      </c>
      <c r="J662" s="129">
        <v>65755</v>
      </c>
      <c r="K662" s="130" t="s">
        <v>2595</v>
      </c>
      <c r="L662" s="129" t="s">
        <v>570</v>
      </c>
      <c r="M662" s="129" t="s">
        <v>570</v>
      </c>
      <c r="N662" s="129" t="s">
        <v>570</v>
      </c>
      <c r="O662" s="129" t="s">
        <v>570</v>
      </c>
      <c r="P662" s="409" t="s">
        <v>570</v>
      </c>
      <c r="Q662" s="179"/>
      <c r="R662" s="179"/>
      <c r="S662" s="179"/>
      <c r="T662" s="500" t="e">
        <f>_xlfn.XLOOKUP(H662,#REF!,#REF!,0,0)</f>
        <v>#REF!</v>
      </c>
    </row>
    <row r="663" spans="1:20" x14ac:dyDescent="0.4">
      <c r="A663" s="129" t="s">
        <v>570</v>
      </c>
      <c r="B663" s="129" t="s">
        <v>2593</v>
      </c>
      <c r="C663" s="129"/>
      <c r="D663" s="129" t="s">
        <v>767</v>
      </c>
      <c r="E663" s="130"/>
      <c r="F663" s="129" t="s">
        <v>567</v>
      </c>
      <c r="G663" s="130" t="s">
        <v>2516</v>
      </c>
      <c r="H663" s="130">
        <v>43144</v>
      </c>
      <c r="I663" s="129" t="s">
        <v>2596</v>
      </c>
      <c r="J663" s="129">
        <v>65756</v>
      </c>
      <c r="K663" s="130" t="s">
        <v>2597</v>
      </c>
      <c r="L663" s="129" t="s">
        <v>570</v>
      </c>
      <c r="M663" s="129" t="s">
        <v>570</v>
      </c>
      <c r="N663" s="129" t="s">
        <v>570</v>
      </c>
      <c r="O663" s="129" t="s">
        <v>570</v>
      </c>
      <c r="P663" s="409" t="s">
        <v>570</v>
      </c>
      <c r="Q663" s="179"/>
      <c r="R663" s="179"/>
      <c r="S663" s="179"/>
      <c r="T663" s="500" t="e">
        <f>_xlfn.XLOOKUP(H663,#REF!,#REF!,0,0)</f>
        <v>#REF!</v>
      </c>
    </row>
    <row r="664" spans="1:20" x14ac:dyDescent="0.4">
      <c r="A664" s="129" t="s">
        <v>570</v>
      </c>
      <c r="B664" s="129" t="s">
        <v>2598</v>
      </c>
      <c r="C664" s="129"/>
      <c r="D664" s="129" t="s">
        <v>767</v>
      </c>
      <c r="E664" s="130">
        <v>43193</v>
      </c>
      <c r="F664" s="129" t="s">
        <v>567</v>
      </c>
      <c r="G664" s="130" t="s">
        <v>2516</v>
      </c>
      <c r="H664" s="130">
        <v>43144</v>
      </c>
      <c r="I664" s="129" t="s">
        <v>78</v>
      </c>
      <c r="J664" s="129">
        <v>65735</v>
      </c>
      <c r="K664" s="130" t="s">
        <v>2599</v>
      </c>
      <c r="L664" s="129" t="s">
        <v>570</v>
      </c>
      <c r="M664" s="129" t="s">
        <v>570</v>
      </c>
      <c r="N664" s="129" t="s">
        <v>570</v>
      </c>
      <c r="O664" s="129" t="s">
        <v>570</v>
      </c>
      <c r="P664" s="409" t="s">
        <v>570</v>
      </c>
      <c r="Q664" s="179"/>
      <c r="R664" s="179"/>
      <c r="S664" s="179"/>
      <c r="T664" s="500" t="e">
        <f>_xlfn.XLOOKUP(H664,#REF!,#REF!,0,0)</f>
        <v>#REF!</v>
      </c>
    </row>
    <row r="665" spans="1:20" x14ac:dyDescent="0.4">
      <c r="A665" s="129" t="s">
        <v>570</v>
      </c>
      <c r="B665" s="129" t="s">
        <v>2600</v>
      </c>
      <c r="C665" s="129"/>
      <c r="D665" s="129" t="s">
        <v>767</v>
      </c>
      <c r="E665" s="130"/>
      <c r="F665" s="129" t="s">
        <v>567</v>
      </c>
      <c r="G665" s="130" t="s">
        <v>2516</v>
      </c>
      <c r="H665" s="130">
        <v>43144</v>
      </c>
      <c r="I665" s="129" t="s">
        <v>2601</v>
      </c>
      <c r="J665" s="129">
        <v>65754</v>
      </c>
      <c r="K665" s="130" t="s">
        <v>2602</v>
      </c>
      <c r="L665" s="129" t="s">
        <v>570</v>
      </c>
      <c r="M665" s="129" t="s">
        <v>570</v>
      </c>
      <c r="N665" s="129" t="s">
        <v>570</v>
      </c>
      <c r="O665" s="129" t="s">
        <v>570</v>
      </c>
      <c r="P665" s="409" t="s">
        <v>570</v>
      </c>
      <c r="Q665" s="179"/>
      <c r="R665" s="179"/>
      <c r="S665" s="179"/>
      <c r="T665" s="500" t="e">
        <f>_xlfn.XLOOKUP(H665,#REF!,#REF!,0,0)</f>
        <v>#REF!</v>
      </c>
    </row>
    <row r="666" spans="1:20" x14ac:dyDescent="0.4">
      <c r="A666" s="129" t="s">
        <v>570</v>
      </c>
      <c r="B666" s="129" t="s">
        <v>2603</v>
      </c>
      <c r="C666" s="129"/>
      <c r="D666" s="129" t="s">
        <v>767</v>
      </c>
      <c r="E666" s="130"/>
      <c r="F666" s="129" t="s">
        <v>567</v>
      </c>
      <c r="G666" s="130" t="s">
        <v>2516</v>
      </c>
      <c r="H666" s="130">
        <v>42746</v>
      </c>
      <c r="I666" s="129" t="s">
        <v>2220</v>
      </c>
      <c r="J666" s="129">
        <v>64577</v>
      </c>
      <c r="K666" s="130" t="s">
        <v>2604</v>
      </c>
      <c r="L666" s="129" t="s">
        <v>570</v>
      </c>
      <c r="M666" s="129" t="s">
        <v>570</v>
      </c>
      <c r="N666" s="129"/>
      <c r="O666" s="129" t="s">
        <v>570</v>
      </c>
      <c r="P666" s="409" t="s">
        <v>570</v>
      </c>
      <c r="Q666" s="179"/>
      <c r="R666" s="179"/>
      <c r="S666" s="179"/>
      <c r="T666" s="500" t="e">
        <f>_xlfn.XLOOKUP(H666,#REF!,#REF!,0,0)</f>
        <v>#REF!</v>
      </c>
    </row>
    <row r="667" spans="1:20" x14ac:dyDescent="0.4">
      <c r="A667" s="129" t="s">
        <v>570</v>
      </c>
      <c r="B667" s="129" t="s">
        <v>2605</v>
      </c>
      <c r="C667" s="129"/>
      <c r="D667" s="129" t="s">
        <v>767</v>
      </c>
      <c r="E667" s="130"/>
      <c r="F667" s="129" t="s">
        <v>567</v>
      </c>
      <c r="G667" s="130" t="s">
        <v>2516</v>
      </c>
      <c r="H667" s="130">
        <v>43144</v>
      </c>
      <c r="I667" s="129" t="s">
        <v>95</v>
      </c>
      <c r="J667" s="129">
        <v>65764</v>
      </c>
      <c r="K667" s="130" t="s">
        <v>2606</v>
      </c>
      <c r="L667" s="129" t="s">
        <v>570</v>
      </c>
      <c r="M667" s="129" t="s">
        <v>570</v>
      </c>
      <c r="N667" s="129" t="s">
        <v>570</v>
      </c>
      <c r="O667" s="129" t="s">
        <v>570</v>
      </c>
      <c r="P667" s="409" t="s">
        <v>570</v>
      </c>
      <c r="Q667" s="179"/>
      <c r="R667" s="179"/>
      <c r="S667" s="179"/>
      <c r="T667" s="500" t="e">
        <f>_xlfn.XLOOKUP(H667,#REF!,#REF!,0,0)</f>
        <v>#REF!</v>
      </c>
    </row>
    <row r="668" spans="1:20" x14ac:dyDescent="0.4">
      <c r="A668" s="129" t="s">
        <v>570</v>
      </c>
      <c r="B668" s="129" t="s">
        <v>2607</v>
      </c>
      <c r="C668" s="129"/>
      <c r="D668" s="129" t="s">
        <v>2215</v>
      </c>
      <c r="E668" s="130"/>
      <c r="F668" s="129" t="s">
        <v>567</v>
      </c>
      <c r="G668" s="130" t="s">
        <v>2608</v>
      </c>
      <c r="H668" s="130">
        <v>42552</v>
      </c>
      <c r="I668" s="129" t="s">
        <v>2185</v>
      </c>
      <c r="J668" s="129">
        <v>63873</v>
      </c>
      <c r="K668" s="130" t="s">
        <v>2609</v>
      </c>
      <c r="L668" s="129" t="s">
        <v>570</v>
      </c>
      <c r="M668" s="129" t="s">
        <v>570</v>
      </c>
      <c r="N668" s="129" t="s">
        <v>570</v>
      </c>
      <c r="O668" s="129" t="s">
        <v>570</v>
      </c>
      <c r="P668" s="409" t="s">
        <v>570</v>
      </c>
      <c r="Q668" s="179"/>
      <c r="R668" s="179"/>
      <c r="S668" s="179"/>
      <c r="T668" s="500" t="e">
        <f>_xlfn.XLOOKUP(H668,#REF!,#REF!,0,0)</f>
        <v>#REF!</v>
      </c>
    </row>
    <row r="669" spans="1:20" x14ac:dyDescent="0.4">
      <c r="A669" s="129" t="s">
        <v>570</v>
      </c>
      <c r="B669" s="129" t="s">
        <v>2610</v>
      </c>
      <c r="C669" s="129"/>
      <c r="D669" s="129" t="s">
        <v>767</v>
      </c>
      <c r="E669" s="130">
        <v>43206</v>
      </c>
      <c r="F669" s="129" t="s">
        <v>567</v>
      </c>
      <c r="G669" s="130" t="s">
        <v>2516</v>
      </c>
      <c r="H669" s="130">
        <v>43144</v>
      </c>
      <c r="I669" s="129" t="s">
        <v>79</v>
      </c>
      <c r="J669" s="129">
        <v>65738</v>
      </c>
      <c r="K669" s="130" t="s">
        <v>2611</v>
      </c>
      <c r="L669" s="129" t="s">
        <v>570</v>
      </c>
      <c r="M669" s="129" t="s">
        <v>570</v>
      </c>
      <c r="N669" s="129" t="s">
        <v>570</v>
      </c>
      <c r="O669" s="129" t="s">
        <v>570</v>
      </c>
      <c r="P669" s="409" t="s">
        <v>570</v>
      </c>
      <c r="Q669" s="179"/>
      <c r="R669" s="179"/>
      <c r="S669" s="179"/>
      <c r="T669" s="500" t="e">
        <f>_xlfn.XLOOKUP(H669,#REF!,#REF!,0,0)</f>
        <v>#REF!</v>
      </c>
    </row>
    <row r="670" spans="1:20" x14ac:dyDescent="0.4">
      <c r="A670" s="129" t="s">
        <v>570</v>
      </c>
      <c r="B670" s="129" t="s">
        <v>2612</v>
      </c>
      <c r="C670" s="129"/>
      <c r="D670" s="129" t="s">
        <v>767</v>
      </c>
      <c r="E670" s="130">
        <v>43206</v>
      </c>
      <c r="F670" s="129" t="s">
        <v>567</v>
      </c>
      <c r="G670" s="130" t="s">
        <v>2516</v>
      </c>
      <c r="H670" s="130">
        <v>43144</v>
      </c>
      <c r="I670" s="129" t="s">
        <v>2613</v>
      </c>
      <c r="J670" s="129">
        <v>65739</v>
      </c>
      <c r="K670" s="130" t="s">
        <v>2614</v>
      </c>
      <c r="L670" s="129" t="s">
        <v>570</v>
      </c>
      <c r="M670" s="129" t="s">
        <v>570</v>
      </c>
      <c r="N670" s="129" t="s">
        <v>570</v>
      </c>
      <c r="O670" s="129" t="s">
        <v>570</v>
      </c>
      <c r="P670" s="409" t="s">
        <v>570</v>
      </c>
      <c r="Q670" s="179"/>
      <c r="R670" s="179"/>
      <c r="S670" s="179"/>
      <c r="T670" s="500" t="e">
        <f>_xlfn.XLOOKUP(H670,#REF!,#REF!,0,0)</f>
        <v>#REF!</v>
      </c>
    </row>
    <row r="671" spans="1:20" x14ac:dyDescent="0.4">
      <c r="A671" s="129" t="s">
        <v>570</v>
      </c>
      <c r="B671" s="129" t="s">
        <v>2615</v>
      </c>
      <c r="C671" s="129"/>
      <c r="D671" s="129" t="s">
        <v>767</v>
      </c>
      <c r="E671" s="130"/>
      <c r="F671" s="129" t="s">
        <v>567</v>
      </c>
      <c r="G671" s="130" t="s">
        <v>2516</v>
      </c>
      <c r="H671" s="130">
        <v>43144</v>
      </c>
      <c r="I671" s="129" t="s">
        <v>80</v>
      </c>
      <c r="J671" s="129">
        <v>65740</v>
      </c>
      <c r="K671" s="130" t="s">
        <v>2616</v>
      </c>
      <c r="L671" s="129" t="s">
        <v>570</v>
      </c>
      <c r="M671" s="129" t="s">
        <v>570</v>
      </c>
      <c r="N671" s="129" t="s">
        <v>570</v>
      </c>
      <c r="O671" s="129" t="s">
        <v>570</v>
      </c>
      <c r="P671" s="409" t="s">
        <v>570</v>
      </c>
      <c r="Q671" s="179"/>
      <c r="R671" s="179"/>
      <c r="S671" s="179"/>
      <c r="T671" s="500" t="e">
        <f>_xlfn.XLOOKUP(H671,#REF!,#REF!,0,0)</f>
        <v>#REF!</v>
      </c>
    </row>
    <row r="672" spans="1:20" x14ac:dyDescent="0.4">
      <c r="A672" s="129" t="s">
        <v>570</v>
      </c>
      <c r="B672" s="129" t="s">
        <v>2617</v>
      </c>
      <c r="C672" s="129"/>
      <c r="D672" s="129" t="s">
        <v>767</v>
      </c>
      <c r="E672" s="130"/>
      <c r="F672" s="129" t="s">
        <v>567</v>
      </c>
      <c r="G672" s="130" t="s">
        <v>2516</v>
      </c>
      <c r="H672" s="130">
        <v>43144</v>
      </c>
      <c r="I672" s="129" t="s">
        <v>81</v>
      </c>
      <c r="J672" s="129">
        <v>65741</v>
      </c>
      <c r="K672" s="130" t="s">
        <v>2618</v>
      </c>
      <c r="L672" s="129" t="s">
        <v>570</v>
      </c>
      <c r="M672" s="129" t="s">
        <v>570</v>
      </c>
      <c r="N672" s="129" t="s">
        <v>570</v>
      </c>
      <c r="O672" s="129" t="s">
        <v>570</v>
      </c>
      <c r="P672" s="409" t="s">
        <v>570</v>
      </c>
      <c r="Q672" s="179"/>
      <c r="R672" s="179"/>
      <c r="S672" s="179"/>
      <c r="T672" s="500" t="e">
        <f>_xlfn.XLOOKUP(H672,#REF!,#REF!,0,0)</f>
        <v>#REF!</v>
      </c>
    </row>
    <row r="673" spans="1:20" x14ac:dyDescent="0.4">
      <c r="A673" s="129" t="s">
        <v>570</v>
      </c>
      <c r="B673" s="129" t="s">
        <v>2619</v>
      </c>
      <c r="C673" s="129"/>
      <c r="D673" s="129" t="s">
        <v>767</v>
      </c>
      <c r="E673" s="130"/>
      <c r="F673" s="129" t="s">
        <v>567</v>
      </c>
      <c r="G673" s="130" t="s">
        <v>2516</v>
      </c>
      <c r="H673" s="130">
        <v>43144</v>
      </c>
      <c r="I673" s="129" t="s">
        <v>83</v>
      </c>
      <c r="J673" s="129">
        <v>65743</v>
      </c>
      <c r="K673" s="130" t="s">
        <v>2620</v>
      </c>
      <c r="L673" s="129" t="s">
        <v>570</v>
      </c>
      <c r="M673" s="129" t="s">
        <v>570</v>
      </c>
      <c r="N673" s="129" t="s">
        <v>570</v>
      </c>
      <c r="O673" s="129" t="s">
        <v>570</v>
      </c>
      <c r="P673" s="409" t="s">
        <v>570</v>
      </c>
      <c r="Q673" s="179"/>
      <c r="R673" s="179"/>
      <c r="S673" s="179"/>
      <c r="T673" s="500" t="e">
        <f>_xlfn.XLOOKUP(H673,#REF!,#REF!,0,0)</f>
        <v>#REF!</v>
      </c>
    </row>
    <row r="674" spans="1:20" x14ac:dyDescent="0.4">
      <c r="A674" s="129" t="s">
        <v>570</v>
      </c>
      <c r="B674" s="129" t="s">
        <v>2621</v>
      </c>
      <c r="C674" s="129"/>
      <c r="D674" s="129" t="s">
        <v>767</v>
      </c>
      <c r="E674" s="130"/>
      <c r="F674" s="129" t="s">
        <v>567</v>
      </c>
      <c r="G674" s="130" t="s">
        <v>2516</v>
      </c>
      <c r="H674" s="130">
        <v>43144</v>
      </c>
      <c r="I674" s="129" t="s">
        <v>82</v>
      </c>
      <c r="J674" s="129">
        <v>65742</v>
      </c>
      <c r="K674" s="130" t="s">
        <v>2622</v>
      </c>
      <c r="L674" s="129" t="s">
        <v>570</v>
      </c>
      <c r="M674" s="129" t="s">
        <v>570</v>
      </c>
      <c r="N674" s="129" t="s">
        <v>570</v>
      </c>
      <c r="O674" s="129" t="s">
        <v>570</v>
      </c>
      <c r="P674" s="409" t="s">
        <v>570</v>
      </c>
      <c r="Q674" s="179"/>
      <c r="R674" s="179"/>
      <c r="S674" s="179"/>
      <c r="T674" s="500" t="e">
        <f>_xlfn.XLOOKUP(H674,#REF!,#REF!,0,0)</f>
        <v>#REF!</v>
      </c>
    </row>
    <row r="675" spans="1:20" x14ac:dyDescent="0.4">
      <c r="A675" s="129" t="s">
        <v>570</v>
      </c>
      <c r="B675" s="129" t="s">
        <v>2623</v>
      </c>
      <c r="C675" s="129"/>
      <c r="D675" s="129" t="s">
        <v>767</v>
      </c>
      <c r="E675" s="130">
        <v>43222</v>
      </c>
      <c r="F675" s="129" t="s">
        <v>567</v>
      </c>
      <c r="G675" s="130" t="s">
        <v>2516</v>
      </c>
      <c r="H675" s="130">
        <v>43144</v>
      </c>
      <c r="I675" s="129" t="s">
        <v>84</v>
      </c>
      <c r="J675" s="129">
        <v>65744</v>
      </c>
      <c r="K675" s="130" t="s">
        <v>2624</v>
      </c>
      <c r="L675" s="129" t="s">
        <v>570</v>
      </c>
      <c r="M675" s="129" t="s">
        <v>570</v>
      </c>
      <c r="N675" s="129" t="s">
        <v>570</v>
      </c>
      <c r="O675" s="129" t="s">
        <v>570</v>
      </c>
      <c r="P675" s="409" t="s">
        <v>570</v>
      </c>
      <c r="Q675" s="179"/>
      <c r="R675" s="179"/>
      <c r="S675" s="179"/>
      <c r="T675" s="500" t="e">
        <f>_xlfn.XLOOKUP(H675,#REF!,#REF!,0,0)</f>
        <v>#REF!</v>
      </c>
    </row>
    <row r="676" spans="1:20" x14ac:dyDescent="0.4">
      <c r="A676" s="129" t="s">
        <v>570</v>
      </c>
      <c r="B676" s="129" t="s">
        <v>2625</v>
      </c>
      <c r="C676" s="129"/>
      <c r="D676" s="129" t="s">
        <v>767</v>
      </c>
      <c r="E676" s="130">
        <v>43222</v>
      </c>
      <c r="F676" s="129" t="s">
        <v>567</v>
      </c>
      <c r="G676" s="130" t="s">
        <v>2516</v>
      </c>
      <c r="H676" s="130">
        <v>43144</v>
      </c>
      <c r="I676" s="129" t="s">
        <v>85</v>
      </c>
      <c r="J676" s="129">
        <v>65745</v>
      </c>
      <c r="K676" s="130" t="s">
        <v>2626</v>
      </c>
      <c r="L676" s="129" t="s">
        <v>570</v>
      </c>
      <c r="M676" s="129" t="s">
        <v>570</v>
      </c>
      <c r="N676" s="129" t="s">
        <v>570</v>
      </c>
      <c r="O676" s="129" t="s">
        <v>570</v>
      </c>
      <c r="P676" s="409" t="s">
        <v>570</v>
      </c>
      <c r="Q676" s="179"/>
      <c r="R676" s="179"/>
      <c r="S676" s="179"/>
      <c r="T676" s="500" t="e">
        <f>_xlfn.XLOOKUP(H676,#REF!,#REF!,0,0)</f>
        <v>#REF!</v>
      </c>
    </row>
    <row r="677" spans="1:20" x14ac:dyDescent="0.4">
      <c r="A677" s="129" t="s">
        <v>570</v>
      </c>
      <c r="B677" s="129" t="s">
        <v>2627</v>
      </c>
      <c r="C677" s="129"/>
      <c r="D677" s="129" t="s">
        <v>767</v>
      </c>
      <c r="E677" s="130"/>
      <c r="F677" s="129" t="s">
        <v>567</v>
      </c>
      <c r="G677" s="130" t="s">
        <v>2516</v>
      </c>
      <c r="H677" s="130">
        <v>43144</v>
      </c>
      <c r="I677" s="129" t="s">
        <v>89</v>
      </c>
      <c r="J677" s="129">
        <v>65751</v>
      </c>
      <c r="K677" s="130" t="s">
        <v>2628</v>
      </c>
      <c r="L677" s="129" t="s">
        <v>570</v>
      </c>
      <c r="M677" s="129" t="s">
        <v>570</v>
      </c>
      <c r="N677" s="129" t="s">
        <v>570</v>
      </c>
      <c r="O677" s="129" t="s">
        <v>570</v>
      </c>
      <c r="P677" s="409" t="s">
        <v>570</v>
      </c>
      <c r="Q677" s="179"/>
      <c r="R677" s="179"/>
      <c r="S677" s="179"/>
      <c r="T677" s="500" t="e">
        <f>_xlfn.XLOOKUP(H677,#REF!,#REF!,0,0)</f>
        <v>#REF!</v>
      </c>
    </row>
    <row r="678" spans="1:20" x14ac:dyDescent="0.4">
      <c r="A678" s="129" t="s">
        <v>570</v>
      </c>
      <c r="B678" s="129" t="s">
        <v>2629</v>
      </c>
      <c r="C678" s="129"/>
      <c r="D678" s="129" t="s">
        <v>767</v>
      </c>
      <c r="E678" s="130"/>
      <c r="F678" s="129" t="s">
        <v>567</v>
      </c>
      <c r="G678" s="130" t="s">
        <v>2516</v>
      </c>
      <c r="H678" s="130">
        <v>42881</v>
      </c>
      <c r="I678" s="129" t="s">
        <v>2326</v>
      </c>
      <c r="J678" s="129">
        <v>64923</v>
      </c>
      <c r="K678" s="130" t="s">
        <v>2327</v>
      </c>
      <c r="L678" s="129" t="s">
        <v>570</v>
      </c>
      <c r="M678" s="129" t="s">
        <v>570</v>
      </c>
      <c r="N678" s="129" t="s">
        <v>570</v>
      </c>
      <c r="O678" s="129" t="s">
        <v>570</v>
      </c>
      <c r="P678" s="409" t="s">
        <v>570</v>
      </c>
      <c r="Q678" s="179"/>
      <c r="R678" s="179"/>
      <c r="S678" s="179"/>
      <c r="T678" s="500" t="e">
        <f>_xlfn.XLOOKUP(H678,#REF!,#REF!,0,0)</f>
        <v>#REF!</v>
      </c>
    </row>
    <row r="679" spans="1:20" x14ac:dyDescent="0.4">
      <c r="A679" s="129" t="s">
        <v>570</v>
      </c>
      <c r="B679" s="129" t="s">
        <v>2630</v>
      </c>
      <c r="C679" s="129"/>
      <c r="D679" s="129" t="s">
        <v>767</v>
      </c>
      <c r="E679" s="130">
        <v>43221</v>
      </c>
      <c r="F679" s="129" t="s">
        <v>567</v>
      </c>
      <c r="G679" s="130" t="s">
        <v>2516</v>
      </c>
      <c r="H679" s="130">
        <v>43144</v>
      </c>
      <c r="I679" s="129" t="s">
        <v>88</v>
      </c>
      <c r="J679" s="129">
        <v>65750</v>
      </c>
      <c r="K679" s="130" t="s">
        <v>2631</v>
      </c>
      <c r="L679" s="129" t="s">
        <v>570</v>
      </c>
      <c r="M679" s="129" t="s">
        <v>570</v>
      </c>
      <c r="N679" s="129" t="s">
        <v>570</v>
      </c>
      <c r="O679" s="129" t="s">
        <v>570</v>
      </c>
      <c r="P679" s="409" t="s">
        <v>570</v>
      </c>
      <c r="Q679" s="179"/>
      <c r="R679" s="179"/>
      <c r="S679" s="179"/>
      <c r="T679" s="500" t="e">
        <f>_xlfn.XLOOKUP(H679,#REF!,#REF!,0,0)</f>
        <v>#REF!</v>
      </c>
    </row>
    <row r="680" spans="1:20" x14ac:dyDescent="0.4">
      <c r="A680" s="129" t="s">
        <v>570</v>
      </c>
      <c r="B680" s="129" t="s">
        <v>2632</v>
      </c>
      <c r="C680" s="129"/>
      <c r="D680" s="129" t="s">
        <v>767</v>
      </c>
      <c r="E680" s="130"/>
      <c r="F680" s="129" t="s">
        <v>567</v>
      </c>
      <c r="G680" s="130" t="s">
        <v>2516</v>
      </c>
      <c r="H680" s="130">
        <v>43194</v>
      </c>
      <c r="I680" s="129" t="s">
        <v>100</v>
      </c>
      <c r="J680" s="129">
        <v>65938</v>
      </c>
      <c r="K680" s="130" t="s">
        <v>2633</v>
      </c>
      <c r="L680" s="129" t="s">
        <v>570</v>
      </c>
      <c r="M680" s="129" t="s">
        <v>570</v>
      </c>
      <c r="N680" s="129" t="s">
        <v>570</v>
      </c>
      <c r="O680" s="129" t="s">
        <v>570</v>
      </c>
      <c r="P680" s="409" t="s">
        <v>570</v>
      </c>
      <c r="Q680" s="179"/>
      <c r="R680" s="179"/>
      <c r="S680" s="179"/>
      <c r="T680" s="500" t="e">
        <f>_xlfn.XLOOKUP(H680,#REF!,#REF!,0,0)</f>
        <v>#REF!</v>
      </c>
    </row>
    <row r="681" spans="1:20" x14ac:dyDescent="0.4">
      <c r="A681" s="129" t="s">
        <v>570</v>
      </c>
      <c r="B681" s="129" t="s">
        <v>2634</v>
      </c>
      <c r="C681" s="129"/>
      <c r="D681" s="129" t="s">
        <v>767</v>
      </c>
      <c r="E681" s="130"/>
      <c r="F681" s="129" t="s">
        <v>567</v>
      </c>
      <c r="G681" s="130" t="s">
        <v>2516</v>
      </c>
      <c r="H681" s="130">
        <v>43194</v>
      </c>
      <c r="I681" s="129" t="s">
        <v>2635</v>
      </c>
      <c r="J681" s="129">
        <v>65936</v>
      </c>
      <c r="K681" s="130" t="s">
        <v>2636</v>
      </c>
      <c r="L681" s="129" t="s">
        <v>570</v>
      </c>
      <c r="M681" s="129"/>
      <c r="N681" s="129" t="s">
        <v>570</v>
      </c>
      <c r="O681" s="129" t="s">
        <v>570</v>
      </c>
      <c r="P681" s="409" t="s">
        <v>570</v>
      </c>
      <c r="Q681" s="179"/>
      <c r="R681" s="179"/>
      <c r="S681" s="179"/>
      <c r="T681" s="500" t="e">
        <f>_xlfn.XLOOKUP(H681,#REF!,#REF!,0,0)</f>
        <v>#REF!</v>
      </c>
    </row>
    <row r="682" spans="1:20" x14ac:dyDescent="0.4">
      <c r="A682" s="129" t="s">
        <v>570</v>
      </c>
      <c r="B682" s="129" t="s">
        <v>2637</v>
      </c>
      <c r="C682" s="129"/>
      <c r="D682" s="129" t="s">
        <v>767</v>
      </c>
      <c r="E682" s="130"/>
      <c r="F682" s="129" t="s">
        <v>567</v>
      </c>
      <c r="G682" s="130" t="s">
        <v>2516</v>
      </c>
      <c r="H682" s="130">
        <v>43194</v>
      </c>
      <c r="I682" s="129" t="s">
        <v>99</v>
      </c>
      <c r="J682" s="129">
        <v>65937</v>
      </c>
      <c r="K682" s="130" t="s">
        <v>2638</v>
      </c>
      <c r="L682" s="129" t="s">
        <v>570</v>
      </c>
      <c r="M682" s="129" t="s">
        <v>570</v>
      </c>
      <c r="N682" s="129" t="s">
        <v>570</v>
      </c>
      <c r="O682" s="129" t="s">
        <v>570</v>
      </c>
      <c r="P682" s="409" t="s">
        <v>570</v>
      </c>
      <c r="Q682" s="179"/>
      <c r="R682" s="179"/>
      <c r="S682" s="179"/>
      <c r="T682" s="500" t="e">
        <f>_xlfn.XLOOKUP(H682,#REF!,#REF!,0,0)</f>
        <v>#REF!</v>
      </c>
    </row>
    <row r="683" spans="1:20" x14ac:dyDescent="0.4">
      <c r="A683" s="129" t="s">
        <v>570</v>
      </c>
      <c r="B683" s="129" t="s">
        <v>2639</v>
      </c>
      <c r="C683" s="129"/>
      <c r="D683" s="129" t="s">
        <v>767</v>
      </c>
      <c r="E683" s="130"/>
      <c r="F683" s="129" t="s">
        <v>567</v>
      </c>
      <c r="G683" s="130" t="s">
        <v>2516</v>
      </c>
      <c r="H683" s="130">
        <v>43144</v>
      </c>
      <c r="I683" s="129" t="s">
        <v>86</v>
      </c>
      <c r="J683" s="129">
        <v>65747</v>
      </c>
      <c r="K683" s="130" t="s">
        <v>2640</v>
      </c>
      <c r="L683" s="129" t="s">
        <v>570</v>
      </c>
      <c r="M683" s="129" t="s">
        <v>570</v>
      </c>
      <c r="N683" s="129" t="s">
        <v>570</v>
      </c>
      <c r="O683" s="129" t="s">
        <v>570</v>
      </c>
      <c r="P683" s="409" t="s">
        <v>570</v>
      </c>
      <c r="Q683" s="179"/>
      <c r="R683" s="179"/>
      <c r="S683" s="179"/>
      <c r="T683" s="500" t="e">
        <f>_xlfn.XLOOKUP(H683,#REF!,#REF!,0,0)</f>
        <v>#REF!</v>
      </c>
    </row>
    <row r="684" spans="1:20" x14ac:dyDescent="0.4">
      <c r="A684" s="129" t="s">
        <v>570</v>
      </c>
      <c r="B684" s="129" t="s">
        <v>2641</v>
      </c>
      <c r="C684" s="129"/>
      <c r="D684" s="129" t="s">
        <v>767</v>
      </c>
      <c r="E684" s="130"/>
      <c r="F684" s="129" t="s">
        <v>567</v>
      </c>
      <c r="G684" s="130" t="s">
        <v>2516</v>
      </c>
      <c r="H684" s="130">
        <v>43194</v>
      </c>
      <c r="I684" s="129" t="s">
        <v>101</v>
      </c>
      <c r="J684" s="129">
        <v>65940</v>
      </c>
      <c r="K684" s="130" t="s">
        <v>2642</v>
      </c>
      <c r="L684" s="129" t="s">
        <v>570</v>
      </c>
      <c r="M684" s="129" t="s">
        <v>570</v>
      </c>
      <c r="N684" s="129" t="s">
        <v>570</v>
      </c>
      <c r="O684" s="129" t="s">
        <v>570</v>
      </c>
      <c r="P684" s="409" t="s">
        <v>570</v>
      </c>
      <c r="Q684" s="179"/>
      <c r="R684" s="179"/>
      <c r="S684" s="179"/>
      <c r="T684" s="500" t="e">
        <f>_xlfn.XLOOKUP(H684,#REF!,#REF!,0,0)</f>
        <v>#REF!</v>
      </c>
    </row>
    <row r="685" spans="1:20" x14ac:dyDescent="0.4">
      <c r="A685" s="129" t="s">
        <v>570</v>
      </c>
      <c r="B685" s="129" t="s">
        <v>2643</v>
      </c>
      <c r="C685" s="129"/>
      <c r="D685" s="129" t="s">
        <v>767</v>
      </c>
      <c r="E685" s="130"/>
      <c r="F685" s="129" t="s">
        <v>567</v>
      </c>
      <c r="G685" s="130" t="s">
        <v>2516</v>
      </c>
      <c r="H685" s="130">
        <v>43194</v>
      </c>
      <c r="I685" s="129" t="s">
        <v>2644</v>
      </c>
      <c r="J685" s="129">
        <v>65939</v>
      </c>
      <c r="K685" s="130" t="s">
        <v>2645</v>
      </c>
      <c r="L685" s="129" t="s">
        <v>570</v>
      </c>
      <c r="M685" s="129" t="s">
        <v>570</v>
      </c>
      <c r="N685" s="129" t="s">
        <v>570</v>
      </c>
      <c r="O685" s="129" t="s">
        <v>570</v>
      </c>
      <c r="P685" s="409" t="s">
        <v>570</v>
      </c>
      <c r="Q685" s="179"/>
      <c r="R685" s="179"/>
      <c r="S685" s="179"/>
      <c r="T685" s="500" t="e">
        <f>_xlfn.XLOOKUP(H685,#REF!,#REF!,0,0)</f>
        <v>#REF!</v>
      </c>
    </row>
    <row r="686" spans="1:20" x14ac:dyDescent="0.4">
      <c r="A686" s="129" t="s">
        <v>570</v>
      </c>
      <c r="B686" s="129" t="s">
        <v>2646</v>
      </c>
      <c r="C686" s="129"/>
      <c r="D686" s="129" t="s">
        <v>767</v>
      </c>
      <c r="E686" s="130"/>
      <c r="F686" s="129" t="s">
        <v>567</v>
      </c>
      <c r="G686" s="130" t="s">
        <v>2516</v>
      </c>
      <c r="H686" s="130">
        <v>43144</v>
      </c>
      <c r="I686" s="129" t="s">
        <v>87</v>
      </c>
      <c r="J686" s="129">
        <v>65749</v>
      </c>
      <c r="K686" s="130" t="s">
        <v>2647</v>
      </c>
      <c r="L686" s="129" t="s">
        <v>570</v>
      </c>
      <c r="M686" s="129" t="s">
        <v>570</v>
      </c>
      <c r="N686" s="129" t="s">
        <v>570</v>
      </c>
      <c r="O686" s="129" t="s">
        <v>570</v>
      </c>
      <c r="P686" s="409" t="s">
        <v>570</v>
      </c>
      <c r="Q686" s="179"/>
      <c r="R686" s="179"/>
      <c r="S686" s="179"/>
      <c r="T686" s="500" t="e">
        <f>_xlfn.XLOOKUP(H686,#REF!,#REF!,0,0)</f>
        <v>#REF!</v>
      </c>
    </row>
    <row r="687" spans="1:20" x14ac:dyDescent="0.4">
      <c r="A687" s="129" t="s">
        <v>570</v>
      </c>
      <c r="B687" s="129" t="s">
        <v>2648</v>
      </c>
      <c r="C687" s="129"/>
      <c r="D687" s="129" t="s">
        <v>767</v>
      </c>
      <c r="E687" s="130"/>
      <c r="F687" s="129" t="s">
        <v>567</v>
      </c>
      <c r="G687" s="130" t="s">
        <v>2516</v>
      </c>
      <c r="H687" s="130">
        <v>43144</v>
      </c>
      <c r="I687" s="129" t="s">
        <v>2649</v>
      </c>
      <c r="J687" s="129">
        <v>65748</v>
      </c>
      <c r="K687" s="130" t="s">
        <v>2650</v>
      </c>
      <c r="L687" s="129" t="s">
        <v>570</v>
      </c>
      <c r="M687" s="129"/>
      <c r="N687" s="129" t="s">
        <v>570</v>
      </c>
      <c r="O687" s="129" t="s">
        <v>570</v>
      </c>
      <c r="P687" s="409" t="s">
        <v>570</v>
      </c>
      <c r="Q687" s="179"/>
      <c r="R687" s="179"/>
      <c r="S687" s="179"/>
      <c r="T687" s="500" t="e">
        <f>_xlfn.XLOOKUP(H687,#REF!,#REF!,0,0)</f>
        <v>#REF!</v>
      </c>
    </row>
    <row r="688" spans="1:20" x14ac:dyDescent="0.4">
      <c r="A688" s="129" t="s">
        <v>570</v>
      </c>
      <c r="B688" s="129" t="s">
        <v>2651</v>
      </c>
      <c r="C688" s="129"/>
      <c r="D688" s="129" t="s">
        <v>767</v>
      </c>
      <c r="E688" s="130"/>
      <c r="F688" s="129" t="s">
        <v>567</v>
      </c>
      <c r="G688" s="130" t="s">
        <v>2516</v>
      </c>
      <c r="H688" s="130">
        <v>43144</v>
      </c>
      <c r="I688" s="129" t="s">
        <v>90</v>
      </c>
      <c r="J688" s="129">
        <v>65752</v>
      </c>
      <c r="K688" s="130" t="s">
        <v>2652</v>
      </c>
      <c r="L688" s="129" t="s">
        <v>570</v>
      </c>
      <c r="M688" s="129" t="s">
        <v>570</v>
      </c>
      <c r="N688" s="129" t="s">
        <v>570</v>
      </c>
      <c r="O688" s="129" t="s">
        <v>570</v>
      </c>
      <c r="P688" s="409" t="s">
        <v>570</v>
      </c>
      <c r="Q688" s="179"/>
      <c r="R688" s="179"/>
      <c r="S688" s="179"/>
      <c r="T688" s="500" t="e">
        <f>_xlfn.XLOOKUP(H688,#REF!,#REF!,0,0)</f>
        <v>#REF!</v>
      </c>
    </row>
    <row r="689" spans="1:20" x14ac:dyDescent="0.4">
      <c r="A689" s="129" t="s">
        <v>570</v>
      </c>
      <c r="B689" s="129" t="s">
        <v>2653</v>
      </c>
      <c r="C689" s="129"/>
      <c r="D689" s="129" t="s">
        <v>767</v>
      </c>
      <c r="E689" s="130"/>
      <c r="F689" s="129" t="s">
        <v>567</v>
      </c>
      <c r="G689" s="130" t="s">
        <v>2516</v>
      </c>
      <c r="H689" s="130">
        <v>43144</v>
      </c>
      <c r="I689" s="129" t="s">
        <v>91</v>
      </c>
      <c r="J689" s="129">
        <v>65753</v>
      </c>
      <c r="K689" s="130" t="s">
        <v>2654</v>
      </c>
      <c r="L689" s="129" t="s">
        <v>570</v>
      </c>
      <c r="M689" s="129" t="s">
        <v>570</v>
      </c>
      <c r="N689" s="129" t="s">
        <v>570</v>
      </c>
      <c r="O689" s="129" t="s">
        <v>570</v>
      </c>
      <c r="P689" s="409" t="s">
        <v>570</v>
      </c>
      <c r="Q689" s="179"/>
      <c r="R689" s="179"/>
      <c r="S689" s="179"/>
      <c r="T689" s="500" t="e">
        <f>_xlfn.XLOOKUP(H689,#REF!,#REF!,0,0)</f>
        <v>#REF!</v>
      </c>
    </row>
    <row r="690" spans="1:20" x14ac:dyDescent="0.4">
      <c r="A690" s="129" t="s">
        <v>570</v>
      </c>
      <c r="B690" s="129" t="s">
        <v>2655</v>
      </c>
      <c r="C690" s="129"/>
      <c r="D690" s="129" t="s">
        <v>767</v>
      </c>
      <c r="E690" s="130"/>
      <c r="F690" s="129" t="s">
        <v>567</v>
      </c>
      <c r="G690" s="130" t="s">
        <v>2516</v>
      </c>
      <c r="H690" s="130">
        <v>43144</v>
      </c>
      <c r="I690" s="129" t="s">
        <v>2656</v>
      </c>
      <c r="J690" s="129">
        <v>65772</v>
      </c>
      <c r="K690" s="130" t="s">
        <v>2657</v>
      </c>
      <c r="L690" s="129" t="s">
        <v>570</v>
      </c>
      <c r="M690" s="129" t="s">
        <v>570</v>
      </c>
      <c r="N690" s="129" t="s">
        <v>570</v>
      </c>
      <c r="O690" s="129" t="s">
        <v>570</v>
      </c>
      <c r="P690" s="409" t="s">
        <v>570</v>
      </c>
      <c r="Q690" s="179"/>
      <c r="R690" s="179"/>
      <c r="S690" s="179"/>
      <c r="T690" s="500" t="e">
        <f>_xlfn.XLOOKUP(H690,#REF!,#REF!,0,0)</f>
        <v>#REF!</v>
      </c>
    </row>
    <row r="691" spans="1:20" x14ac:dyDescent="0.4">
      <c r="A691" s="129" t="s">
        <v>570</v>
      </c>
      <c r="B691" s="129" t="s">
        <v>2658</v>
      </c>
      <c r="C691" s="129"/>
      <c r="D691" s="129" t="s">
        <v>767</v>
      </c>
      <c r="E691" s="130"/>
      <c r="F691" s="129" t="s">
        <v>567</v>
      </c>
      <c r="G691" s="130" t="s">
        <v>2516</v>
      </c>
      <c r="H691" s="130">
        <v>43144</v>
      </c>
      <c r="I691" s="129" t="s">
        <v>2659</v>
      </c>
      <c r="J691" s="129">
        <v>65757</v>
      </c>
      <c r="K691" s="130" t="s">
        <v>2660</v>
      </c>
      <c r="L691" s="129" t="s">
        <v>570</v>
      </c>
      <c r="M691" s="129" t="s">
        <v>570</v>
      </c>
      <c r="N691" s="129" t="s">
        <v>570</v>
      </c>
      <c r="O691" s="129" t="s">
        <v>570</v>
      </c>
      <c r="P691" s="409" t="s">
        <v>570</v>
      </c>
      <c r="Q691" s="179"/>
      <c r="R691" s="179"/>
      <c r="S691" s="179"/>
      <c r="T691" s="500" t="e">
        <f>_xlfn.XLOOKUP(H691,#REF!,#REF!,0,0)</f>
        <v>#REF!</v>
      </c>
    </row>
    <row r="692" spans="1:20" x14ac:dyDescent="0.4">
      <c r="A692" s="129" t="s">
        <v>570</v>
      </c>
      <c r="B692" s="129" t="s">
        <v>2661</v>
      </c>
      <c r="C692" s="129"/>
      <c r="D692" s="129" t="s">
        <v>2662</v>
      </c>
      <c r="E692" s="130"/>
      <c r="F692" s="129" t="s">
        <v>567</v>
      </c>
      <c r="G692" s="130" t="s">
        <v>2516</v>
      </c>
      <c r="H692" s="130">
        <v>43194</v>
      </c>
      <c r="I692" s="129" t="s">
        <v>2663</v>
      </c>
      <c r="J692" s="129">
        <v>65948</v>
      </c>
      <c r="K692" s="130"/>
      <c r="L692" s="129" t="s">
        <v>570</v>
      </c>
      <c r="M692" s="129" t="s">
        <v>570</v>
      </c>
      <c r="N692" s="129" t="s">
        <v>570</v>
      </c>
      <c r="O692" s="129" t="s">
        <v>333</v>
      </c>
      <c r="P692" s="409" t="s">
        <v>570</v>
      </c>
      <c r="Q692" s="179"/>
      <c r="R692" s="179"/>
      <c r="S692" s="179"/>
      <c r="T692" s="500" t="e">
        <f>_xlfn.XLOOKUP(H692,#REF!,#REF!,0,0)</f>
        <v>#REF!</v>
      </c>
    </row>
    <row r="693" spans="1:20" x14ac:dyDescent="0.4">
      <c r="A693" s="129" t="s">
        <v>570</v>
      </c>
      <c r="B693" s="129" t="s">
        <v>2664</v>
      </c>
      <c r="C693" s="129"/>
      <c r="D693" s="129" t="s">
        <v>767</v>
      </c>
      <c r="E693" s="130"/>
      <c r="F693" s="129" t="s">
        <v>567</v>
      </c>
      <c r="G693" s="130" t="s">
        <v>755</v>
      </c>
      <c r="H693" s="130">
        <v>43243</v>
      </c>
      <c r="I693" s="129" t="s">
        <v>106</v>
      </c>
      <c r="J693" s="129">
        <v>68216</v>
      </c>
      <c r="K693" s="130" t="s">
        <v>2665</v>
      </c>
      <c r="L693" s="129" t="s">
        <v>570</v>
      </c>
      <c r="M693" s="129" t="s">
        <v>570</v>
      </c>
      <c r="N693" s="129" t="s">
        <v>570</v>
      </c>
      <c r="O693" s="129" t="s">
        <v>570</v>
      </c>
      <c r="P693" s="409" t="s">
        <v>570</v>
      </c>
      <c r="Q693" s="179"/>
      <c r="R693" s="179"/>
      <c r="S693" s="179"/>
      <c r="T693" s="500" t="e">
        <f>_xlfn.XLOOKUP(H693,#REF!,#REF!,0,0)</f>
        <v>#REF!</v>
      </c>
    </row>
    <row r="694" spans="1:20" x14ac:dyDescent="0.4">
      <c r="A694" s="129" t="s">
        <v>570</v>
      </c>
      <c r="B694" s="129" t="s">
        <v>2666</v>
      </c>
      <c r="C694" s="129"/>
      <c r="D694" s="129" t="s">
        <v>767</v>
      </c>
      <c r="E694" s="130"/>
      <c r="F694" s="129" t="s">
        <v>567</v>
      </c>
      <c r="G694" s="130" t="s">
        <v>755</v>
      </c>
      <c r="H694" s="130">
        <v>43243</v>
      </c>
      <c r="I694" s="129" t="s">
        <v>2667</v>
      </c>
      <c r="J694" s="129">
        <v>68218</v>
      </c>
      <c r="K694" s="130" t="s">
        <v>2668</v>
      </c>
      <c r="L694" s="129" t="s">
        <v>570</v>
      </c>
      <c r="M694" s="129" t="s">
        <v>570</v>
      </c>
      <c r="N694" s="129" t="s">
        <v>570</v>
      </c>
      <c r="O694" s="129" t="s">
        <v>570</v>
      </c>
      <c r="P694" s="409" t="s">
        <v>570</v>
      </c>
      <c r="Q694" s="179"/>
      <c r="R694" s="179"/>
      <c r="S694" s="179"/>
      <c r="T694" s="500" t="e">
        <f>_xlfn.XLOOKUP(H694,#REF!,#REF!,0,0)</f>
        <v>#REF!</v>
      </c>
    </row>
    <row r="695" spans="1:20" x14ac:dyDescent="0.4">
      <c r="A695" s="129" t="s">
        <v>570</v>
      </c>
      <c r="B695" s="129" t="s">
        <v>2669</v>
      </c>
      <c r="C695" s="129"/>
      <c r="D695" s="129" t="s">
        <v>767</v>
      </c>
      <c r="E695" s="130"/>
      <c r="F695" s="129" t="s">
        <v>567</v>
      </c>
      <c r="G695" s="130" t="s">
        <v>2516</v>
      </c>
      <c r="H695" s="130">
        <v>43194</v>
      </c>
      <c r="I695" s="129" t="s">
        <v>102</v>
      </c>
      <c r="J695" s="129">
        <v>65941</v>
      </c>
      <c r="K695" s="130" t="s">
        <v>2670</v>
      </c>
      <c r="L695" s="129" t="s">
        <v>570</v>
      </c>
      <c r="M695" s="129" t="s">
        <v>570</v>
      </c>
      <c r="N695" s="129" t="s">
        <v>570</v>
      </c>
      <c r="O695" s="129" t="s">
        <v>570</v>
      </c>
      <c r="P695" s="409" t="s">
        <v>570</v>
      </c>
      <c r="Q695" s="179"/>
      <c r="R695" s="179"/>
      <c r="S695" s="179"/>
      <c r="T695" s="500" t="e">
        <f>_xlfn.XLOOKUP(H695,#REF!,#REF!,0,0)</f>
        <v>#REF!</v>
      </c>
    </row>
    <row r="696" spans="1:20" x14ac:dyDescent="0.4">
      <c r="A696" s="129" t="s">
        <v>570</v>
      </c>
      <c r="B696" s="129" t="s">
        <v>2671</v>
      </c>
      <c r="C696" s="129"/>
      <c r="D696" s="129" t="s">
        <v>767</v>
      </c>
      <c r="E696" s="130"/>
      <c r="F696" s="129" t="s">
        <v>567</v>
      </c>
      <c r="G696" s="130" t="s">
        <v>755</v>
      </c>
      <c r="H696" s="130">
        <v>43243</v>
      </c>
      <c r="I696" s="129" t="s">
        <v>109</v>
      </c>
      <c r="J696" s="129">
        <v>68219</v>
      </c>
      <c r="K696" s="130" t="s">
        <v>2672</v>
      </c>
      <c r="L696" s="129" t="s">
        <v>570</v>
      </c>
      <c r="M696" s="129" t="s">
        <v>570</v>
      </c>
      <c r="N696" s="129" t="s">
        <v>570</v>
      </c>
      <c r="O696" s="129" t="s">
        <v>570</v>
      </c>
      <c r="P696" s="409" t="s">
        <v>570</v>
      </c>
      <c r="Q696" s="179"/>
      <c r="R696" s="179"/>
      <c r="S696" s="179"/>
      <c r="T696" s="500" t="e">
        <f>_xlfn.XLOOKUP(H696,#REF!,#REF!,0,0)</f>
        <v>#REF!</v>
      </c>
    </row>
    <row r="697" spans="1:20" x14ac:dyDescent="0.4">
      <c r="A697" s="129" t="s">
        <v>570</v>
      </c>
      <c r="B697" s="129" t="s">
        <v>2673</v>
      </c>
      <c r="C697" s="129"/>
      <c r="D697" s="129" t="s">
        <v>767</v>
      </c>
      <c r="E697" s="130"/>
      <c r="F697" s="129" t="s">
        <v>567</v>
      </c>
      <c r="G697" s="130" t="s">
        <v>755</v>
      </c>
      <c r="H697" s="130">
        <v>43243</v>
      </c>
      <c r="I697" s="129" t="s">
        <v>2674</v>
      </c>
      <c r="J697" s="129">
        <v>68220</v>
      </c>
      <c r="K697" s="130" t="s">
        <v>2675</v>
      </c>
      <c r="L697" s="129" t="s">
        <v>570</v>
      </c>
      <c r="M697" s="129" t="s">
        <v>570</v>
      </c>
      <c r="N697" s="129" t="s">
        <v>570</v>
      </c>
      <c r="O697" s="129" t="s">
        <v>570</v>
      </c>
      <c r="P697" s="409" t="s">
        <v>570</v>
      </c>
      <c r="Q697" s="179"/>
      <c r="R697" s="179"/>
      <c r="S697" s="179"/>
      <c r="T697" s="500" t="e">
        <f>_xlfn.XLOOKUP(H697,#REF!,#REF!,0,0)</f>
        <v>#REF!</v>
      </c>
    </row>
    <row r="698" spans="1:20" x14ac:dyDescent="0.4">
      <c r="A698" s="129" t="s">
        <v>570</v>
      </c>
      <c r="B698" s="129" t="s">
        <v>2676</v>
      </c>
      <c r="C698" s="129"/>
      <c r="D698" s="129" t="s">
        <v>767</v>
      </c>
      <c r="E698" s="130"/>
      <c r="F698" s="129" t="s">
        <v>567</v>
      </c>
      <c r="G698" s="130" t="s">
        <v>755</v>
      </c>
      <c r="H698" s="130">
        <v>43243</v>
      </c>
      <c r="I698" s="129" t="s">
        <v>110</v>
      </c>
      <c r="J698" s="129">
        <v>68221</v>
      </c>
      <c r="K698" s="130" t="s">
        <v>2677</v>
      </c>
      <c r="L698" s="129" t="s">
        <v>570</v>
      </c>
      <c r="M698" s="129" t="s">
        <v>570</v>
      </c>
      <c r="N698" s="129" t="s">
        <v>570</v>
      </c>
      <c r="O698" s="129" t="s">
        <v>570</v>
      </c>
      <c r="P698" s="409" t="s">
        <v>570</v>
      </c>
      <c r="Q698" s="179"/>
      <c r="R698" s="179"/>
      <c r="S698" s="179"/>
      <c r="T698" s="500" t="e">
        <f>_xlfn.XLOOKUP(H698,#REF!,#REF!,0,0)</f>
        <v>#REF!</v>
      </c>
    </row>
    <row r="699" spans="1:20" x14ac:dyDescent="0.4">
      <c r="A699" s="129" t="s">
        <v>570</v>
      </c>
      <c r="B699" s="129" t="s">
        <v>2678</v>
      </c>
      <c r="C699" s="129"/>
      <c r="D699" s="129" t="s">
        <v>767</v>
      </c>
      <c r="E699" s="130" t="s">
        <v>2679</v>
      </c>
      <c r="F699" s="129" t="s">
        <v>567</v>
      </c>
      <c r="G699" s="130" t="s">
        <v>2516</v>
      </c>
      <c r="H699" s="130">
        <v>43194</v>
      </c>
      <c r="I699" s="129" t="s">
        <v>2680</v>
      </c>
      <c r="J699" s="129">
        <v>65946</v>
      </c>
      <c r="K699" s="130" t="s">
        <v>2681</v>
      </c>
      <c r="L699" s="129" t="s">
        <v>570</v>
      </c>
      <c r="M699" s="129" t="s">
        <v>570</v>
      </c>
      <c r="N699" s="129" t="s">
        <v>570</v>
      </c>
      <c r="O699" s="129" t="s">
        <v>570</v>
      </c>
      <c r="P699" s="409" t="s">
        <v>570</v>
      </c>
      <c r="Q699" s="179"/>
      <c r="R699" s="179"/>
      <c r="S699" s="179"/>
      <c r="T699" s="500" t="e">
        <f>_xlfn.XLOOKUP(H699,#REF!,#REF!,0,0)</f>
        <v>#REF!</v>
      </c>
    </row>
    <row r="700" spans="1:20" x14ac:dyDescent="0.4">
      <c r="A700" s="129" t="s">
        <v>570</v>
      </c>
      <c r="B700" s="129" t="s">
        <v>2682</v>
      </c>
      <c r="C700" s="129"/>
      <c r="D700" s="129" t="s">
        <v>767</v>
      </c>
      <c r="E700" s="130"/>
      <c r="F700" s="129" t="s">
        <v>567</v>
      </c>
      <c r="G700" s="130" t="s">
        <v>2516</v>
      </c>
      <c r="H700" s="130">
        <v>43194</v>
      </c>
      <c r="I700" s="129" t="s">
        <v>103</v>
      </c>
      <c r="J700" s="129">
        <v>65942</v>
      </c>
      <c r="K700" s="130" t="s">
        <v>2683</v>
      </c>
      <c r="L700" s="129" t="s">
        <v>570</v>
      </c>
      <c r="M700" s="129" t="s">
        <v>570</v>
      </c>
      <c r="N700" s="129" t="s">
        <v>570</v>
      </c>
      <c r="O700" s="129" t="s">
        <v>570</v>
      </c>
      <c r="P700" s="409" t="s">
        <v>570</v>
      </c>
      <c r="Q700" s="179"/>
      <c r="R700" s="179"/>
      <c r="S700" s="179"/>
      <c r="T700" s="500" t="e">
        <f>_xlfn.XLOOKUP(H700,#REF!,#REF!,0,0)</f>
        <v>#REF!</v>
      </c>
    </row>
    <row r="701" spans="1:20" x14ac:dyDescent="0.4">
      <c r="A701" s="129" t="s">
        <v>570</v>
      </c>
      <c r="B701" s="129" t="s">
        <v>2684</v>
      </c>
      <c r="C701" s="129"/>
      <c r="D701" s="129" t="s">
        <v>767</v>
      </c>
      <c r="E701" s="130"/>
      <c r="F701" s="129" t="s">
        <v>567</v>
      </c>
      <c r="G701" s="130" t="s">
        <v>755</v>
      </c>
      <c r="H701" s="130">
        <v>43243</v>
      </c>
      <c r="I701" s="129" t="s">
        <v>323</v>
      </c>
      <c r="J701" s="129">
        <v>68223</v>
      </c>
      <c r="K701" s="130" t="s">
        <v>2685</v>
      </c>
      <c r="L701" s="129" t="s">
        <v>570</v>
      </c>
      <c r="M701" s="129" t="s">
        <v>570</v>
      </c>
      <c r="N701" s="129" t="s">
        <v>570</v>
      </c>
      <c r="O701" s="129" t="s">
        <v>570</v>
      </c>
      <c r="P701" s="409" t="s">
        <v>570</v>
      </c>
      <c r="Q701" s="179"/>
      <c r="R701" s="179"/>
      <c r="S701" s="179"/>
      <c r="T701" s="500" t="e">
        <f>_xlfn.XLOOKUP(H701,#REF!,#REF!,0,0)</f>
        <v>#REF!</v>
      </c>
    </row>
    <row r="702" spans="1:20" x14ac:dyDescent="0.4">
      <c r="A702" s="129" t="s">
        <v>570</v>
      </c>
      <c r="B702" s="129" t="s">
        <v>2686</v>
      </c>
      <c r="C702" s="129"/>
      <c r="D702" s="129" t="s">
        <v>767</v>
      </c>
      <c r="E702" s="130"/>
      <c r="F702" s="129" t="s">
        <v>567</v>
      </c>
      <c r="G702" s="130" t="s">
        <v>755</v>
      </c>
      <c r="H702" s="130">
        <v>43243</v>
      </c>
      <c r="I702" s="129" t="s">
        <v>112</v>
      </c>
      <c r="J702" s="129">
        <v>68224</v>
      </c>
      <c r="K702" s="130" t="s">
        <v>2687</v>
      </c>
      <c r="L702" s="129" t="s">
        <v>570</v>
      </c>
      <c r="M702" s="129" t="s">
        <v>570</v>
      </c>
      <c r="N702" s="129" t="s">
        <v>570</v>
      </c>
      <c r="O702" s="129" t="s">
        <v>570</v>
      </c>
      <c r="P702" s="409" t="s">
        <v>570</v>
      </c>
      <c r="Q702" s="179"/>
      <c r="R702" s="179"/>
      <c r="S702" s="179"/>
      <c r="T702" s="500" t="e">
        <f>_xlfn.XLOOKUP(H702,#REF!,#REF!,0,0)</f>
        <v>#REF!</v>
      </c>
    </row>
    <row r="703" spans="1:20" x14ac:dyDescent="0.4">
      <c r="A703" s="129" t="s">
        <v>570</v>
      </c>
      <c r="B703" s="129" t="s">
        <v>2688</v>
      </c>
      <c r="C703" s="129"/>
      <c r="D703" s="129" t="s">
        <v>767</v>
      </c>
      <c r="E703" s="130"/>
      <c r="F703" s="129" t="s">
        <v>567</v>
      </c>
      <c r="G703" s="130" t="s">
        <v>755</v>
      </c>
      <c r="H703" s="130">
        <v>43243</v>
      </c>
      <c r="I703" s="129" t="s">
        <v>117</v>
      </c>
      <c r="J703" s="129">
        <v>68233</v>
      </c>
      <c r="K703" s="130" t="s">
        <v>2689</v>
      </c>
      <c r="L703" s="129" t="s">
        <v>570</v>
      </c>
      <c r="M703" s="129"/>
      <c r="N703" s="129" t="s">
        <v>570</v>
      </c>
      <c r="O703" s="129" t="s">
        <v>570</v>
      </c>
      <c r="P703" s="409" t="s">
        <v>570</v>
      </c>
      <c r="Q703" s="179"/>
      <c r="R703" s="179"/>
      <c r="S703" s="179"/>
      <c r="T703" s="500" t="e">
        <f>_xlfn.XLOOKUP(H703,#REF!,#REF!,0,0)</f>
        <v>#REF!</v>
      </c>
    </row>
    <row r="704" spans="1:20" x14ac:dyDescent="0.4">
      <c r="A704" s="129" t="s">
        <v>570</v>
      </c>
      <c r="B704" s="129" t="s">
        <v>2690</v>
      </c>
      <c r="C704" s="129"/>
      <c r="D704" s="129" t="s">
        <v>767</v>
      </c>
      <c r="E704" s="130"/>
      <c r="F704" s="129" t="s">
        <v>567</v>
      </c>
      <c r="G704" s="130" t="s">
        <v>755</v>
      </c>
      <c r="H704" s="130">
        <v>43243</v>
      </c>
      <c r="I704" s="129" t="s">
        <v>111</v>
      </c>
      <c r="J704" s="129">
        <v>68222</v>
      </c>
      <c r="K704" s="130" t="s">
        <v>2691</v>
      </c>
      <c r="L704" s="129" t="s">
        <v>570</v>
      </c>
      <c r="M704" s="129" t="s">
        <v>570</v>
      </c>
      <c r="N704" s="129" t="s">
        <v>570</v>
      </c>
      <c r="O704" s="129" t="s">
        <v>570</v>
      </c>
      <c r="P704" s="409" t="s">
        <v>570</v>
      </c>
      <c r="Q704" s="179"/>
      <c r="R704" s="179"/>
      <c r="S704" s="179"/>
      <c r="T704" s="500" t="e">
        <f>_xlfn.XLOOKUP(H704,#REF!,#REF!,0,0)</f>
        <v>#REF!</v>
      </c>
    </row>
    <row r="705" spans="1:20" x14ac:dyDescent="0.4">
      <c r="A705" s="129" t="s">
        <v>570</v>
      </c>
      <c r="B705" s="129" t="s">
        <v>2692</v>
      </c>
      <c r="C705" s="129"/>
      <c r="D705" s="129" t="s">
        <v>767</v>
      </c>
      <c r="E705" s="130"/>
      <c r="F705" s="129" t="s">
        <v>567</v>
      </c>
      <c r="G705" s="130" t="s">
        <v>755</v>
      </c>
      <c r="H705" s="130">
        <v>43243</v>
      </c>
      <c r="I705" s="129" t="s">
        <v>113</v>
      </c>
      <c r="J705" s="129">
        <v>68225</v>
      </c>
      <c r="K705" s="130" t="s">
        <v>2693</v>
      </c>
      <c r="L705" s="129" t="s">
        <v>570</v>
      </c>
      <c r="M705" s="129" t="s">
        <v>570</v>
      </c>
      <c r="N705" s="129" t="s">
        <v>570</v>
      </c>
      <c r="O705" s="129" t="s">
        <v>570</v>
      </c>
      <c r="P705" s="409" t="s">
        <v>570</v>
      </c>
      <c r="Q705" s="179"/>
      <c r="R705" s="179"/>
      <c r="S705" s="179"/>
      <c r="T705" s="500" t="e">
        <f>_xlfn.XLOOKUP(H705,#REF!,#REF!,0,0)</f>
        <v>#REF!</v>
      </c>
    </row>
    <row r="706" spans="1:20" x14ac:dyDescent="0.4">
      <c r="A706" s="129" t="s">
        <v>570</v>
      </c>
      <c r="B706" s="129" t="s">
        <v>2694</v>
      </c>
      <c r="C706" s="129"/>
      <c r="D706" s="129" t="s">
        <v>767</v>
      </c>
      <c r="E706" s="130"/>
      <c r="F706" s="129" t="s">
        <v>567</v>
      </c>
      <c r="G706" s="130" t="s">
        <v>755</v>
      </c>
      <c r="H706" s="130">
        <v>43243</v>
      </c>
      <c r="I706" s="129" t="s">
        <v>114</v>
      </c>
      <c r="J706" s="129">
        <v>68226</v>
      </c>
      <c r="K706" s="130" t="s">
        <v>2695</v>
      </c>
      <c r="L706" s="129" t="s">
        <v>570</v>
      </c>
      <c r="M706" s="129" t="s">
        <v>570</v>
      </c>
      <c r="N706" s="129" t="s">
        <v>570</v>
      </c>
      <c r="O706" s="129" t="s">
        <v>570</v>
      </c>
      <c r="P706" s="409" t="s">
        <v>570</v>
      </c>
      <c r="Q706" s="179"/>
      <c r="R706" s="179"/>
      <c r="S706" s="179"/>
      <c r="T706" s="500" t="e">
        <f>_xlfn.XLOOKUP(H706,#REF!,#REF!,0,0)</f>
        <v>#REF!</v>
      </c>
    </row>
    <row r="707" spans="1:20" x14ac:dyDescent="0.4">
      <c r="A707" s="129" t="s">
        <v>570</v>
      </c>
      <c r="B707" s="129" t="s">
        <v>2696</v>
      </c>
      <c r="C707" s="129"/>
      <c r="D707" s="129" t="s">
        <v>767</v>
      </c>
      <c r="E707" s="130"/>
      <c r="F707" s="129" t="s">
        <v>567</v>
      </c>
      <c r="G707" s="130" t="s">
        <v>755</v>
      </c>
      <c r="H707" s="130">
        <v>43243</v>
      </c>
      <c r="I707" s="129" t="s">
        <v>2697</v>
      </c>
      <c r="J707" s="129">
        <v>68227</v>
      </c>
      <c r="K707" s="130" t="s">
        <v>2698</v>
      </c>
      <c r="L707" s="129" t="s">
        <v>570</v>
      </c>
      <c r="M707" s="129" t="s">
        <v>570</v>
      </c>
      <c r="N707" s="129" t="s">
        <v>570</v>
      </c>
      <c r="O707" s="129" t="s">
        <v>570</v>
      </c>
      <c r="P707" s="409" t="s">
        <v>570</v>
      </c>
      <c r="Q707" s="179"/>
      <c r="R707" s="179"/>
      <c r="S707" s="179"/>
      <c r="T707" s="500" t="e">
        <f>_xlfn.XLOOKUP(H707,#REF!,#REF!,0,0)</f>
        <v>#REF!</v>
      </c>
    </row>
    <row r="708" spans="1:20" x14ac:dyDescent="0.4">
      <c r="A708" s="129" t="s">
        <v>570</v>
      </c>
      <c r="B708" s="129" t="s">
        <v>2699</v>
      </c>
      <c r="C708" s="129"/>
      <c r="D708" s="129" t="s">
        <v>767</v>
      </c>
      <c r="E708" s="130"/>
      <c r="F708" s="129" t="s">
        <v>567</v>
      </c>
      <c r="G708" s="130" t="s">
        <v>2505</v>
      </c>
      <c r="H708" s="130">
        <v>43045</v>
      </c>
      <c r="I708" s="129" t="s">
        <v>71</v>
      </c>
      <c r="J708" s="129">
        <v>65506</v>
      </c>
      <c r="K708" s="130" t="s">
        <v>2700</v>
      </c>
      <c r="L708" s="129" t="s">
        <v>570</v>
      </c>
      <c r="M708" s="129" t="s">
        <v>570</v>
      </c>
      <c r="N708" s="129" t="s">
        <v>570</v>
      </c>
      <c r="O708" s="129" t="s">
        <v>570</v>
      </c>
      <c r="P708" s="409" t="s">
        <v>570</v>
      </c>
      <c r="Q708" s="179"/>
      <c r="R708" s="179"/>
      <c r="S708" s="179"/>
      <c r="T708" s="500" t="e">
        <f>_xlfn.XLOOKUP(H708,#REF!,#REF!,0,0)</f>
        <v>#REF!</v>
      </c>
    </row>
    <row r="709" spans="1:20" x14ac:dyDescent="0.4">
      <c r="A709" s="129" t="s">
        <v>570</v>
      </c>
      <c r="B709" s="129" t="s">
        <v>2701</v>
      </c>
      <c r="C709" s="129"/>
      <c r="D709" s="129" t="s">
        <v>767</v>
      </c>
      <c r="E709" s="130">
        <v>43269</v>
      </c>
      <c r="F709" s="129" t="s">
        <v>567</v>
      </c>
      <c r="G709" s="130" t="s">
        <v>755</v>
      </c>
      <c r="H709" s="130">
        <v>43243</v>
      </c>
      <c r="I709" s="129" t="s">
        <v>2702</v>
      </c>
      <c r="J709" s="129">
        <v>68232</v>
      </c>
      <c r="K709" s="130" t="s">
        <v>2703</v>
      </c>
      <c r="L709" s="129" t="s">
        <v>570</v>
      </c>
      <c r="M709" s="129" t="s">
        <v>570</v>
      </c>
      <c r="N709" s="129" t="s">
        <v>570</v>
      </c>
      <c r="O709" s="129" t="s">
        <v>570</v>
      </c>
      <c r="P709" s="409" t="s">
        <v>570</v>
      </c>
      <c r="Q709" s="179"/>
      <c r="R709" s="179"/>
      <c r="S709" s="179"/>
      <c r="T709" s="500" t="e">
        <f>_xlfn.XLOOKUP(H709,#REF!,#REF!,0,0)</f>
        <v>#REF!</v>
      </c>
    </row>
    <row r="710" spans="1:20" x14ac:dyDescent="0.4">
      <c r="A710" s="129" t="s">
        <v>570</v>
      </c>
      <c r="B710" s="129" t="s">
        <v>2704</v>
      </c>
      <c r="C710" s="129"/>
      <c r="D710" s="129" t="s">
        <v>767</v>
      </c>
      <c r="E710" s="130">
        <v>43269</v>
      </c>
      <c r="F710" s="129" t="s">
        <v>567</v>
      </c>
      <c r="G710" s="130" t="s">
        <v>755</v>
      </c>
      <c r="H710" s="130">
        <v>43243</v>
      </c>
      <c r="I710" s="129" t="s">
        <v>2705</v>
      </c>
      <c r="J710" s="129">
        <v>68251</v>
      </c>
      <c r="K710" s="130" t="s">
        <v>2706</v>
      </c>
      <c r="L710" s="129" t="s">
        <v>570</v>
      </c>
      <c r="M710" s="129" t="s">
        <v>570</v>
      </c>
      <c r="N710" s="129" t="s">
        <v>570</v>
      </c>
      <c r="O710" s="129" t="s">
        <v>570</v>
      </c>
      <c r="P710" s="409" t="s">
        <v>570</v>
      </c>
      <c r="Q710" s="179"/>
      <c r="R710" s="179"/>
      <c r="S710" s="179"/>
      <c r="T710" s="500" t="e">
        <f>_xlfn.XLOOKUP(H710,#REF!,#REF!,0,0)</f>
        <v>#REF!</v>
      </c>
    </row>
    <row r="711" spans="1:20" x14ac:dyDescent="0.4">
      <c r="A711" s="129" t="s">
        <v>570</v>
      </c>
      <c r="B711" s="129" t="s">
        <v>2707</v>
      </c>
      <c r="C711" s="129"/>
      <c r="D711" s="129" t="s">
        <v>767</v>
      </c>
      <c r="E711" s="130">
        <v>43269</v>
      </c>
      <c r="F711" s="129" t="s">
        <v>567</v>
      </c>
      <c r="G711" s="130" t="s">
        <v>755</v>
      </c>
      <c r="H711" s="130">
        <v>43243</v>
      </c>
      <c r="I711" s="129" t="s">
        <v>2708</v>
      </c>
      <c r="J711" s="129">
        <v>68253</v>
      </c>
      <c r="K711" s="130" t="s">
        <v>2709</v>
      </c>
      <c r="L711" s="129" t="s">
        <v>570</v>
      </c>
      <c r="M711" s="129" t="s">
        <v>570</v>
      </c>
      <c r="N711" s="129" t="s">
        <v>570</v>
      </c>
      <c r="O711" s="129" t="s">
        <v>570</v>
      </c>
      <c r="P711" s="409" t="s">
        <v>570</v>
      </c>
      <c r="Q711" s="179"/>
      <c r="R711" s="179"/>
      <c r="S711" s="179"/>
      <c r="T711" s="500" t="e">
        <f>_xlfn.XLOOKUP(H711,#REF!,#REF!,0,0)</f>
        <v>#REF!</v>
      </c>
    </row>
    <row r="712" spans="1:20" x14ac:dyDescent="0.4">
      <c r="A712" s="129" t="s">
        <v>570</v>
      </c>
      <c r="B712" s="129" t="s">
        <v>2710</v>
      </c>
      <c r="C712" s="129"/>
      <c r="D712" s="129" t="s">
        <v>767</v>
      </c>
      <c r="E712" s="130">
        <v>43269</v>
      </c>
      <c r="F712" s="129" t="s">
        <v>567</v>
      </c>
      <c r="G712" s="130" t="s">
        <v>755</v>
      </c>
      <c r="H712" s="130">
        <v>43243</v>
      </c>
      <c r="I712" s="129" t="s">
        <v>2711</v>
      </c>
      <c r="J712" s="129">
        <v>68254</v>
      </c>
      <c r="K712" s="130" t="s">
        <v>2712</v>
      </c>
      <c r="L712" s="129" t="s">
        <v>570</v>
      </c>
      <c r="M712" s="129" t="s">
        <v>570</v>
      </c>
      <c r="N712" s="129" t="s">
        <v>570</v>
      </c>
      <c r="O712" s="129" t="s">
        <v>570</v>
      </c>
      <c r="P712" s="409" t="s">
        <v>570</v>
      </c>
      <c r="Q712" s="179"/>
      <c r="R712" s="179"/>
      <c r="S712" s="179"/>
      <c r="T712" s="500" t="e">
        <f>_xlfn.XLOOKUP(H712,#REF!,#REF!,0,0)</f>
        <v>#REF!</v>
      </c>
    </row>
    <row r="713" spans="1:20" x14ac:dyDescent="0.4">
      <c r="A713" s="129" t="s">
        <v>570</v>
      </c>
      <c r="B713" s="129" t="s">
        <v>2713</v>
      </c>
      <c r="C713" s="129"/>
      <c r="D713" s="129" t="s">
        <v>767</v>
      </c>
      <c r="E713" s="130">
        <v>43269</v>
      </c>
      <c r="F713" s="129" t="s">
        <v>567</v>
      </c>
      <c r="G713" s="130" t="s">
        <v>755</v>
      </c>
      <c r="H713" s="130">
        <v>43243</v>
      </c>
      <c r="I713" s="129" t="s">
        <v>756</v>
      </c>
      <c r="J713" s="129">
        <v>68255</v>
      </c>
      <c r="K713" s="130" t="s">
        <v>757</v>
      </c>
      <c r="L713" s="129" t="s">
        <v>570</v>
      </c>
      <c r="M713" s="129" t="s">
        <v>570</v>
      </c>
      <c r="N713" s="129" t="s">
        <v>570</v>
      </c>
      <c r="O713" s="129" t="s">
        <v>570</v>
      </c>
      <c r="P713" s="409" t="s">
        <v>570</v>
      </c>
      <c r="Q713" s="179"/>
      <c r="R713" s="179"/>
      <c r="S713" s="179"/>
      <c r="T713" s="500" t="e">
        <f>_xlfn.XLOOKUP(H713,#REF!,#REF!,0,0)</f>
        <v>#REF!</v>
      </c>
    </row>
    <row r="714" spans="1:20" x14ac:dyDescent="0.4">
      <c r="A714" s="129" t="s">
        <v>570</v>
      </c>
      <c r="B714" s="129" t="s">
        <v>2714</v>
      </c>
      <c r="C714" s="129"/>
      <c r="D714" s="129" t="s">
        <v>767</v>
      </c>
      <c r="E714" s="130">
        <v>43269</v>
      </c>
      <c r="F714" s="129" t="s">
        <v>567</v>
      </c>
      <c r="G714" s="130" t="s">
        <v>755</v>
      </c>
      <c r="H714" s="130">
        <v>43243</v>
      </c>
      <c r="I714" s="129" t="s">
        <v>128</v>
      </c>
      <c r="J714" s="129">
        <v>68256</v>
      </c>
      <c r="K714" s="130" t="s">
        <v>2715</v>
      </c>
      <c r="L714" s="129" t="s">
        <v>570</v>
      </c>
      <c r="M714" s="129" t="s">
        <v>570</v>
      </c>
      <c r="N714" s="129" t="s">
        <v>570</v>
      </c>
      <c r="O714" s="129" t="s">
        <v>570</v>
      </c>
      <c r="P714" s="409" t="s">
        <v>570</v>
      </c>
      <c r="Q714" s="179"/>
      <c r="R714" s="179"/>
      <c r="S714" s="179"/>
      <c r="T714" s="500" t="e">
        <f>_xlfn.XLOOKUP(H714,#REF!,#REF!,0,0)</f>
        <v>#REF!</v>
      </c>
    </row>
    <row r="715" spans="1:20" x14ac:dyDescent="0.4">
      <c r="A715" s="129" t="s">
        <v>570</v>
      </c>
      <c r="B715" s="129" t="s">
        <v>2716</v>
      </c>
      <c r="C715" s="129"/>
      <c r="D715" s="129" t="s">
        <v>767</v>
      </c>
      <c r="E715" s="130">
        <v>43269</v>
      </c>
      <c r="F715" s="129" t="s">
        <v>567</v>
      </c>
      <c r="G715" s="130" t="s">
        <v>755</v>
      </c>
      <c r="H715" s="130">
        <v>43243</v>
      </c>
      <c r="I715" s="129" t="s">
        <v>129</v>
      </c>
      <c r="J715" s="129">
        <v>68257</v>
      </c>
      <c r="K715" s="130" t="s">
        <v>2717</v>
      </c>
      <c r="L715" s="129" t="s">
        <v>570</v>
      </c>
      <c r="M715" s="129" t="s">
        <v>570</v>
      </c>
      <c r="N715" s="129" t="s">
        <v>570</v>
      </c>
      <c r="O715" s="129" t="s">
        <v>570</v>
      </c>
      <c r="P715" s="409" t="s">
        <v>570</v>
      </c>
      <c r="Q715" s="179"/>
      <c r="R715" s="179"/>
      <c r="S715" s="179"/>
      <c r="T715" s="500" t="e">
        <f>_xlfn.XLOOKUP(H715,#REF!,#REF!,0,0)</f>
        <v>#REF!</v>
      </c>
    </row>
    <row r="716" spans="1:20" x14ac:dyDescent="0.4">
      <c r="A716" s="129" t="s">
        <v>570</v>
      </c>
      <c r="B716" s="129" t="s">
        <v>2718</v>
      </c>
      <c r="C716" s="129"/>
      <c r="D716" s="129" t="s">
        <v>767</v>
      </c>
      <c r="E716" s="130">
        <v>43269</v>
      </c>
      <c r="F716" s="129" t="s">
        <v>567</v>
      </c>
      <c r="G716" s="130" t="s">
        <v>755</v>
      </c>
      <c r="H716" s="130">
        <v>43243</v>
      </c>
      <c r="I716" s="129" t="s">
        <v>131</v>
      </c>
      <c r="J716" s="129">
        <v>68262</v>
      </c>
      <c r="K716" s="130" t="s">
        <v>2719</v>
      </c>
      <c r="L716" s="129" t="s">
        <v>570</v>
      </c>
      <c r="M716" s="129" t="s">
        <v>570</v>
      </c>
      <c r="N716" s="129" t="s">
        <v>570</v>
      </c>
      <c r="O716" s="129" t="s">
        <v>570</v>
      </c>
      <c r="P716" s="409" t="s">
        <v>570</v>
      </c>
      <c r="Q716" s="179"/>
      <c r="R716" s="179"/>
      <c r="S716" s="179"/>
      <c r="T716" s="500" t="e">
        <f>_xlfn.XLOOKUP(H716,#REF!,#REF!,0,0)</f>
        <v>#REF!</v>
      </c>
    </row>
    <row r="717" spans="1:20" x14ac:dyDescent="0.4">
      <c r="A717" s="129" t="s">
        <v>570</v>
      </c>
      <c r="B717" s="129" t="s">
        <v>2720</v>
      </c>
      <c r="C717" s="129"/>
      <c r="D717" s="129" t="s">
        <v>767</v>
      </c>
      <c r="E717" s="130"/>
      <c r="F717" s="129" t="s">
        <v>567</v>
      </c>
      <c r="G717" s="130" t="s">
        <v>755</v>
      </c>
      <c r="H717" s="130">
        <v>43243</v>
      </c>
      <c r="I717" s="129" t="s">
        <v>115</v>
      </c>
      <c r="J717" s="129">
        <v>68228</v>
      </c>
      <c r="K717" s="130" t="s">
        <v>2721</v>
      </c>
      <c r="L717" s="129" t="s">
        <v>570</v>
      </c>
      <c r="M717" s="129" t="s">
        <v>570</v>
      </c>
      <c r="N717" s="129" t="s">
        <v>570</v>
      </c>
      <c r="O717" s="129" t="s">
        <v>570</v>
      </c>
      <c r="P717" s="409" t="s">
        <v>570</v>
      </c>
      <c r="Q717" s="179"/>
      <c r="R717" s="179"/>
      <c r="S717" s="179"/>
      <c r="T717" s="500" t="e">
        <f>_xlfn.XLOOKUP(H717,#REF!,#REF!,0,0)</f>
        <v>#REF!</v>
      </c>
    </row>
    <row r="718" spans="1:20" x14ac:dyDescent="0.4">
      <c r="A718" s="129" t="s">
        <v>570</v>
      </c>
      <c r="B718" s="129" t="s">
        <v>2722</v>
      </c>
      <c r="C718" s="129"/>
      <c r="D718" s="129" t="s">
        <v>767</v>
      </c>
      <c r="E718" s="130"/>
      <c r="F718" s="129" t="s">
        <v>567</v>
      </c>
      <c r="G718" s="130" t="s">
        <v>755</v>
      </c>
      <c r="H718" s="130">
        <v>43243</v>
      </c>
      <c r="I718" s="129" t="s">
        <v>2723</v>
      </c>
      <c r="J718" s="129">
        <v>68229</v>
      </c>
      <c r="K718" s="130" t="s">
        <v>2724</v>
      </c>
      <c r="L718" s="129" t="s">
        <v>570</v>
      </c>
      <c r="M718" s="129" t="s">
        <v>570</v>
      </c>
      <c r="N718" s="129" t="s">
        <v>570</v>
      </c>
      <c r="O718" s="129" t="s">
        <v>570</v>
      </c>
      <c r="P718" s="409" t="s">
        <v>570</v>
      </c>
      <c r="Q718" s="179"/>
      <c r="R718" s="179"/>
      <c r="S718" s="179"/>
      <c r="T718" s="500" t="e">
        <f>_xlfn.XLOOKUP(H718,#REF!,#REF!,0,0)</f>
        <v>#REF!</v>
      </c>
    </row>
    <row r="719" spans="1:20" x14ac:dyDescent="0.4">
      <c r="A719" s="129" t="s">
        <v>570</v>
      </c>
      <c r="B719" s="129" t="s">
        <v>2725</v>
      </c>
      <c r="C719" s="129"/>
      <c r="D719" s="129" t="s">
        <v>767</v>
      </c>
      <c r="E719" s="130"/>
      <c r="F719" s="129" t="s">
        <v>567</v>
      </c>
      <c r="G719" s="130" t="s">
        <v>755</v>
      </c>
      <c r="H719" s="130">
        <v>43243</v>
      </c>
      <c r="I719" s="129" t="s">
        <v>116</v>
      </c>
      <c r="J719" s="129">
        <v>68230</v>
      </c>
      <c r="K719" s="130" t="s">
        <v>2726</v>
      </c>
      <c r="L719" s="129" t="s">
        <v>570</v>
      </c>
      <c r="M719" s="129" t="s">
        <v>570</v>
      </c>
      <c r="N719" s="129" t="s">
        <v>570</v>
      </c>
      <c r="O719" s="129" t="s">
        <v>570</v>
      </c>
      <c r="P719" s="409" t="s">
        <v>570</v>
      </c>
      <c r="Q719" s="179"/>
      <c r="R719" s="179"/>
      <c r="S719" s="179"/>
      <c r="T719" s="500" t="e">
        <f>_xlfn.XLOOKUP(H719,#REF!,#REF!,0,0)</f>
        <v>#REF!</v>
      </c>
    </row>
    <row r="720" spans="1:20" x14ac:dyDescent="0.4">
      <c r="A720" s="129" t="s">
        <v>570</v>
      </c>
      <c r="B720" s="129" t="s">
        <v>2727</v>
      </c>
      <c r="C720" s="129"/>
      <c r="D720" s="129" t="s">
        <v>767</v>
      </c>
      <c r="E720" s="130"/>
      <c r="F720" s="129" t="s">
        <v>567</v>
      </c>
      <c r="G720" s="130" t="s">
        <v>755</v>
      </c>
      <c r="H720" s="130">
        <v>43243</v>
      </c>
      <c r="I720" s="129" t="s">
        <v>108</v>
      </c>
      <c r="J720" s="129">
        <v>68217</v>
      </c>
      <c r="K720" s="130" t="s">
        <v>2728</v>
      </c>
      <c r="L720" s="129" t="s">
        <v>570</v>
      </c>
      <c r="M720" s="129"/>
      <c r="N720" s="129" t="s">
        <v>570</v>
      </c>
      <c r="O720" s="129" t="s">
        <v>570</v>
      </c>
      <c r="P720" s="409" t="s">
        <v>570</v>
      </c>
      <c r="Q720" s="179"/>
      <c r="R720" s="179"/>
      <c r="S720" s="179"/>
      <c r="T720" s="500" t="e">
        <f>_xlfn.XLOOKUP(H720,#REF!,#REF!,0,0)</f>
        <v>#REF!</v>
      </c>
    </row>
    <row r="721" spans="1:20" x14ac:dyDescent="0.4">
      <c r="A721" s="129" t="s">
        <v>570</v>
      </c>
      <c r="B721" s="129" t="s">
        <v>2729</v>
      </c>
      <c r="C721" s="129"/>
      <c r="D721" s="129" t="s">
        <v>767</v>
      </c>
      <c r="E721" s="130" t="s">
        <v>2730</v>
      </c>
      <c r="F721" s="129" t="s">
        <v>567</v>
      </c>
      <c r="G721" s="130" t="s">
        <v>2516</v>
      </c>
      <c r="H721" s="130">
        <v>43194</v>
      </c>
      <c r="I721" s="129" t="s">
        <v>104</v>
      </c>
      <c r="J721" s="129">
        <v>65943</v>
      </c>
      <c r="K721" s="130" t="s">
        <v>2731</v>
      </c>
      <c r="L721" s="129" t="s">
        <v>570</v>
      </c>
      <c r="M721" s="129" t="s">
        <v>570</v>
      </c>
      <c r="N721" s="129" t="s">
        <v>570</v>
      </c>
      <c r="O721" s="129" t="s">
        <v>570</v>
      </c>
      <c r="P721" s="409" t="s">
        <v>570</v>
      </c>
      <c r="Q721" s="179"/>
      <c r="R721" s="179"/>
      <c r="S721" s="179"/>
      <c r="T721" s="500" t="e">
        <f>_xlfn.XLOOKUP(H721,#REF!,#REF!,0,0)</f>
        <v>#REF!</v>
      </c>
    </row>
    <row r="722" spans="1:20" x14ac:dyDescent="0.4">
      <c r="A722" s="129" t="s">
        <v>570</v>
      </c>
      <c r="B722" s="129" t="s">
        <v>2732</v>
      </c>
      <c r="C722" s="129"/>
      <c r="D722" s="129" t="s">
        <v>767</v>
      </c>
      <c r="E722" s="130"/>
      <c r="F722" s="129" t="s">
        <v>567</v>
      </c>
      <c r="G722" s="130" t="s">
        <v>2516</v>
      </c>
      <c r="H722" s="130">
        <v>43144</v>
      </c>
      <c r="I722" s="129" t="s">
        <v>2733</v>
      </c>
      <c r="J722" s="129">
        <v>65746</v>
      </c>
      <c r="K722" s="130" t="s">
        <v>2734</v>
      </c>
      <c r="L722" s="129" t="s">
        <v>570</v>
      </c>
      <c r="M722" s="129" t="s">
        <v>570</v>
      </c>
      <c r="N722" s="129" t="s">
        <v>570</v>
      </c>
      <c r="O722" s="129" t="s">
        <v>570</v>
      </c>
      <c r="P722" s="409" t="s">
        <v>570</v>
      </c>
      <c r="Q722" s="179"/>
      <c r="R722" s="179"/>
      <c r="S722" s="179"/>
      <c r="T722" s="500" t="e">
        <f>_xlfn.XLOOKUP(H722,#REF!,#REF!,0,0)</f>
        <v>#REF!</v>
      </c>
    </row>
    <row r="723" spans="1:20" x14ac:dyDescent="0.4">
      <c r="A723" s="129" t="s">
        <v>570</v>
      </c>
      <c r="B723" s="129" t="s">
        <v>2735</v>
      </c>
      <c r="C723" s="129"/>
      <c r="D723" s="129" t="s">
        <v>767</v>
      </c>
      <c r="E723" s="130"/>
      <c r="F723" s="129" t="s">
        <v>567</v>
      </c>
      <c r="G723" s="130" t="s">
        <v>2516</v>
      </c>
      <c r="H723" s="130">
        <v>43194</v>
      </c>
      <c r="I723" s="129" t="s">
        <v>2736</v>
      </c>
      <c r="J723" s="129">
        <v>65944</v>
      </c>
      <c r="K723" s="130" t="s">
        <v>2737</v>
      </c>
      <c r="L723" s="129" t="s">
        <v>570</v>
      </c>
      <c r="M723" s="129" t="s">
        <v>570</v>
      </c>
      <c r="N723" s="129" t="s">
        <v>570</v>
      </c>
      <c r="O723" s="129" t="s">
        <v>570</v>
      </c>
      <c r="P723" s="409" t="s">
        <v>570</v>
      </c>
      <c r="Q723" s="179"/>
      <c r="R723" s="179"/>
      <c r="S723" s="179"/>
      <c r="T723" s="500" t="e">
        <f>_xlfn.XLOOKUP(H723,#REF!,#REF!,0,0)</f>
        <v>#REF!</v>
      </c>
    </row>
    <row r="724" spans="1:20" x14ac:dyDescent="0.4">
      <c r="A724" s="129" t="s">
        <v>570</v>
      </c>
      <c r="B724" s="129" t="s">
        <v>2738</v>
      </c>
      <c r="C724" s="129"/>
      <c r="D724" s="129" t="s">
        <v>767</v>
      </c>
      <c r="E724" s="130"/>
      <c r="F724" s="129" t="s">
        <v>567</v>
      </c>
      <c r="G724" s="130" t="s">
        <v>2516</v>
      </c>
      <c r="H724" s="130">
        <v>43194</v>
      </c>
      <c r="I724" s="129" t="s">
        <v>2739</v>
      </c>
      <c r="J724" s="129">
        <v>65947</v>
      </c>
      <c r="K724" s="130" t="s">
        <v>2740</v>
      </c>
      <c r="L724" s="129" t="s">
        <v>570</v>
      </c>
      <c r="M724" s="129" t="s">
        <v>570</v>
      </c>
      <c r="N724" s="129" t="s">
        <v>570</v>
      </c>
      <c r="O724" s="129" t="s">
        <v>570</v>
      </c>
      <c r="P724" s="409" t="s">
        <v>570</v>
      </c>
      <c r="Q724" s="179"/>
      <c r="R724" s="179"/>
      <c r="S724" s="179"/>
      <c r="T724" s="500" t="e">
        <f>_xlfn.XLOOKUP(H724,#REF!,#REF!,0,0)</f>
        <v>#REF!</v>
      </c>
    </row>
    <row r="725" spans="1:20" x14ac:dyDescent="0.4">
      <c r="A725" s="129" t="s">
        <v>570</v>
      </c>
      <c r="B725" s="129" t="s">
        <v>2741</v>
      </c>
      <c r="C725" s="129"/>
      <c r="D725" s="129" t="s">
        <v>767</v>
      </c>
      <c r="E725" s="130"/>
      <c r="F725" s="129" t="s">
        <v>567</v>
      </c>
      <c r="G725" s="130" t="s">
        <v>2516</v>
      </c>
      <c r="H725" s="130">
        <v>43194</v>
      </c>
      <c r="I725" s="129" t="s">
        <v>2742</v>
      </c>
      <c r="J725" s="129">
        <v>65949</v>
      </c>
      <c r="K725" s="130" t="s">
        <v>2743</v>
      </c>
      <c r="L725" s="129" t="s">
        <v>570</v>
      </c>
      <c r="M725" s="129" t="s">
        <v>570</v>
      </c>
      <c r="N725" s="129" t="s">
        <v>570</v>
      </c>
      <c r="O725" s="129" t="s">
        <v>570</v>
      </c>
      <c r="P725" s="409" t="s">
        <v>570</v>
      </c>
      <c r="Q725" s="179"/>
      <c r="R725" s="179"/>
      <c r="S725" s="179"/>
      <c r="T725" s="500" t="e">
        <f>_xlfn.XLOOKUP(H725,#REF!,#REF!,0,0)</f>
        <v>#REF!</v>
      </c>
    </row>
    <row r="726" spans="1:20" x14ac:dyDescent="0.4">
      <c r="A726" s="129" t="s">
        <v>570</v>
      </c>
      <c r="B726" s="129" t="s">
        <v>2744</v>
      </c>
      <c r="C726" s="129"/>
      <c r="D726" s="129" t="s">
        <v>767</v>
      </c>
      <c r="E726" s="130"/>
      <c r="F726" s="129" t="s">
        <v>567</v>
      </c>
      <c r="G726" s="130" t="s">
        <v>755</v>
      </c>
      <c r="H726" s="130">
        <v>43243</v>
      </c>
      <c r="I726" s="129" t="s">
        <v>121</v>
      </c>
      <c r="J726" s="129">
        <v>68243</v>
      </c>
      <c r="K726" s="130" t="s">
        <v>2745</v>
      </c>
      <c r="L726" s="129" t="s">
        <v>570</v>
      </c>
      <c r="M726" s="129" t="s">
        <v>570</v>
      </c>
      <c r="N726" s="129" t="s">
        <v>570</v>
      </c>
      <c r="O726" s="129" t="s">
        <v>570</v>
      </c>
      <c r="P726" s="409" t="s">
        <v>570</v>
      </c>
      <c r="Q726" s="179"/>
      <c r="R726" s="179"/>
      <c r="S726" s="179"/>
      <c r="T726" s="500" t="e">
        <f>_xlfn.XLOOKUP(H726,#REF!,#REF!,0,0)</f>
        <v>#REF!</v>
      </c>
    </row>
    <row r="727" spans="1:20" x14ac:dyDescent="0.4">
      <c r="A727" s="129" t="s">
        <v>570</v>
      </c>
      <c r="B727" s="129" t="s">
        <v>2746</v>
      </c>
      <c r="C727" s="129"/>
      <c r="D727" s="129" t="s">
        <v>2270</v>
      </c>
      <c r="E727" s="130"/>
      <c r="F727" s="129" t="s">
        <v>567</v>
      </c>
      <c r="G727" s="130" t="s">
        <v>755</v>
      </c>
      <c r="H727" s="130">
        <v>43243</v>
      </c>
      <c r="I727" s="129" t="s">
        <v>2747</v>
      </c>
      <c r="J727" s="129">
        <v>68241</v>
      </c>
      <c r="K727" s="130" t="s">
        <v>2748</v>
      </c>
      <c r="L727" s="129" t="s">
        <v>570</v>
      </c>
      <c r="M727" s="129" t="s">
        <v>570</v>
      </c>
      <c r="N727" s="129" t="s">
        <v>570</v>
      </c>
      <c r="O727" s="129" t="s">
        <v>570</v>
      </c>
      <c r="P727" s="409" t="s">
        <v>570</v>
      </c>
      <c r="Q727" s="179"/>
      <c r="R727" s="179"/>
      <c r="S727" s="179"/>
      <c r="T727" s="500" t="e">
        <f>_xlfn.XLOOKUP(H727,#REF!,#REF!,0,0)</f>
        <v>#REF!</v>
      </c>
    </row>
    <row r="728" spans="1:20" x14ac:dyDescent="0.4">
      <c r="A728" s="129" t="s">
        <v>570</v>
      </c>
      <c r="B728" s="129" t="s">
        <v>2749</v>
      </c>
      <c r="C728" s="129"/>
      <c r="D728" s="129" t="s">
        <v>767</v>
      </c>
      <c r="E728" s="130"/>
      <c r="F728" s="129" t="s">
        <v>567</v>
      </c>
      <c r="G728" s="130" t="s">
        <v>755</v>
      </c>
      <c r="H728" s="130">
        <v>43243</v>
      </c>
      <c r="I728" s="129" t="s">
        <v>127</v>
      </c>
      <c r="J728" s="129">
        <v>68252</v>
      </c>
      <c r="K728" s="130" t="s">
        <v>2750</v>
      </c>
      <c r="L728" s="129" t="s">
        <v>570</v>
      </c>
      <c r="M728" s="129" t="s">
        <v>570</v>
      </c>
      <c r="N728" s="129" t="s">
        <v>570</v>
      </c>
      <c r="O728" s="129" t="s">
        <v>570</v>
      </c>
      <c r="P728" s="409" t="s">
        <v>570</v>
      </c>
      <c r="Q728" s="179"/>
      <c r="R728" s="179"/>
      <c r="S728" s="179"/>
      <c r="T728" s="500" t="e">
        <f>_xlfn.XLOOKUP(H728,#REF!,#REF!,0,0)</f>
        <v>#REF!</v>
      </c>
    </row>
    <row r="729" spans="1:20" x14ac:dyDescent="0.4">
      <c r="A729" s="129" t="s">
        <v>570</v>
      </c>
      <c r="B729" s="129" t="s">
        <v>2751</v>
      </c>
      <c r="C729" s="129"/>
      <c r="D729" s="129" t="s">
        <v>767</v>
      </c>
      <c r="E729" s="130"/>
      <c r="F729" s="129" t="s">
        <v>567</v>
      </c>
      <c r="G729" s="130" t="s">
        <v>2516</v>
      </c>
      <c r="H729" s="130">
        <v>43194</v>
      </c>
      <c r="I729" s="129" t="s">
        <v>105</v>
      </c>
      <c r="J729" s="129">
        <v>65945</v>
      </c>
      <c r="K729" s="130" t="s">
        <v>2752</v>
      </c>
      <c r="L729" s="129" t="s">
        <v>570</v>
      </c>
      <c r="M729" s="129" t="s">
        <v>570</v>
      </c>
      <c r="N729" s="129" t="s">
        <v>570</v>
      </c>
      <c r="O729" s="129" t="s">
        <v>570</v>
      </c>
      <c r="P729" s="409" t="s">
        <v>570</v>
      </c>
      <c r="Q729" s="179"/>
      <c r="R729" s="179"/>
      <c r="S729" s="179"/>
      <c r="T729" s="500" t="e">
        <f>_xlfn.XLOOKUP(H729,#REF!,#REF!,0,0)</f>
        <v>#REF!</v>
      </c>
    </row>
    <row r="730" spans="1:20" x14ac:dyDescent="0.4">
      <c r="A730" s="129" t="s">
        <v>570</v>
      </c>
      <c r="B730" s="129" t="s">
        <v>2753</v>
      </c>
      <c r="C730" s="129"/>
      <c r="D730" s="129" t="s">
        <v>767</v>
      </c>
      <c r="E730" s="130"/>
      <c r="F730" s="129" t="s">
        <v>567</v>
      </c>
      <c r="G730" s="130" t="s">
        <v>755</v>
      </c>
      <c r="H730" s="130">
        <v>43243</v>
      </c>
      <c r="I730" s="129" t="s">
        <v>319</v>
      </c>
      <c r="J730" s="129">
        <v>68239</v>
      </c>
      <c r="K730" s="130" t="s">
        <v>2754</v>
      </c>
      <c r="L730" s="129" t="s">
        <v>570</v>
      </c>
      <c r="M730" s="129" t="s">
        <v>570</v>
      </c>
      <c r="N730" s="129" t="s">
        <v>570</v>
      </c>
      <c r="O730" s="129" t="s">
        <v>570</v>
      </c>
      <c r="P730" s="409" t="s">
        <v>570</v>
      </c>
      <c r="Q730" s="179"/>
      <c r="R730" s="179"/>
      <c r="S730" s="179"/>
      <c r="T730" s="500" t="e">
        <f>_xlfn.XLOOKUP(H730,#REF!,#REF!,0,0)</f>
        <v>#REF!</v>
      </c>
    </row>
    <row r="731" spans="1:20" x14ac:dyDescent="0.4">
      <c r="A731" s="129" t="s">
        <v>570</v>
      </c>
      <c r="B731" s="129" t="s">
        <v>2755</v>
      </c>
      <c r="C731" s="129"/>
      <c r="D731" s="129" t="s">
        <v>767</v>
      </c>
      <c r="E731" s="130"/>
      <c r="F731" s="129" t="s">
        <v>567</v>
      </c>
      <c r="G731" s="130" t="s">
        <v>755</v>
      </c>
      <c r="H731" s="130">
        <v>43243</v>
      </c>
      <c r="I731" s="129" t="s">
        <v>116</v>
      </c>
      <c r="J731" s="129">
        <v>68230</v>
      </c>
      <c r="K731" s="130" t="s">
        <v>2726</v>
      </c>
      <c r="L731" s="129" t="s">
        <v>570</v>
      </c>
      <c r="M731" s="129" t="s">
        <v>570</v>
      </c>
      <c r="N731" s="129" t="s">
        <v>570</v>
      </c>
      <c r="O731" s="129" t="s">
        <v>570</v>
      </c>
      <c r="P731" s="409" t="s">
        <v>570</v>
      </c>
      <c r="Q731" s="179"/>
      <c r="R731" s="179"/>
      <c r="S731" s="179"/>
      <c r="T731" s="500" t="e">
        <f>_xlfn.XLOOKUP(H731,#REF!,#REF!,0,0)</f>
        <v>#REF!</v>
      </c>
    </row>
    <row r="732" spans="1:20" x14ac:dyDescent="0.4">
      <c r="A732" s="129" t="s">
        <v>570</v>
      </c>
      <c r="B732" s="129" t="s">
        <v>2756</v>
      </c>
      <c r="C732" s="129"/>
      <c r="D732" s="129" t="s">
        <v>767</v>
      </c>
      <c r="E732" s="130"/>
      <c r="F732" s="129" t="s">
        <v>567</v>
      </c>
      <c r="G732" s="130" t="s">
        <v>2516</v>
      </c>
      <c r="H732" s="130">
        <v>43144</v>
      </c>
      <c r="I732" s="129" t="s">
        <v>88</v>
      </c>
      <c r="J732" s="129">
        <v>65750</v>
      </c>
      <c r="K732" s="130" t="s">
        <v>2631</v>
      </c>
      <c r="L732" s="129" t="s">
        <v>570</v>
      </c>
      <c r="M732" s="129" t="s">
        <v>570</v>
      </c>
      <c r="N732" s="129" t="s">
        <v>570</v>
      </c>
      <c r="O732" s="129" t="s">
        <v>570</v>
      </c>
      <c r="P732" s="409" t="s">
        <v>570</v>
      </c>
      <c r="Q732" s="179"/>
      <c r="R732" s="179"/>
      <c r="S732" s="179"/>
      <c r="T732" s="500" t="e">
        <f>_xlfn.XLOOKUP(H732,#REF!,#REF!,0,0)</f>
        <v>#REF!</v>
      </c>
    </row>
    <row r="733" spans="1:20" x14ac:dyDescent="0.4">
      <c r="A733" s="129" t="s">
        <v>570</v>
      </c>
      <c r="B733" s="129" t="s">
        <v>2757</v>
      </c>
      <c r="C733" s="129"/>
      <c r="D733" s="129" t="s">
        <v>767</v>
      </c>
      <c r="E733" s="130"/>
      <c r="F733" s="129" t="s">
        <v>567</v>
      </c>
      <c r="G733" s="130" t="s">
        <v>2505</v>
      </c>
      <c r="H733" s="130">
        <v>43045</v>
      </c>
      <c r="I733" s="129" t="s">
        <v>2531</v>
      </c>
      <c r="J733" s="129">
        <v>65513</v>
      </c>
      <c r="K733" s="130" t="s">
        <v>2532</v>
      </c>
      <c r="L733" s="129" t="s">
        <v>570</v>
      </c>
      <c r="M733" s="129" t="s">
        <v>570</v>
      </c>
      <c r="N733" s="129" t="s">
        <v>570</v>
      </c>
      <c r="O733" s="129" t="s">
        <v>570</v>
      </c>
      <c r="P733" s="409" t="s">
        <v>570</v>
      </c>
      <c r="Q733" s="179"/>
      <c r="R733" s="179"/>
      <c r="S733" s="179"/>
      <c r="T733" s="500" t="e">
        <f>_xlfn.XLOOKUP(H733,#REF!,#REF!,0,0)</f>
        <v>#REF!</v>
      </c>
    </row>
    <row r="734" spans="1:20" x14ac:dyDescent="0.4">
      <c r="A734" s="129" t="s">
        <v>570</v>
      </c>
      <c r="B734" s="129" t="s">
        <v>2758</v>
      </c>
      <c r="C734" s="129"/>
      <c r="D734" s="129" t="s">
        <v>767</v>
      </c>
      <c r="E734" s="130"/>
      <c r="F734" s="129" t="s">
        <v>567</v>
      </c>
      <c r="G734" s="130" t="s">
        <v>2516</v>
      </c>
      <c r="H734" s="130">
        <v>42935</v>
      </c>
      <c r="I734" s="129" t="s">
        <v>2461</v>
      </c>
      <c r="J734" s="129">
        <v>65006</v>
      </c>
      <c r="K734" s="130" t="s">
        <v>2462</v>
      </c>
      <c r="L734" s="129" t="s">
        <v>570</v>
      </c>
      <c r="M734" s="129" t="s">
        <v>570</v>
      </c>
      <c r="N734" s="129" t="s">
        <v>570</v>
      </c>
      <c r="O734" s="129" t="s">
        <v>570</v>
      </c>
      <c r="P734" s="409" t="s">
        <v>570</v>
      </c>
      <c r="Q734" s="179"/>
      <c r="R734" s="179"/>
      <c r="S734" s="179"/>
      <c r="T734" s="500" t="e">
        <f>_xlfn.XLOOKUP(H734,#REF!,#REF!,0,0)</f>
        <v>#REF!</v>
      </c>
    </row>
    <row r="735" spans="1:20" x14ac:dyDescent="0.4">
      <c r="A735" s="129" t="s">
        <v>570</v>
      </c>
      <c r="B735" s="129" t="s">
        <v>2759</v>
      </c>
      <c r="C735" s="129"/>
      <c r="D735" s="129" t="s">
        <v>767</v>
      </c>
      <c r="E735" s="130"/>
      <c r="F735" s="129" t="s">
        <v>567</v>
      </c>
      <c r="G735" s="130" t="s">
        <v>2516</v>
      </c>
      <c r="H735" s="130">
        <v>42935</v>
      </c>
      <c r="I735" s="129" t="s">
        <v>2524</v>
      </c>
      <c r="J735" s="129">
        <v>65007</v>
      </c>
      <c r="K735" s="130" t="s">
        <v>2465</v>
      </c>
      <c r="L735" s="129" t="s">
        <v>570</v>
      </c>
      <c r="M735" s="129" t="s">
        <v>570</v>
      </c>
      <c r="N735" s="129" t="s">
        <v>570</v>
      </c>
      <c r="O735" s="129" t="s">
        <v>570</v>
      </c>
      <c r="P735" s="409" t="s">
        <v>570</v>
      </c>
      <c r="Q735" s="179"/>
      <c r="R735" s="179"/>
      <c r="S735" s="179"/>
      <c r="T735" s="500" t="e">
        <f>_xlfn.XLOOKUP(H735,#REF!,#REF!,0,0)</f>
        <v>#REF!</v>
      </c>
    </row>
    <row r="736" spans="1:20" x14ac:dyDescent="0.4">
      <c r="A736" s="129" t="s">
        <v>570</v>
      </c>
      <c r="B736" s="129" t="s">
        <v>2760</v>
      </c>
      <c r="C736" s="129"/>
      <c r="D736" s="129" t="s">
        <v>767</v>
      </c>
      <c r="E736" s="130"/>
      <c r="F736" s="129" t="s">
        <v>567</v>
      </c>
      <c r="G736" s="130" t="s">
        <v>2516</v>
      </c>
      <c r="H736" s="130">
        <v>43194</v>
      </c>
      <c r="I736" s="129" t="s">
        <v>2761</v>
      </c>
      <c r="J736" s="129">
        <v>65950</v>
      </c>
      <c r="K736" s="130" t="s">
        <v>2762</v>
      </c>
      <c r="L736" s="129" t="s">
        <v>570</v>
      </c>
      <c r="M736" s="129" t="s">
        <v>570</v>
      </c>
      <c r="N736" s="129" t="s">
        <v>570</v>
      </c>
      <c r="O736" s="129" t="s">
        <v>570</v>
      </c>
      <c r="P736" s="409" t="s">
        <v>570</v>
      </c>
      <c r="Q736" s="179"/>
      <c r="R736" s="179"/>
      <c r="S736" s="179"/>
      <c r="T736" s="500" t="e">
        <f>_xlfn.XLOOKUP(H736,#REF!,#REF!,0,0)</f>
        <v>#REF!</v>
      </c>
    </row>
    <row r="737" spans="1:20" x14ac:dyDescent="0.4">
      <c r="A737" s="129" t="s">
        <v>570</v>
      </c>
      <c r="B737" s="142" t="s">
        <v>2763</v>
      </c>
      <c r="C737" s="142"/>
      <c r="D737" s="129" t="s">
        <v>767</v>
      </c>
      <c r="E737" s="130"/>
      <c r="F737" s="129" t="s">
        <v>567</v>
      </c>
      <c r="G737" s="130" t="s">
        <v>755</v>
      </c>
      <c r="H737" s="130">
        <v>43243</v>
      </c>
      <c r="I737" s="129" t="s">
        <v>2764</v>
      </c>
      <c r="J737" s="129">
        <v>68236</v>
      </c>
      <c r="K737" s="130" t="s">
        <v>2765</v>
      </c>
      <c r="L737" s="129" t="s">
        <v>570</v>
      </c>
      <c r="M737" s="129" t="s">
        <v>570</v>
      </c>
      <c r="N737" s="129" t="s">
        <v>570</v>
      </c>
      <c r="O737" s="129" t="s">
        <v>570</v>
      </c>
      <c r="P737" s="409" t="s">
        <v>570</v>
      </c>
      <c r="Q737" s="179"/>
      <c r="R737" s="179"/>
      <c r="S737" s="179"/>
      <c r="T737" s="500" t="e">
        <f>_xlfn.XLOOKUP(H737,#REF!,#REF!,0,0)</f>
        <v>#REF!</v>
      </c>
    </row>
    <row r="738" spans="1:20" x14ac:dyDescent="0.4">
      <c r="A738" s="129" t="s">
        <v>570</v>
      </c>
      <c r="B738" s="129" t="s">
        <v>2766</v>
      </c>
      <c r="C738" s="129"/>
      <c r="D738" s="129" t="s">
        <v>767</v>
      </c>
      <c r="E738" s="130"/>
      <c r="F738" s="129" t="s">
        <v>567</v>
      </c>
      <c r="G738" s="130" t="s">
        <v>2608</v>
      </c>
      <c r="H738" s="130">
        <v>42436</v>
      </c>
      <c r="I738" s="129" t="s">
        <v>2013</v>
      </c>
      <c r="J738" s="129">
        <v>63541</v>
      </c>
      <c r="K738" s="130" t="s">
        <v>2015</v>
      </c>
      <c r="L738" s="129" t="s">
        <v>570</v>
      </c>
      <c r="M738" s="129" t="s">
        <v>570</v>
      </c>
      <c r="N738" s="129" t="s">
        <v>570</v>
      </c>
      <c r="O738" s="129" t="s">
        <v>570</v>
      </c>
      <c r="P738" s="409" t="s">
        <v>570</v>
      </c>
      <c r="Q738" s="179"/>
      <c r="R738" s="179"/>
      <c r="S738" s="179"/>
      <c r="T738" s="500" t="e">
        <f>_xlfn.XLOOKUP(H738,#REF!,#REF!,0,0)</f>
        <v>#REF!</v>
      </c>
    </row>
    <row r="739" spans="1:20" x14ac:dyDescent="0.4">
      <c r="A739" s="129" t="s">
        <v>570</v>
      </c>
      <c r="B739" s="129" t="s">
        <v>2767</v>
      </c>
      <c r="C739" s="129"/>
      <c r="D739" s="129" t="s">
        <v>767</v>
      </c>
      <c r="E739" s="130"/>
      <c r="F739" s="129" t="s">
        <v>567</v>
      </c>
      <c r="G739" s="130" t="s">
        <v>755</v>
      </c>
      <c r="H739" s="130">
        <v>43243</v>
      </c>
      <c r="I739" s="129" t="s">
        <v>118</v>
      </c>
      <c r="J739" s="129">
        <v>68235</v>
      </c>
      <c r="K739" s="130" t="s">
        <v>2768</v>
      </c>
      <c r="L739" s="129" t="s">
        <v>570</v>
      </c>
      <c r="M739" s="129" t="s">
        <v>570</v>
      </c>
      <c r="N739" s="129" t="s">
        <v>570</v>
      </c>
      <c r="O739" s="129" t="s">
        <v>570</v>
      </c>
      <c r="P739" s="409" t="s">
        <v>570</v>
      </c>
      <c r="Q739" s="179"/>
      <c r="R739" s="179"/>
      <c r="S739" s="179"/>
      <c r="T739" s="500" t="e">
        <f>_xlfn.XLOOKUP(H739,#REF!,#REF!,0,0)</f>
        <v>#REF!</v>
      </c>
    </row>
    <row r="740" spans="1:20" x14ac:dyDescent="0.4">
      <c r="A740" s="129" t="s">
        <v>570</v>
      </c>
      <c r="B740" s="129" t="s">
        <v>2769</v>
      </c>
      <c r="C740" s="129"/>
      <c r="D740" s="129" t="s">
        <v>767</v>
      </c>
      <c r="E740" s="130"/>
      <c r="F740" s="129" t="s">
        <v>567</v>
      </c>
      <c r="G740" s="130" t="s">
        <v>755</v>
      </c>
      <c r="H740" s="130">
        <v>43243</v>
      </c>
      <c r="I740" s="129" t="s">
        <v>2770</v>
      </c>
      <c r="J740" s="129">
        <v>68242</v>
      </c>
      <c r="K740" s="130" t="s">
        <v>2771</v>
      </c>
      <c r="L740" s="129" t="s">
        <v>570</v>
      </c>
      <c r="M740" s="129" t="s">
        <v>570</v>
      </c>
      <c r="N740" s="129" t="s">
        <v>570</v>
      </c>
      <c r="O740" s="129" t="s">
        <v>570</v>
      </c>
      <c r="P740" s="409" t="s">
        <v>570</v>
      </c>
      <c r="Q740" s="179"/>
      <c r="R740" s="179"/>
      <c r="S740" s="179"/>
      <c r="T740" s="500" t="e">
        <f>_xlfn.XLOOKUP(H740,#REF!,#REF!,0,0)</f>
        <v>#REF!</v>
      </c>
    </row>
    <row r="741" spans="1:20" x14ac:dyDescent="0.4">
      <c r="A741" s="129" t="s">
        <v>570</v>
      </c>
      <c r="B741" s="129" t="s">
        <v>2772</v>
      </c>
      <c r="C741" s="129"/>
      <c r="D741" s="129" t="s">
        <v>767</v>
      </c>
      <c r="E741" s="130"/>
      <c r="F741" s="129" t="s">
        <v>567</v>
      </c>
      <c r="G741" s="130" t="s">
        <v>2514</v>
      </c>
      <c r="H741" s="130">
        <v>42039</v>
      </c>
      <c r="I741" s="129" t="s">
        <v>1425</v>
      </c>
      <c r="J741" s="129">
        <v>59801</v>
      </c>
      <c r="K741" s="130" t="s">
        <v>1427</v>
      </c>
      <c r="L741" s="129" t="s">
        <v>570</v>
      </c>
      <c r="M741" s="129" t="s">
        <v>570</v>
      </c>
      <c r="N741" s="129" t="s">
        <v>570</v>
      </c>
      <c r="O741" s="129" t="s">
        <v>570</v>
      </c>
      <c r="P741" s="409" t="s">
        <v>570</v>
      </c>
      <c r="Q741" s="179"/>
      <c r="R741" s="179"/>
      <c r="S741" s="179"/>
      <c r="T741" s="500" t="e">
        <f>_xlfn.XLOOKUP(H741,#REF!,#REF!,0,0)</f>
        <v>#REF!</v>
      </c>
    </row>
    <row r="742" spans="1:20" x14ac:dyDescent="0.4">
      <c r="A742" s="129" t="s">
        <v>570</v>
      </c>
      <c r="B742" s="129" t="s">
        <v>2773</v>
      </c>
      <c r="C742" s="129"/>
      <c r="D742" s="129" t="s">
        <v>767</v>
      </c>
      <c r="E742" s="130"/>
      <c r="F742" s="129" t="s">
        <v>567</v>
      </c>
      <c r="G742" s="130" t="s">
        <v>755</v>
      </c>
      <c r="H742" s="130">
        <v>43243</v>
      </c>
      <c r="I742" s="129" t="s">
        <v>2774</v>
      </c>
      <c r="J742" s="129">
        <v>68231</v>
      </c>
      <c r="K742" s="130" t="s">
        <v>2775</v>
      </c>
      <c r="L742" s="129" t="s">
        <v>570</v>
      </c>
      <c r="M742" s="129" t="s">
        <v>570</v>
      </c>
      <c r="N742" s="129" t="s">
        <v>570</v>
      </c>
      <c r="O742" s="129" t="s">
        <v>570</v>
      </c>
      <c r="P742" s="409" t="s">
        <v>570</v>
      </c>
      <c r="Q742" s="179"/>
      <c r="R742" s="179"/>
      <c r="S742" s="179"/>
      <c r="T742" s="500" t="e">
        <f>_xlfn.XLOOKUP(H742,#REF!,#REF!,0,0)</f>
        <v>#REF!</v>
      </c>
    </row>
    <row r="743" spans="1:20" x14ac:dyDescent="0.4">
      <c r="A743" s="129" t="s">
        <v>570</v>
      </c>
      <c r="B743" s="129" t="s">
        <v>2776</v>
      </c>
      <c r="C743" s="129"/>
      <c r="D743" s="129" t="s">
        <v>767</v>
      </c>
      <c r="E743" s="130"/>
      <c r="F743" s="129" t="s">
        <v>567</v>
      </c>
      <c r="G743" s="130" t="s">
        <v>755</v>
      </c>
      <c r="H743" s="130">
        <v>43243</v>
      </c>
      <c r="I743" s="129" t="s">
        <v>2723</v>
      </c>
      <c r="J743" s="129">
        <v>68229</v>
      </c>
      <c r="K743" s="130" t="s">
        <v>2724</v>
      </c>
      <c r="L743" s="129" t="s">
        <v>570</v>
      </c>
      <c r="M743" s="129" t="s">
        <v>570</v>
      </c>
      <c r="N743" s="129" t="s">
        <v>570</v>
      </c>
      <c r="O743" s="129" t="s">
        <v>570</v>
      </c>
      <c r="P743" s="409" t="s">
        <v>570</v>
      </c>
      <c r="Q743" s="179"/>
      <c r="R743" s="179"/>
      <c r="S743" s="179"/>
      <c r="T743" s="500" t="e">
        <f>_xlfn.XLOOKUP(H743,#REF!,#REF!,0,0)</f>
        <v>#REF!</v>
      </c>
    </row>
    <row r="744" spans="1:20" x14ac:dyDescent="0.4">
      <c r="A744" s="129" t="s">
        <v>570</v>
      </c>
      <c r="B744" s="129" t="s">
        <v>2777</v>
      </c>
      <c r="C744" s="129"/>
      <c r="D744" s="129" t="s">
        <v>767</v>
      </c>
      <c r="E744" s="130"/>
      <c r="F744" s="129" t="s">
        <v>567</v>
      </c>
      <c r="G744" s="130" t="s">
        <v>755</v>
      </c>
      <c r="H744" s="130">
        <v>43243</v>
      </c>
      <c r="I744" s="129" t="s">
        <v>2778</v>
      </c>
      <c r="J744" s="129">
        <v>68238</v>
      </c>
      <c r="K744" s="130" t="s">
        <v>2779</v>
      </c>
      <c r="L744" s="129" t="s">
        <v>570</v>
      </c>
      <c r="M744" s="129" t="s">
        <v>570</v>
      </c>
      <c r="N744" s="129" t="s">
        <v>570</v>
      </c>
      <c r="O744" s="129" t="s">
        <v>570</v>
      </c>
      <c r="P744" s="409" t="s">
        <v>570</v>
      </c>
      <c r="Q744" s="179"/>
      <c r="R744" s="179"/>
      <c r="S744" s="179"/>
      <c r="T744" s="500" t="e">
        <f>_xlfn.XLOOKUP(H744,#REF!,#REF!,0,0)</f>
        <v>#REF!</v>
      </c>
    </row>
    <row r="745" spans="1:20" x14ac:dyDescent="0.4">
      <c r="A745" s="129" t="s">
        <v>570</v>
      </c>
      <c r="B745" s="129" t="s">
        <v>2780</v>
      </c>
      <c r="C745" s="129"/>
      <c r="D745" s="129" t="s">
        <v>767</v>
      </c>
      <c r="E745" s="130">
        <v>43344</v>
      </c>
      <c r="F745" s="129" t="s">
        <v>567</v>
      </c>
      <c r="G745" s="130" t="s">
        <v>755</v>
      </c>
      <c r="H745" s="130">
        <v>43243</v>
      </c>
      <c r="I745" s="129" t="s">
        <v>2781</v>
      </c>
      <c r="J745" s="129">
        <v>68234</v>
      </c>
      <c r="K745" s="130" t="s">
        <v>2782</v>
      </c>
      <c r="L745" s="129" t="s">
        <v>570</v>
      </c>
      <c r="M745" s="129" t="s">
        <v>570</v>
      </c>
      <c r="N745" s="129" t="s">
        <v>570</v>
      </c>
      <c r="O745" s="129" t="s">
        <v>570</v>
      </c>
      <c r="P745" s="409" t="s">
        <v>570</v>
      </c>
      <c r="Q745" s="179"/>
      <c r="R745" s="179"/>
      <c r="S745" s="179"/>
      <c r="T745" s="500" t="e">
        <f>_xlfn.XLOOKUP(H745,#REF!,#REF!,0,0)</f>
        <v>#REF!</v>
      </c>
    </row>
    <row r="746" spans="1:20" x14ac:dyDescent="0.4">
      <c r="A746" s="129" t="s">
        <v>570</v>
      </c>
      <c r="B746" s="129" t="s">
        <v>2783</v>
      </c>
      <c r="C746" s="129"/>
      <c r="D746" s="129" t="s">
        <v>767</v>
      </c>
      <c r="E746" s="130">
        <v>43344</v>
      </c>
      <c r="F746" s="129" t="s">
        <v>567</v>
      </c>
      <c r="G746" s="130" t="s">
        <v>755</v>
      </c>
      <c r="H746" s="130">
        <v>43243</v>
      </c>
      <c r="I746" s="129" t="s">
        <v>119</v>
      </c>
      <c r="J746" s="129">
        <v>68237</v>
      </c>
      <c r="K746" s="130" t="s">
        <v>2784</v>
      </c>
      <c r="L746" s="129" t="s">
        <v>570</v>
      </c>
      <c r="M746" s="129" t="s">
        <v>570</v>
      </c>
      <c r="N746" s="129" t="s">
        <v>570</v>
      </c>
      <c r="O746" s="129" t="s">
        <v>570</v>
      </c>
      <c r="P746" s="409" t="s">
        <v>570</v>
      </c>
      <c r="Q746" s="179"/>
      <c r="R746" s="179"/>
      <c r="S746" s="179"/>
      <c r="T746" s="500" t="e">
        <f>_xlfn.XLOOKUP(H746,#REF!,#REF!,0,0)</f>
        <v>#REF!</v>
      </c>
    </row>
    <row r="747" spans="1:20" x14ac:dyDescent="0.4">
      <c r="A747" s="129" t="s">
        <v>570</v>
      </c>
      <c r="B747" s="129" t="s">
        <v>2785</v>
      </c>
      <c r="C747" s="129"/>
      <c r="D747" s="129" t="s">
        <v>2200</v>
      </c>
      <c r="E747" s="130"/>
      <c r="F747" s="129" t="s">
        <v>567</v>
      </c>
      <c r="G747" s="130" t="s">
        <v>755</v>
      </c>
      <c r="H747" s="130">
        <v>43243</v>
      </c>
      <c r="I747" s="129" t="s">
        <v>2786</v>
      </c>
      <c r="J747" s="129">
        <v>68250</v>
      </c>
      <c r="K747" s="130" t="s">
        <v>2787</v>
      </c>
      <c r="L747" s="129" t="s">
        <v>570</v>
      </c>
      <c r="M747" s="129" t="s">
        <v>570</v>
      </c>
      <c r="N747" s="129" t="s">
        <v>570</v>
      </c>
      <c r="O747" s="129" t="s">
        <v>570</v>
      </c>
      <c r="P747" s="409" t="s">
        <v>570</v>
      </c>
      <c r="Q747" s="179"/>
      <c r="R747" s="179"/>
      <c r="S747" s="179"/>
      <c r="T747" s="500" t="e">
        <f>_xlfn.XLOOKUP(H747,#REF!,#REF!,0,0)</f>
        <v>#REF!</v>
      </c>
    </row>
    <row r="748" spans="1:20" x14ac:dyDescent="0.4">
      <c r="A748" s="129" t="s">
        <v>570</v>
      </c>
      <c r="B748" s="129" t="s">
        <v>2788</v>
      </c>
      <c r="C748" s="129"/>
      <c r="D748" s="129" t="s">
        <v>767</v>
      </c>
      <c r="E748" s="130"/>
      <c r="F748" s="129" t="s">
        <v>567</v>
      </c>
      <c r="G748" s="130" t="s">
        <v>2516</v>
      </c>
      <c r="H748" s="130">
        <v>43144</v>
      </c>
      <c r="I748" s="129" t="s">
        <v>92</v>
      </c>
      <c r="J748" s="129">
        <v>65758</v>
      </c>
      <c r="K748" s="130" t="s">
        <v>775</v>
      </c>
      <c r="L748" s="129" t="s">
        <v>570</v>
      </c>
      <c r="M748" s="129" t="s">
        <v>570</v>
      </c>
      <c r="N748" s="129" t="s">
        <v>570</v>
      </c>
      <c r="O748" s="129" t="s">
        <v>570</v>
      </c>
      <c r="P748" s="409" t="s">
        <v>570</v>
      </c>
      <c r="Q748" s="179"/>
      <c r="R748" s="179"/>
      <c r="S748" s="179"/>
      <c r="T748" s="500" t="e">
        <f>_xlfn.XLOOKUP(H748,#REF!,#REF!,0,0)</f>
        <v>#REF!</v>
      </c>
    </row>
    <row r="749" spans="1:20" x14ac:dyDescent="0.4">
      <c r="A749" s="129" t="s">
        <v>570</v>
      </c>
      <c r="B749" s="129" t="s">
        <v>2789</v>
      </c>
      <c r="C749" s="129"/>
      <c r="D749" s="129" t="s">
        <v>767</v>
      </c>
      <c r="E749" s="130"/>
      <c r="F749" s="129" t="s">
        <v>567</v>
      </c>
      <c r="G749" s="130" t="s">
        <v>755</v>
      </c>
      <c r="H749" s="130">
        <v>43243</v>
      </c>
      <c r="I749" s="129" t="s">
        <v>2790</v>
      </c>
      <c r="J749" s="129">
        <v>68265</v>
      </c>
      <c r="K749" s="130" t="s">
        <v>2791</v>
      </c>
      <c r="L749" s="129" t="s">
        <v>570</v>
      </c>
      <c r="M749" s="129" t="s">
        <v>570</v>
      </c>
      <c r="N749" s="129" t="s">
        <v>570</v>
      </c>
      <c r="O749" s="129" t="s">
        <v>570</v>
      </c>
      <c r="P749" s="409" t="s">
        <v>570</v>
      </c>
      <c r="Q749" s="179"/>
      <c r="R749" s="179"/>
      <c r="S749" s="179"/>
      <c r="T749" s="500" t="e">
        <f>_xlfn.XLOOKUP(H749,#REF!,#REF!,0,0)</f>
        <v>#REF!</v>
      </c>
    </row>
    <row r="750" spans="1:20" x14ac:dyDescent="0.4">
      <c r="A750" s="129" t="s">
        <v>570</v>
      </c>
      <c r="B750" s="129" t="s">
        <v>2792</v>
      </c>
      <c r="C750" s="129"/>
      <c r="D750" s="129" t="s">
        <v>767</v>
      </c>
      <c r="E750" s="130">
        <v>43354</v>
      </c>
      <c r="F750" s="129" t="s">
        <v>567</v>
      </c>
      <c r="G750" s="130" t="s">
        <v>755</v>
      </c>
      <c r="H750" s="130">
        <v>43243</v>
      </c>
      <c r="I750" s="129" t="s">
        <v>122</v>
      </c>
      <c r="J750" s="129">
        <v>68244</v>
      </c>
      <c r="K750" s="130" t="s">
        <v>2793</v>
      </c>
      <c r="L750" s="129" t="s">
        <v>570</v>
      </c>
      <c r="M750" s="129" t="s">
        <v>570</v>
      </c>
      <c r="N750" s="129" t="s">
        <v>570</v>
      </c>
      <c r="O750" s="129" t="s">
        <v>570</v>
      </c>
      <c r="P750" s="409" t="s">
        <v>570</v>
      </c>
      <c r="Q750" s="179"/>
      <c r="R750" s="179"/>
      <c r="S750" s="179"/>
      <c r="T750" s="500" t="e">
        <f>_xlfn.XLOOKUP(H750,#REF!,#REF!,0,0)</f>
        <v>#REF!</v>
      </c>
    </row>
    <row r="751" spans="1:20" x14ac:dyDescent="0.4">
      <c r="A751" s="129" t="s">
        <v>570</v>
      </c>
      <c r="B751" s="129" t="s">
        <v>2794</v>
      </c>
      <c r="C751" s="129"/>
      <c r="D751" s="129" t="s">
        <v>767</v>
      </c>
      <c r="E751" s="130"/>
      <c r="F751" s="129" t="s">
        <v>567</v>
      </c>
      <c r="G751" s="130" t="s">
        <v>755</v>
      </c>
      <c r="H751" s="130">
        <v>43243</v>
      </c>
      <c r="I751" s="129" t="s">
        <v>123</v>
      </c>
      <c r="J751" s="129">
        <v>68245</v>
      </c>
      <c r="K751" s="130" t="s">
        <v>2795</v>
      </c>
      <c r="L751" s="129" t="s">
        <v>570</v>
      </c>
      <c r="M751" s="129"/>
      <c r="N751" s="129" t="s">
        <v>570</v>
      </c>
      <c r="O751" s="129" t="s">
        <v>570</v>
      </c>
      <c r="P751" s="409" t="s">
        <v>570</v>
      </c>
      <c r="Q751" s="179"/>
      <c r="R751" s="179"/>
      <c r="S751" s="179"/>
      <c r="T751" s="500" t="e">
        <f>_xlfn.XLOOKUP(H751,#REF!,#REF!,0,0)</f>
        <v>#REF!</v>
      </c>
    </row>
    <row r="752" spans="1:20" x14ac:dyDescent="0.4">
      <c r="A752" s="129" t="s">
        <v>570</v>
      </c>
      <c r="B752" s="129" t="s">
        <v>2796</v>
      </c>
      <c r="C752" s="129"/>
      <c r="D752" s="129" t="s">
        <v>767</v>
      </c>
      <c r="E752" s="130"/>
      <c r="F752" s="129" t="s">
        <v>567</v>
      </c>
      <c r="G752" s="130" t="s">
        <v>755</v>
      </c>
      <c r="H752" s="130">
        <v>43243</v>
      </c>
      <c r="I752" s="129" t="s">
        <v>322</v>
      </c>
      <c r="J752" s="129">
        <v>68247</v>
      </c>
      <c r="K752" s="130" t="s">
        <v>2797</v>
      </c>
      <c r="L752" s="129" t="s">
        <v>570</v>
      </c>
      <c r="M752" s="129"/>
      <c r="N752" s="129" t="s">
        <v>570</v>
      </c>
      <c r="O752" s="129" t="s">
        <v>570</v>
      </c>
      <c r="P752" s="409" t="s">
        <v>570</v>
      </c>
      <c r="Q752" s="179"/>
      <c r="R752" s="179"/>
      <c r="S752" s="179"/>
      <c r="T752" s="500" t="e">
        <f>_xlfn.XLOOKUP(H752,#REF!,#REF!,0,0)</f>
        <v>#REF!</v>
      </c>
    </row>
    <row r="753" spans="1:20" x14ac:dyDescent="0.4">
      <c r="A753" s="129" t="s">
        <v>570</v>
      </c>
      <c r="B753" s="129" t="s">
        <v>2798</v>
      </c>
      <c r="C753" s="129"/>
      <c r="D753" s="129" t="s">
        <v>767</v>
      </c>
      <c r="E753" s="130"/>
      <c r="F753" s="129" t="s">
        <v>567</v>
      </c>
      <c r="G753" s="130" t="s">
        <v>755</v>
      </c>
      <c r="H753" s="130">
        <v>43243</v>
      </c>
      <c r="I753" s="129" t="s">
        <v>124</v>
      </c>
      <c r="J753" s="129">
        <v>68246</v>
      </c>
      <c r="K753" s="130" t="s">
        <v>2799</v>
      </c>
      <c r="L753" s="129" t="s">
        <v>570</v>
      </c>
      <c r="M753" s="129" t="s">
        <v>570</v>
      </c>
      <c r="N753" s="129" t="s">
        <v>570</v>
      </c>
      <c r="O753" s="129" t="s">
        <v>570</v>
      </c>
      <c r="P753" s="409" t="s">
        <v>570</v>
      </c>
      <c r="Q753" s="179"/>
      <c r="R753" s="179"/>
      <c r="S753" s="179"/>
      <c r="T753" s="500" t="e">
        <f>_xlfn.XLOOKUP(H753,#REF!,#REF!,0,0)</f>
        <v>#REF!</v>
      </c>
    </row>
    <row r="754" spans="1:20" x14ac:dyDescent="0.4">
      <c r="A754" s="129" t="s">
        <v>570</v>
      </c>
      <c r="B754" s="129" t="s">
        <v>2800</v>
      </c>
      <c r="C754" s="129"/>
      <c r="D754" s="129" t="s">
        <v>767</v>
      </c>
      <c r="E754" s="130">
        <v>43374</v>
      </c>
      <c r="F754" s="129" t="s">
        <v>567</v>
      </c>
      <c r="G754" s="130" t="s">
        <v>755</v>
      </c>
      <c r="H754" s="130">
        <v>43243</v>
      </c>
      <c r="I754" s="129" t="s">
        <v>125</v>
      </c>
      <c r="J754" s="129">
        <v>68248</v>
      </c>
      <c r="K754" s="130" t="s">
        <v>2801</v>
      </c>
      <c r="L754" s="129" t="s">
        <v>570</v>
      </c>
      <c r="M754" s="129" t="s">
        <v>570</v>
      </c>
      <c r="N754" s="129" t="s">
        <v>570</v>
      </c>
      <c r="O754" s="129" t="s">
        <v>570</v>
      </c>
      <c r="P754" s="409" t="s">
        <v>570</v>
      </c>
      <c r="Q754" s="179"/>
      <c r="R754" s="179"/>
      <c r="S754" s="179"/>
      <c r="T754" s="500" t="e">
        <f>_xlfn.XLOOKUP(H754,#REF!,#REF!,0,0)</f>
        <v>#REF!</v>
      </c>
    </row>
    <row r="755" spans="1:20" x14ac:dyDescent="0.4">
      <c r="A755" s="129" t="s">
        <v>570</v>
      </c>
      <c r="B755" s="129" t="s">
        <v>2802</v>
      </c>
      <c r="C755" s="129"/>
      <c r="D755" s="129" t="s">
        <v>767</v>
      </c>
      <c r="E755" s="130"/>
      <c r="F755" s="129" t="s">
        <v>567</v>
      </c>
      <c r="G755" s="130" t="s">
        <v>755</v>
      </c>
      <c r="H755" s="130">
        <v>43243</v>
      </c>
      <c r="I755" s="129" t="s">
        <v>126</v>
      </c>
      <c r="J755" s="129">
        <v>68249</v>
      </c>
      <c r="K755" s="130" t="s">
        <v>2803</v>
      </c>
      <c r="L755" s="129" t="s">
        <v>570</v>
      </c>
      <c r="M755" s="129" t="s">
        <v>570</v>
      </c>
      <c r="N755" s="129" t="s">
        <v>570</v>
      </c>
      <c r="O755" s="129" t="s">
        <v>570</v>
      </c>
      <c r="P755" s="409" t="s">
        <v>570</v>
      </c>
      <c r="Q755" s="179"/>
      <c r="R755" s="179"/>
      <c r="S755" s="179"/>
      <c r="T755" s="500" t="e">
        <f>_xlfn.XLOOKUP(H755,#REF!,#REF!,0,0)</f>
        <v>#REF!</v>
      </c>
    </row>
    <row r="756" spans="1:20" x14ac:dyDescent="0.4">
      <c r="A756" s="129" t="s">
        <v>570</v>
      </c>
      <c r="B756" s="129" t="s">
        <v>2804</v>
      </c>
      <c r="C756" s="129"/>
      <c r="D756" s="129" t="s">
        <v>767</v>
      </c>
      <c r="E756" s="130">
        <v>43374</v>
      </c>
      <c r="F756" s="129" t="s">
        <v>567</v>
      </c>
      <c r="G756" s="130" t="s">
        <v>755</v>
      </c>
      <c r="H756" s="130">
        <v>43243</v>
      </c>
      <c r="I756" s="129" t="s">
        <v>133</v>
      </c>
      <c r="J756" s="129">
        <v>68264</v>
      </c>
      <c r="K756" s="130" t="s">
        <v>2805</v>
      </c>
      <c r="L756" s="129" t="s">
        <v>570</v>
      </c>
      <c r="M756" s="129" t="s">
        <v>570</v>
      </c>
      <c r="N756" s="129" t="s">
        <v>570</v>
      </c>
      <c r="O756" s="129" t="s">
        <v>570</v>
      </c>
      <c r="P756" s="409" t="s">
        <v>570</v>
      </c>
      <c r="Q756" s="179"/>
      <c r="R756" s="179"/>
      <c r="S756" s="179"/>
      <c r="T756" s="500" t="e">
        <f>_xlfn.XLOOKUP(H756,#REF!,#REF!,0,0)</f>
        <v>#REF!</v>
      </c>
    </row>
    <row r="757" spans="1:20" x14ac:dyDescent="0.4">
      <c r="A757" s="129" t="s">
        <v>570</v>
      </c>
      <c r="B757" s="129" t="s">
        <v>2806</v>
      </c>
      <c r="C757" s="129"/>
      <c r="D757" s="129" t="s">
        <v>767</v>
      </c>
      <c r="E757" s="130"/>
      <c r="F757" s="129" t="s">
        <v>567</v>
      </c>
      <c r="G757" s="130" t="s">
        <v>755</v>
      </c>
      <c r="H757" s="130">
        <v>43263</v>
      </c>
      <c r="I757" s="129" t="s">
        <v>134</v>
      </c>
      <c r="J757" s="129">
        <v>68348</v>
      </c>
      <c r="K757" s="130" t="s">
        <v>2807</v>
      </c>
      <c r="L757" s="129" t="s">
        <v>570</v>
      </c>
      <c r="M757" s="129"/>
      <c r="N757" s="129" t="s">
        <v>570</v>
      </c>
      <c r="O757" s="129" t="s">
        <v>570</v>
      </c>
      <c r="P757" s="409" t="s">
        <v>570</v>
      </c>
      <c r="Q757" s="179"/>
      <c r="R757" s="179"/>
      <c r="S757" s="179"/>
      <c r="T757" s="500" t="e">
        <f>_xlfn.XLOOKUP(H757,#REF!,#REF!,0,0)</f>
        <v>#REF!</v>
      </c>
    </row>
    <row r="758" spans="1:20" x14ac:dyDescent="0.4">
      <c r="A758" s="129" t="s">
        <v>570</v>
      </c>
      <c r="B758" s="129" t="s">
        <v>2808</v>
      </c>
      <c r="C758" s="129"/>
      <c r="D758" s="129" t="s">
        <v>767</v>
      </c>
      <c r="E758" s="130"/>
      <c r="F758" s="129" t="s">
        <v>567</v>
      </c>
      <c r="G758" s="130" t="s">
        <v>755</v>
      </c>
      <c r="H758" s="130">
        <v>43263</v>
      </c>
      <c r="I758" s="129" t="s">
        <v>135</v>
      </c>
      <c r="J758" s="129">
        <v>68349</v>
      </c>
      <c r="K758" s="130" t="s">
        <v>2809</v>
      </c>
      <c r="L758" s="129" t="s">
        <v>570</v>
      </c>
      <c r="M758" s="129" t="s">
        <v>570</v>
      </c>
      <c r="N758" s="129" t="s">
        <v>570</v>
      </c>
      <c r="O758" s="129" t="s">
        <v>570</v>
      </c>
      <c r="P758" s="409" t="s">
        <v>570</v>
      </c>
      <c r="Q758" s="179"/>
      <c r="R758" s="179"/>
      <c r="S758" s="179"/>
      <c r="T758" s="500" t="e">
        <f>_xlfn.XLOOKUP(H758,#REF!,#REF!,0,0)</f>
        <v>#REF!</v>
      </c>
    </row>
    <row r="759" spans="1:20" x14ac:dyDescent="0.4">
      <c r="A759" s="129" t="s">
        <v>570</v>
      </c>
      <c r="B759" s="130" t="s">
        <v>2810</v>
      </c>
      <c r="C759" s="130"/>
      <c r="D759" s="130" t="s">
        <v>767</v>
      </c>
      <c r="E759" s="130"/>
      <c r="F759" s="129" t="s">
        <v>567</v>
      </c>
      <c r="G759" s="130" t="s">
        <v>755</v>
      </c>
      <c r="H759" s="130">
        <v>43243</v>
      </c>
      <c r="I759" s="129" t="s">
        <v>2811</v>
      </c>
      <c r="J759" s="129">
        <v>68259</v>
      </c>
      <c r="K759" s="130" t="s">
        <v>2812</v>
      </c>
      <c r="L759" s="130" t="s">
        <v>570</v>
      </c>
      <c r="M759" s="130" t="s">
        <v>570</v>
      </c>
      <c r="N759" s="130" t="s">
        <v>570</v>
      </c>
      <c r="O759" s="130" t="s">
        <v>570</v>
      </c>
      <c r="P759" s="444"/>
      <c r="Q759" s="179"/>
      <c r="R759" s="179"/>
      <c r="S759" s="179"/>
      <c r="T759" s="500" t="e">
        <f>_xlfn.XLOOKUP(H759,#REF!,#REF!,0,0)</f>
        <v>#REF!</v>
      </c>
    </row>
    <row r="760" spans="1:20" x14ac:dyDescent="0.4">
      <c r="A760" s="129" t="s">
        <v>570</v>
      </c>
      <c r="B760" s="129" t="s">
        <v>2813</v>
      </c>
      <c r="C760" s="129"/>
      <c r="D760" s="129" t="s">
        <v>767</v>
      </c>
      <c r="E760" s="130"/>
      <c r="F760" s="129" t="s">
        <v>567</v>
      </c>
      <c r="G760" s="130" t="s">
        <v>755</v>
      </c>
      <c r="H760" s="130">
        <v>43263</v>
      </c>
      <c r="I760" s="129" t="s">
        <v>136</v>
      </c>
      <c r="J760" s="129">
        <v>68350</v>
      </c>
      <c r="K760" s="130" t="s">
        <v>2814</v>
      </c>
      <c r="L760" s="129" t="s">
        <v>570</v>
      </c>
      <c r="M760" s="129"/>
      <c r="N760" s="129" t="s">
        <v>570</v>
      </c>
      <c r="O760" s="129" t="s">
        <v>570</v>
      </c>
      <c r="P760" s="409" t="s">
        <v>570</v>
      </c>
      <c r="Q760" s="179"/>
      <c r="R760" s="179"/>
      <c r="S760" s="179"/>
      <c r="T760" s="500" t="e">
        <f>_xlfn.XLOOKUP(H760,#REF!,#REF!,0,0)</f>
        <v>#REF!</v>
      </c>
    </row>
    <row r="761" spans="1:20" x14ac:dyDescent="0.4">
      <c r="A761" s="129" t="s">
        <v>570</v>
      </c>
      <c r="B761" s="129" t="s">
        <v>2815</v>
      </c>
      <c r="C761" s="129"/>
      <c r="D761" s="129" t="s">
        <v>767</v>
      </c>
      <c r="E761" s="130"/>
      <c r="F761" s="129" t="s">
        <v>567</v>
      </c>
      <c r="G761" s="130" t="s">
        <v>755</v>
      </c>
      <c r="H761" s="130">
        <v>43243</v>
      </c>
      <c r="I761" s="129" t="s">
        <v>2816</v>
      </c>
      <c r="J761" s="129">
        <v>68260</v>
      </c>
      <c r="K761" s="130" t="s">
        <v>2817</v>
      </c>
      <c r="L761" s="129" t="s">
        <v>570</v>
      </c>
      <c r="M761" s="129" t="s">
        <v>570</v>
      </c>
      <c r="N761" s="129" t="s">
        <v>570</v>
      </c>
      <c r="O761" s="129" t="s">
        <v>570</v>
      </c>
      <c r="P761" s="409" t="s">
        <v>570</v>
      </c>
      <c r="Q761" s="179"/>
      <c r="R761" s="179"/>
      <c r="S761" s="179"/>
      <c r="T761" s="500" t="e">
        <f>_xlfn.XLOOKUP(H761,#REF!,#REF!,0,0)</f>
        <v>#REF!</v>
      </c>
    </row>
    <row r="762" spans="1:20" x14ac:dyDescent="0.4">
      <c r="A762" s="129" t="s">
        <v>570</v>
      </c>
      <c r="B762" s="129" t="s">
        <v>2818</v>
      </c>
      <c r="C762" s="129"/>
      <c r="D762" s="129" t="s">
        <v>767</v>
      </c>
      <c r="E762" s="130"/>
      <c r="F762" s="129" t="s">
        <v>567</v>
      </c>
      <c r="G762" s="130" t="s">
        <v>755</v>
      </c>
      <c r="H762" s="130">
        <v>43263</v>
      </c>
      <c r="I762" s="129" t="s">
        <v>2819</v>
      </c>
      <c r="J762" s="129">
        <v>68351</v>
      </c>
      <c r="K762" s="130" t="s">
        <v>2820</v>
      </c>
      <c r="L762" s="129" t="s">
        <v>570</v>
      </c>
      <c r="M762" s="129" t="s">
        <v>570</v>
      </c>
      <c r="N762" s="129" t="s">
        <v>570</v>
      </c>
      <c r="O762" s="129" t="s">
        <v>570</v>
      </c>
      <c r="P762" s="409" t="s">
        <v>570</v>
      </c>
      <c r="Q762" s="179"/>
      <c r="R762" s="179"/>
      <c r="S762" s="179"/>
      <c r="T762" s="500" t="e">
        <f>_xlfn.XLOOKUP(H762,#REF!,#REF!,0,0)</f>
        <v>#REF!</v>
      </c>
    </row>
    <row r="763" spans="1:20" x14ac:dyDescent="0.4">
      <c r="A763" s="129" t="s">
        <v>570</v>
      </c>
      <c r="B763" s="129" t="s">
        <v>2821</v>
      </c>
      <c r="C763" s="129"/>
      <c r="D763" s="129" t="s">
        <v>767</v>
      </c>
      <c r="E763" s="130"/>
      <c r="F763" s="129" t="s">
        <v>567</v>
      </c>
      <c r="G763" s="130" t="s">
        <v>755</v>
      </c>
      <c r="H763" s="130">
        <v>43243</v>
      </c>
      <c r="I763" s="129" t="s">
        <v>2822</v>
      </c>
      <c r="J763" s="129">
        <v>68261</v>
      </c>
      <c r="K763" s="130" t="s">
        <v>2823</v>
      </c>
      <c r="L763" s="129" t="s">
        <v>570</v>
      </c>
      <c r="M763" s="129" t="s">
        <v>570</v>
      </c>
      <c r="N763" s="129" t="s">
        <v>570</v>
      </c>
      <c r="O763" s="129" t="s">
        <v>570</v>
      </c>
      <c r="P763" s="409" t="s">
        <v>570</v>
      </c>
      <c r="Q763" s="179"/>
      <c r="R763" s="179"/>
      <c r="S763" s="179"/>
      <c r="T763" s="500" t="e">
        <f>_xlfn.XLOOKUP(H763,#REF!,#REF!,0,0)</f>
        <v>#REF!</v>
      </c>
    </row>
    <row r="764" spans="1:20" x14ac:dyDescent="0.4">
      <c r="A764" s="129" t="s">
        <v>570</v>
      </c>
      <c r="B764" s="129" t="s">
        <v>2824</v>
      </c>
      <c r="C764" s="129"/>
      <c r="D764" s="129" t="s">
        <v>2200</v>
      </c>
      <c r="E764" s="130"/>
      <c r="F764" s="129" t="s">
        <v>567</v>
      </c>
      <c r="G764" s="130" t="s">
        <v>755</v>
      </c>
      <c r="H764" s="130">
        <v>43361</v>
      </c>
      <c r="I764" s="129" t="s">
        <v>2825</v>
      </c>
      <c r="J764" s="129">
        <v>68767</v>
      </c>
      <c r="K764" s="130" t="s">
        <v>2826</v>
      </c>
      <c r="L764" s="129" t="s">
        <v>570</v>
      </c>
      <c r="M764" s="129"/>
      <c r="N764" s="129" t="s">
        <v>570</v>
      </c>
      <c r="O764" s="129" t="s">
        <v>333</v>
      </c>
      <c r="P764" s="409" t="s">
        <v>570</v>
      </c>
      <c r="Q764" s="179"/>
      <c r="R764" s="179"/>
      <c r="S764" s="179"/>
      <c r="T764" s="500" t="e">
        <f>_xlfn.XLOOKUP(H764,#REF!,#REF!,0,0)</f>
        <v>#REF!</v>
      </c>
    </row>
    <row r="765" spans="1:20" x14ac:dyDescent="0.4">
      <c r="A765" s="129" t="s">
        <v>570</v>
      </c>
      <c r="B765" s="129" t="s">
        <v>2824</v>
      </c>
      <c r="C765" s="129"/>
      <c r="D765" s="129" t="s">
        <v>2200</v>
      </c>
      <c r="E765" s="130"/>
      <c r="F765" s="129" t="s">
        <v>567</v>
      </c>
      <c r="G765" s="130" t="s">
        <v>755</v>
      </c>
      <c r="H765" s="130">
        <v>43361</v>
      </c>
      <c r="I765" s="129" t="s">
        <v>2827</v>
      </c>
      <c r="J765" s="129">
        <v>68768</v>
      </c>
      <c r="K765" s="130" t="s">
        <v>2828</v>
      </c>
      <c r="L765" s="129" t="s">
        <v>570</v>
      </c>
      <c r="M765" s="129"/>
      <c r="N765" s="129" t="s">
        <v>570</v>
      </c>
      <c r="O765" s="129" t="s">
        <v>333</v>
      </c>
      <c r="P765" s="409" t="s">
        <v>570</v>
      </c>
      <c r="Q765" s="179"/>
      <c r="R765" s="179"/>
      <c r="S765" s="179"/>
      <c r="T765" s="500" t="e">
        <f>_xlfn.XLOOKUP(H765,#REF!,#REF!,0,0)</f>
        <v>#REF!</v>
      </c>
    </row>
    <row r="766" spans="1:20" x14ac:dyDescent="0.4">
      <c r="A766" s="129" t="s">
        <v>570</v>
      </c>
      <c r="B766" s="129" t="s">
        <v>2824</v>
      </c>
      <c r="C766" s="129"/>
      <c r="D766" s="129" t="s">
        <v>2200</v>
      </c>
      <c r="E766" s="130"/>
      <c r="F766" s="129" t="s">
        <v>567</v>
      </c>
      <c r="G766" s="130" t="s">
        <v>755</v>
      </c>
      <c r="H766" s="130">
        <v>43361</v>
      </c>
      <c r="I766" s="129" t="s">
        <v>2829</v>
      </c>
      <c r="J766" s="129">
        <v>68769</v>
      </c>
      <c r="K766" s="130"/>
      <c r="L766" s="129" t="s">
        <v>570</v>
      </c>
      <c r="M766" s="129"/>
      <c r="N766" s="129" t="s">
        <v>570</v>
      </c>
      <c r="O766" s="129" t="s">
        <v>333</v>
      </c>
      <c r="P766" s="409" t="s">
        <v>570</v>
      </c>
      <c r="Q766" s="179"/>
      <c r="R766" s="179"/>
      <c r="S766" s="179"/>
      <c r="T766" s="500" t="e">
        <f>_xlfn.XLOOKUP(H766,#REF!,#REF!,0,0)</f>
        <v>#REF!</v>
      </c>
    </row>
    <row r="767" spans="1:20" x14ac:dyDescent="0.4">
      <c r="A767" s="129" t="s">
        <v>570</v>
      </c>
      <c r="B767" s="129" t="s">
        <v>2824</v>
      </c>
      <c r="C767" s="129"/>
      <c r="D767" s="129" t="s">
        <v>2200</v>
      </c>
      <c r="E767" s="130"/>
      <c r="F767" s="129" t="s">
        <v>567</v>
      </c>
      <c r="G767" s="130" t="s">
        <v>755</v>
      </c>
      <c r="H767" s="130">
        <v>43361</v>
      </c>
      <c r="I767" s="129" t="s">
        <v>2830</v>
      </c>
      <c r="J767" s="129">
        <v>68770</v>
      </c>
      <c r="K767" s="130" t="s">
        <v>2831</v>
      </c>
      <c r="L767" s="129" t="s">
        <v>570</v>
      </c>
      <c r="M767" s="129"/>
      <c r="N767" s="129" t="s">
        <v>570</v>
      </c>
      <c r="O767" s="129" t="s">
        <v>333</v>
      </c>
      <c r="P767" s="409" t="s">
        <v>570</v>
      </c>
      <c r="Q767" s="179"/>
      <c r="R767" s="179"/>
      <c r="S767" s="179"/>
      <c r="T767" s="500" t="e">
        <f>_xlfn.XLOOKUP(H767,#REF!,#REF!,0,0)</f>
        <v>#REF!</v>
      </c>
    </row>
    <row r="768" spans="1:20" x14ac:dyDescent="0.4">
      <c r="A768" s="129" t="s">
        <v>570</v>
      </c>
      <c r="B768" s="129" t="s">
        <v>2832</v>
      </c>
      <c r="C768" s="129"/>
      <c r="D768" s="129" t="s">
        <v>767</v>
      </c>
      <c r="E768" s="130"/>
      <c r="F768" s="129" t="s">
        <v>567</v>
      </c>
      <c r="G768" s="130" t="s">
        <v>755</v>
      </c>
      <c r="H768" s="130">
        <v>43243</v>
      </c>
      <c r="I768" s="129" t="s">
        <v>120</v>
      </c>
      <c r="J768" s="129">
        <v>68240</v>
      </c>
      <c r="K768" s="130" t="s">
        <v>2833</v>
      </c>
      <c r="L768" s="129" t="s">
        <v>570</v>
      </c>
      <c r="M768" s="129" t="s">
        <v>570</v>
      </c>
      <c r="N768" s="129" t="s">
        <v>570</v>
      </c>
      <c r="O768" s="129" t="s">
        <v>570</v>
      </c>
      <c r="P768" s="409" t="s">
        <v>570</v>
      </c>
      <c r="Q768" s="179"/>
      <c r="R768" s="179"/>
      <c r="S768" s="179"/>
      <c r="T768" s="500" t="e">
        <f>_xlfn.XLOOKUP(H768,#REF!,#REF!,0,0)</f>
        <v>#REF!</v>
      </c>
    </row>
    <row r="769" spans="1:20" x14ac:dyDescent="0.4">
      <c r="A769" s="129" t="s">
        <v>570</v>
      </c>
      <c r="B769" s="129" t="s">
        <v>2834</v>
      </c>
      <c r="C769" s="129"/>
      <c r="D769" s="129" t="s">
        <v>767</v>
      </c>
      <c r="E769" s="130"/>
      <c r="F769" s="129" t="s">
        <v>567</v>
      </c>
      <c r="G769" s="130" t="s">
        <v>755</v>
      </c>
      <c r="H769" s="130">
        <v>43263</v>
      </c>
      <c r="I769" s="129" t="s">
        <v>138</v>
      </c>
      <c r="J769" s="129">
        <v>68357</v>
      </c>
      <c r="K769" s="130" t="s">
        <v>2835</v>
      </c>
      <c r="L769" s="129" t="s">
        <v>570</v>
      </c>
      <c r="M769" s="129" t="s">
        <v>2472</v>
      </c>
      <c r="N769" s="129" t="s">
        <v>570</v>
      </c>
      <c r="O769" s="129" t="s">
        <v>570</v>
      </c>
      <c r="P769" s="409" t="s">
        <v>570</v>
      </c>
      <c r="Q769" s="179"/>
      <c r="R769" s="179"/>
      <c r="S769" s="179"/>
      <c r="T769" s="500" t="e">
        <f>_xlfn.XLOOKUP(H769,#REF!,#REF!,0,0)</f>
        <v>#REF!</v>
      </c>
    </row>
    <row r="770" spans="1:20" x14ac:dyDescent="0.4">
      <c r="A770" s="129" t="s">
        <v>570</v>
      </c>
      <c r="B770" s="129" t="s">
        <v>2836</v>
      </c>
      <c r="C770" s="129"/>
      <c r="D770" s="129" t="s">
        <v>767</v>
      </c>
      <c r="E770" s="130"/>
      <c r="F770" s="129" t="s">
        <v>567</v>
      </c>
      <c r="G770" s="130" t="s">
        <v>755</v>
      </c>
      <c r="H770" s="130">
        <v>43263</v>
      </c>
      <c r="I770" s="129" t="s">
        <v>321</v>
      </c>
      <c r="J770" s="129">
        <v>68356</v>
      </c>
      <c r="K770" s="130" t="s">
        <v>2837</v>
      </c>
      <c r="L770" s="129" t="s">
        <v>570</v>
      </c>
      <c r="M770" s="129" t="s">
        <v>570</v>
      </c>
      <c r="N770" s="129" t="s">
        <v>570</v>
      </c>
      <c r="O770" s="129" t="s">
        <v>570</v>
      </c>
      <c r="P770" s="409" t="s">
        <v>570</v>
      </c>
      <c r="Q770" s="179"/>
      <c r="R770" s="179"/>
      <c r="S770" s="179"/>
      <c r="T770" s="500" t="e">
        <f>_xlfn.XLOOKUP(H770,#REF!,#REF!,0,0)</f>
        <v>#REF!</v>
      </c>
    </row>
    <row r="771" spans="1:20" x14ac:dyDescent="0.4">
      <c r="A771" s="129" t="s">
        <v>570</v>
      </c>
      <c r="B771" s="129" t="s">
        <v>2838</v>
      </c>
      <c r="C771" s="129"/>
      <c r="D771" s="129" t="s">
        <v>767</v>
      </c>
      <c r="E771" s="130"/>
      <c r="F771" s="129" t="s">
        <v>567</v>
      </c>
      <c r="G771" s="130" t="s">
        <v>755</v>
      </c>
      <c r="H771" s="130">
        <v>43263</v>
      </c>
      <c r="I771" s="129" t="s">
        <v>137</v>
      </c>
      <c r="J771" s="129">
        <v>68352</v>
      </c>
      <c r="K771" s="130" t="s">
        <v>2839</v>
      </c>
      <c r="L771" s="129" t="s">
        <v>570</v>
      </c>
      <c r="M771" s="129" t="s">
        <v>570</v>
      </c>
      <c r="N771" s="129" t="s">
        <v>570</v>
      </c>
      <c r="O771" s="129" t="s">
        <v>570</v>
      </c>
      <c r="P771" s="409" t="s">
        <v>570</v>
      </c>
      <c r="Q771" s="179"/>
      <c r="R771" s="179"/>
      <c r="S771" s="179"/>
      <c r="T771" s="500" t="e">
        <f>_xlfn.XLOOKUP(H771,#REF!,#REF!,0,0)</f>
        <v>#REF!</v>
      </c>
    </row>
    <row r="772" spans="1:20" x14ac:dyDescent="0.4">
      <c r="A772" s="129" t="s">
        <v>570</v>
      </c>
      <c r="B772" s="129" t="s">
        <v>2840</v>
      </c>
      <c r="C772" s="129"/>
      <c r="D772" s="129" t="s">
        <v>767</v>
      </c>
      <c r="E772" s="130"/>
      <c r="F772" s="129" t="s">
        <v>567</v>
      </c>
      <c r="G772" s="130" t="s">
        <v>755</v>
      </c>
      <c r="H772" s="130">
        <v>43263</v>
      </c>
      <c r="I772" s="129" t="s">
        <v>2841</v>
      </c>
      <c r="J772" s="129">
        <v>68353</v>
      </c>
      <c r="K772" s="130" t="s">
        <v>2842</v>
      </c>
      <c r="L772" s="129" t="s">
        <v>570</v>
      </c>
      <c r="M772" s="129" t="s">
        <v>570</v>
      </c>
      <c r="N772" s="129" t="s">
        <v>570</v>
      </c>
      <c r="O772" s="129" t="s">
        <v>570</v>
      </c>
      <c r="P772" s="409" t="s">
        <v>570</v>
      </c>
      <c r="Q772" s="179"/>
      <c r="R772" s="179"/>
      <c r="S772" s="179"/>
      <c r="T772" s="500" t="e">
        <f>_xlfn.XLOOKUP(H772,#REF!,#REF!,0,0)</f>
        <v>#REF!</v>
      </c>
    </row>
    <row r="773" spans="1:20" x14ac:dyDescent="0.4">
      <c r="A773" s="129" t="s">
        <v>570</v>
      </c>
      <c r="B773" s="129" t="s">
        <v>2843</v>
      </c>
      <c r="C773" s="129"/>
      <c r="D773" s="129" t="s">
        <v>767</v>
      </c>
      <c r="E773" s="130"/>
      <c r="F773" s="129" t="s">
        <v>567</v>
      </c>
      <c r="G773" s="130" t="s">
        <v>755</v>
      </c>
      <c r="H773" s="130">
        <v>43243</v>
      </c>
      <c r="I773" s="129" t="s">
        <v>130</v>
      </c>
      <c r="J773" s="129">
        <v>68258</v>
      </c>
      <c r="K773" s="130" t="s">
        <v>2844</v>
      </c>
      <c r="L773" s="129" t="s">
        <v>570</v>
      </c>
      <c r="M773" s="129" t="s">
        <v>570</v>
      </c>
      <c r="N773" s="129" t="s">
        <v>570</v>
      </c>
      <c r="O773" s="129" t="s">
        <v>570</v>
      </c>
      <c r="P773" s="409" t="s">
        <v>570</v>
      </c>
      <c r="Q773" s="179"/>
      <c r="R773" s="179"/>
      <c r="S773" s="179"/>
      <c r="T773" s="500" t="e">
        <f>_xlfn.XLOOKUP(H773,#REF!,#REF!,0,0)</f>
        <v>#REF!</v>
      </c>
    </row>
    <row r="774" spans="1:20" x14ac:dyDescent="0.4">
      <c r="A774" s="129" t="s">
        <v>570</v>
      </c>
      <c r="B774" s="129" t="s">
        <v>2845</v>
      </c>
      <c r="C774" s="129"/>
      <c r="D774" s="129" t="s">
        <v>767</v>
      </c>
      <c r="E774" s="130"/>
      <c r="F774" s="129" t="s">
        <v>567</v>
      </c>
      <c r="G774" s="130" t="s">
        <v>755</v>
      </c>
      <c r="H774" s="130">
        <v>43263</v>
      </c>
      <c r="I774" s="129" t="s">
        <v>2846</v>
      </c>
      <c r="J774" s="129">
        <v>68354</v>
      </c>
      <c r="K774" s="130" t="s">
        <v>2847</v>
      </c>
      <c r="L774" s="129" t="s">
        <v>570</v>
      </c>
      <c r="M774" s="129" t="s">
        <v>570</v>
      </c>
      <c r="N774" s="129" t="s">
        <v>570</v>
      </c>
      <c r="O774" s="129" t="s">
        <v>570</v>
      </c>
      <c r="P774" s="409" t="s">
        <v>570</v>
      </c>
      <c r="Q774" s="179"/>
      <c r="R774" s="179"/>
      <c r="S774" s="179"/>
      <c r="T774" s="500" t="e">
        <f>_xlfn.XLOOKUP(H774,#REF!,#REF!,0,0)</f>
        <v>#REF!</v>
      </c>
    </row>
    <row r="775" spans="1:20" x14ac:dyDescent="0.4">
      <c r="A775" s="129" t="s">
        <v>570</v>
      </c>
      <c r="B775" s="129" t="s">
        <v>2848</v>
      </c>
      <c r="C775" s="129"/>
      <c r="D775" s="129" t="s">
        <v>767</v>
      </c>
      <c r="E775" s="130">
        <v>43409</v>
      </c>
      <c r="F775" s="129" t="s">
        <v>567</v>
      </c>
      <c r="G775" s="130" t="s">
        <v>755</v>
      </c>
      <c r="H775" s="130">
        <v>43389</v>
      </c>
      <c r="I775" s="129" t="s">
        <v>144</v>
      </c>
      <c r="J775" s="129">
        <v>68791</v>
      </c>
      <c r="K775" s="130" t="s">
        <v>2849</v>
      </c>
      <c r="L775" s="129" t="s">
        <v>570</v>
      </c>
      <c r="M775" s="129" t="s">
        <v>570</v>
      </c>
      <c r="N775" s="129" t="s">
        <v>570</v>
      </c>
      <c r="O775" s="129" t="s">
        <v>570</v>
      </c>
      <c r="P775" s="409" t="s">
        <v>570</v>
      </c>
      <c r="Q775" s="179"/>
      <c r="R775" s="179"/>
      <c r="S775" s="179"/>
      <c r="T775" s="500" t="e">
        <f>_xlfn.XLOOKUP(H775,#REF!,#REF!,0,0)</f>
        <v>#REF!</v>
      </c>
    </row>
    <row r="776" spans="1:20" x14ac:dyDescent="0.4">
      <c r="A776" s="129" t="s">
        <v>570</v>
      </c>
      <c r="B776" s="129" t="s">
        <v>2850</v>
      </c>
      <c r="C776" s="129"/>
      <c r="D776" s="129" t="s">
        <v>767</v>
      </c>
      <c r="E776" s="130">
        <v>43409</v>
      </c>
      <c r="F776" s="129" t="s">
        <v>567</v>
      </c>
      <c r="G776" s="130" t="s">
        <v>755</v>
      </c>
      <c r="H776" s="130">
        <v>43389</v>
      </c>
      <c r="I776" s="129" t="s">
        <v>2851</v>
      </c>
      <c r="J776" s="129">
        <v>68792</v>
      </c>
      <c r="K776" s="130" t="s">
        <v>2852</v>
      </c>
      <c r="L776" s="129" t="s">
        <v>570</v>
      </c>
      <c r="M776" s="129" t="s">
        <v>570</v>
      </c>
      <c r="N776" s="129" t="s">
        <v>570</v>
      </c>
      <c r="O776" s="129" t="s">
        <v>570</v>
      </c>
      <c r="P776" s="409" t="s">
        <v>570</v>
      </c>
      <c r="Q776" s="179"/>
      <c r="R776" s="179"/>
      <c r="S776" s="179"/>
      <c r="T776" s="500" t="e">
        <f>_xlfn.XLOOKUP(H776,#REF!,#REF!,0,0)</f>
        <v>#REF!</v>
      </c>
    </row>
    <row r="777" spans="1:20" x14ac:dyDescent="0.4">
      <c r="A777" s="129" t="s">
        <v>570</v>
      </c>
      <c r="B777" s="129" t="s">
        <v>2853</v>
      </c>
      <c r="C777" s="129"/>
      <c r="D777" s="129" t="s">
        <v>767</v>
      </c>
      <c r="E777" s="130">
        <v>43409</v>
      </c>
      <c r="F777" s="129" t="s">
        <v>567</v>
      </c>
      <c r="G777" s="130" t="s">
        <v>755</v>
      </c>
      <c r="H777" s="130">
        <v>43389</v>
      </c>
      <c r="I777" s="129" t="s">
        <v>145</v>
      </c>
      <c r="J777" s="129">
        <v>68793</v>
      </c>
      <c r="K777" s="130" t="s">
        <v>2854</v>
      </c>
      <c r="L777" s="129" t="s">
        <v>570</v>
      </c>
      <c r="M777" s="129" t="s">
        <v>570</v>
      </c>
      <c r="N777" s="129" t="s">
        <v>570</v>
      </c>
      <c r="O777" s="129" t="s">
        <v>570</v>
      </c>
      <c r="P777" s="409" t="s">
        <v>570</v>
      </c>
      <c r="Q777" s="179"/>
      <c r="R777" s="179"/>
      <c r="S777" s="179"/>
      <c r="T777" s="500" t="e">
        <f>_xlfn.XLOOKUP(H777,#REF!,#REF!,0,0)</f>
        <v>#REF!</v>
      </c>
    </row>
    <row r="778" spans="1:20" x14ac:dyDescent="0.4">
      <c r="A778" s="129" t="s">
        <v>570</v>
      </c>
      <c r="B778" s="129" t="s">
        <v>2855</v>
      </c>
      <c r="C778" s="129"/>
      <c r="D778" s="129" t="s">
        <v>767</v>
      </c>
      <c r="E778" s="130">
        <v>43409</v>
      </c>
      <c r="F778" s="129" t="s">
        <v>567</v>
      </c>
      <c r="G778" s="130" t="s">
        <v>755</v>
      </c>
      <c r="H778" s="130">
        <v>43389</v>
      </c>
      <c r="I778" s="129" t="s">
        <v>148</v>
      </c>
      <c r="J778" s="129">
        <v>68798</v>
      </c>
      <c r="K778" s="130" t="s">
        <v>2856</v>
      </c>
      <c r="L778" s="129" t="s">
        <v>570</v>
      </c>
      <c r="M778" s="129" t="s">
        <v>570</v>
      </c>
      <c r="N778" s="129"/>
      <c r="O778" s="129" t="s">
        <v>570</v>
      </c>
      <c r="P778" s="409" t="s">
        <v>570</v>
      </c>
      <c r="Q778" s="179"/>
      <c r="R778" s="179"/>
      <c r="S778" s="179"/>
      <c r="T778" s="500" t="e">
        <f>_xlfn.XLOOKUP(H778,#REF!,#REF!,0,0)</f>
        <v>#REF!</v>
      </c>
    </row>
    <row r="779" spans="1:20" x14ac:dyDescent="0.4">
      <c r="A779" s="129" t="s">
        <v>570</v>
      </c>
      <c r="B779" s="129" t="s">
        <v>2857</v>
      </c>
      <c r="C779" s="129"/>
      <c r="D779" s="129" t="s">
        <v>767</v>
      </c>
      <c r="E779" s="130"/>
      <c r="F779" s="129" t="s">
        <v>567</v>
      </c>
      <c r="G779" s="130" t="s">
        <v>755</v>
      </c>
      <c r="H779" s="130">
        <v>43263</v>
      </c>
      <c r="I779" s="129" t="s">
        <v>2858</v>
      </c>
      <c r="J779" s="129">
        <v>68355</v>
      </c>
      <c r="K779" s="130" t="s">
        <v>2859</v>
      </c>
      <c r="L779" s="129" t="s">
        <v>570</v>
      </c>
      <c r="M779" s="129" t="s">
        <v>570</v>
      </c>
      <c r="N779" s="129" t="s">
        <v>570</v>
      </c>
      <c r="O779" s="129" t="s">
        <v>570</v>
      </c>
      <c r="P779" s="409" t="s">
        <v>570</v>
      </c>
      <c r="Q779" s="179"/>
      <c r="R779" s="179"/>
      <c r="S779" s="179"/>
      <c r="T779" s="500" t="e">
        <f>_xlfn.XLOOKUP(H779,#REF!,#REF!,0,0)</f>
        <v>#REF!</v>
      </c>
    </row>
    <row r="780" spans="1:20" x14ac:dyDescent="0.4">
      <c r="A780" s="129" t="s">
        <v>570</v>
      </c>
      <c r="B780" s="129" t="s">
        <v>2860</v>
      </c>
      <c r="C780" s="129"/>
      <c r="D780" s="129" t="s">
        <v>767</v>
      </c>
      <c r="E780" s="130"/>
      <c r="F780" s="129" t="s">
        <v>567</v>
      </c>
      <c r="G780" s="130" t="s">
        <v>755</v>
      </c>
      <c r="H780" s="130">
        <v>43243</v>
      </c>
      <c r="I780" s="129" t="s">
        <v>132</v>
      </c>
      <c r="J780" s="129">
        <v>68263</v>
      </c>
      <c r="K780" s="130" t="s">
        <v>2861</v>
      </c>
      <c r="L780" s="129" t="s">
        <v>570</v>
      </c>
      <c r="M780" s="129" t="s">
        <v>570</v>
      </c>
      <c r="N780" s="129" t="s">
        <v>570</v>
      </c>
      <c r="O780" s="129" t="s">
        <v>570</v>
      </c>
      <c r="P780" s="409" t="s">
        <v>570</v>
      </c>
      <c r="Q780" s="179"/>
      <c r="R780" s="179"/>
      <c r="S780" s="179"/>
      <c r="T780" s="500" t="e">
        <f>_xlfn.XLOOKUP(H780,#REF!,#REF!,0,0)</f>
        <v>#REF!</v>
      </c>
    </row>
    <row r="781" spans="1:20" x14ac:dyDescent="0.4">
      <c r="A781" s="129" t="s">
        <v>570</v>
      </c>
      <c r="B781" s="129" t="s">
        <v>2862</v>
      </c>
      <c r="C781" s="129"/>
      <c r="D781" s="129" t="s">
        <v>767</v>
      </c>
      <c r="E781" s="130">
        <v>43409</v>
      </c>
      <c r="F781" s="129" t="s">
        <v>567</v>
      </c>
      <c r="G781" s="130" t="s">
        <v>755</v>
      </c>
      <c r="H781" s="130">
        <v>43389</v>
      </c>
      <c r="I781" s="129" t="s">
        <v>2863</v>
      </c>
      <c r="J781" s="129">
        <v>68794</v>
      </c>
      <c r="K781" s="130" t="s">
        <v>2864</v>
      </c>
      <c r="L781" s="129" t="s">
        <v>570</v>
      </c>
      <c r="M781" s="129" t="s">
        <v>570</v>
      </c>
      <c r="N781" s="129" t="s">
        <v>570</v>
      </c>
      <c r="O781" s="129" t="s">
        <v>570</v>
      </c>
      <c r="P781" s="409" t="s">
        <v>570</v>
      </c>
      <c r="Q781" s="179"/>
      <c r="R781" s="179"/>
      <c r="S781" s="179"/>
      <c r="T781" s="500" t="e">
        <f>_xlfn.XLOOKUP(H781,#REF!,#REF!,0,0)</f>
        <v>#REF!</v>
      </c>
    </row>
    <row r="782" spans="1:20" x14ac:dyDescent="0.4">
      <c r="A782" s="129" t="s">
        <v>570</v>
      </c>
      <c r="B782" s="129" t="s">
        <v>2865</v>
      </c>
      <c r="C782" s="129"/>
      <c r="D782" s="129" t="s">
        <v>767</v>
      </c>
      <c r="E782" s="130">
        <v>43409</v>
      </c>
      <c r="F782" s="129" t="s">
        <v>567</v>
      </c>
      <c r="G782" s="130" t="s">
        <v>755</v>
      </c>
      <c r="H782" s="130">
        <v>43389</v>
      </c>
      <c r="I782" s="129" t="s">
        <v>146</v>
      </c>
      <c r="J782" s="129">
        <v>68795</v>
      </c>
      <c r="K782" s="130" t="s">
        <v>2866</v>
      </c>
      <c r="L782" s="129" t="s">
        <v>570</v>
      </c>
      <c r="M782" s="129" t="s">
        <v>570</v>
      </c>
      <c r="N782" s="129" t="s">
        <v>570</v>
      </c>
      <c r="O782" s="129" t="s">
        <v>570</v>
      </c>
      <c r="P782" s="409" t="s">
        <v>570</v>
      </c>
      <c r="Q782" s="179"/>
      <c r="R782" s="179"/>
      <c r="S782" s="179"/>
      <c r="T782" s="500" t="e">
        <f>_xlfn.XLOOKUP(H782,#REF!,#REF!,0,0)</f>
        <v>#REF!</v>
      </c>
    </row>
    <row r="783" spans="1:20" x14ac:dyDescent="0.4">
      <c r="A783" s="129" t="s">
        <v>570</v>
      </c>
      <c r="B783" s="129" t="s">
        <v>2867</v>
      </c>
      <c r="C783" s="129"/>
      <c r="D783" s="129" t="s">
        <v>767</v>
      </c>
      <c r="E783" s="130">
        <v>43409</v>
      </c>
      <c r="F783" s="129" t="s">
        <v>567</v>
      </c>
      <c r="G783" s="130" t="s">
        <v>755</v>
      </c>
      <c r="H783" s="130">
        <v>43389</v>
      </c>
      <c r="I783" s="129" t="s">
        <v>147</v>
      </c>
      <c r="J783" s="129">
        <v>68796</v>
      </c>
      <c r="K783" s="130" t="s">
        <v>2868</v>
      </c>
      <c r="L783" s="129" t="s">
        <v>570</v>
      </c>
      <c r="M783" s="129" t="s">
        <v>570</v>
      </c>
      <c r="N783" s="129" t="s">
        <v>570</v>
      </c>
      <c r="O783" s="129" t="s">
        <v>570</v>
      </c>
      <c r="P783" s="409" t="s">
        <v>570</v>
      </c>
      <c r="Q783" s="179"/>
      <c r="R783" s="179"/>
      <c r="S783" s="179"/>
      <c r="T783" s="500" t="e">
        <f>_xlfn.XLOOKUP(H783,#REF!,#REF!,0,0)</f>
        <v>#REF!</v>
      </c>
    </row>
    <row r="784" spans="1:20" x14ac:dyDescent="0.4">
      <c r="A784" s="129" t="s">
        <v>570</v>
      </c>
      <c r="B784" s="129" t="s">
        <v>2869</v>
      </c>
      <c r="C784" s="129"/>
      <c r="D784" s="129" t="s">
        <v>767</v>
      </c>
      <c r="E784" s="130">
        <v>43409</v>
      </c>
      <c r="F784" s="129" t="s">
        <v>567</v>
      </c>
      <c r="G784" s="130" t="s">
        <v>755</v>
      </c>
      <c r="H784" s="130">
        <v>43389</v>
      </c>
      <c r="I784" s="129" t="s">
        <v>2870</v>
      </c>
      <c r="J784" s="129">
        <v>68797</v>
      </c>
      <c r="K784" s="130" t="s">
        <v>2871</v>
      </c>
      <c r="L784" s="129" t="s">
        <v>570</v>
      </c>
      <c r="M784" s="129" t="s">
        <v>570</v>
      </c>
      <c r="N784" s="129" t="s">
        <v>570</v>
      </c>
      <c r="O784" s="129" t="s">
        <v>570</v>
      </c>
      <c r="P784" s="409" t="s">
        <v>570</v>
      </c>
      <c r="Q784" s="179"/>
      <c r="R784" s="179"/>
      <c r="S784" s="179"/>
      <c r="T784" s="500" t="e">
        <f>_xlfn.XLOOKUP(H784,#REF!,#REF!,0,0)</f>
        <v>#REF!</v>
      </c>
    </row>
    <row r="785" spans="1:20" x14ac:dyDescent="0.4">
      <c r="A785" s="129" t="s">
        <v>570</v>
      </c>
      <c r="B785" s="129" t="s">
        <v>2872</v>
      </c>
      <c r="C785" s="129"/>
      <c r="D785" s="129" t="s">
        <v>767</v>
      </c>
      <c r="E785" s="130">
        <v>43409</v>
      </c>
      <c r="F785" s="129" t="s">
        <v>567</v>
      </c>
      <c r="G785" s="130" t="s">
        <v>755</v>
      </c>
      <c r="H785" s="130">
        <v>43389</v>
      </c>
      <c r="I785" s="129" t="s">
        <v>2873</v>
      </c>
      <c r="J785" s="129">
        <v>68799</v>
      </c>
      <c r="K785" s="130" t="s">
        <v>2874</v>
      </c>
      <c r="L785" s="129" t="s">
        <v>570</v>
      </c>
      <c r="M785" s="129" t="s">
        <v>570</v>
      </c>
      <c r="N785" s="129" t="s">
        <v>570</v>
      </c>
      <c r="O785" s="129" t="s">
        <v>570</v>
      </c>
      <c r="P785" s="409" t="s">
        <v>570</v>
      </c>
      <c r="Q785" s="179"/>
      <c r="R785" s="179"/>
      <c r="S785" s="179"/>
      <c r="T785" s="500" t="e">
        <f>_xlfn.XLOOKUP(H785,#REF!,#REF!,0,0)</f>
        <v>#REF!</v>
      </c>
    </row>
    <row r="786" spans="1:20" x14ac:dyDescent="0.4">
      <c r="A786" s="129" t="s">
        <v>570</v>
      </c>
      <c r="B786" s="129" t="s">
        <v>2875</v>
      </c>
      <c r="C786" s="129"/>
      <c r="D786" s="129" t="s">
        <v>767</v>
      </c>
      <c r="E786" s="130">
        <v>43409</v>
      </c>
      <c r="F786" s="129" t="s">
        <v>567</v>
      </c>
      <c r="G786" s="130" t="s">
        <v>755</v>
      </c>
      <c r="H786" s="130">
        <v>43389</v>
      </c>
      <c r="I786" s="129" t="s">
        <v>149</v>
      </c>
      <c r="J786" s="129">
        <v>68800</v>
      </c>
      <c r="K786" s="130" t="s">
        <v>2876</v>
      </c>
      <c r="L786" s="129" t="s">
        <v>570</v>
      </c>
      <c r="M786" s="129" t="s">
        <v>570</v>
      </c>
      <c r="N786" s="129" t="s">
        <v>570</v>
      </c>
      <c r="O786" s="129" t="s">
        <v>570</v>
      </c>
      <c r="P786" s="409" t="s">
        <v>570</v>
      </c>
      <c r="Q786" s="179"/>
      <c r="R786" s="179"/>
      <c r="S786" s="179"/>
      <c r="T786" s="500" t="e">
        <f>_xlfn.XLOOKUP(H786,#REF!,#REF!,0,0)</f>
        <v>#REF!</v>
      </c>
    </row>
    <row r="787" spans="1:20" x14ac:dyDescent="0.4">
      <c r="A787" s="129" t="s">
        <v>570</v>
      </c>
      <c r="B787" s="129" t="s">
        <v>2877</v>
      </c>
      <c r="C787" s="129"/>
      <c r="D787" s="129" t="s">
        <v>767</v>
      </c>
      <c r="E787" s="130">
        <v>43409</v>
      </c>
      <c r="F787" s="129" t="s">
        <v>567</v>
      </c>
      <c r="G787" s="130" t="s">
        <v>755</v>
      </c>
      <c r="H787" s="130">
        <v>43389</v>
      </c>
      <c r="I787" s="129" t="s">
        <v>150</v>
      </c>
      <c r="J787" s="129">
        <v>68801</v>
      </c>
      <c r="K787" s="130" t="s">
        <v>2878</v>
      </c>
      <c r="L787" s="129" t="s">
        <v>570</v>
      </c>
      <c r="M787" s="129" t="s">
        <v>570</v>
      </c>
      <c r="N787" s="129" t="s">
        <v>570</v>
      </c>
      <c r="O787" s="129" t="s">
        <v>570</v>
      </c>
      <c r="P787" s="409" t="s">
        <v>570</v>
      </c>
      <c r="Q787" s="179"/>
      <c r="R787" s="179"/>
      <c r="S787" s="179"/>
      <c r="T787" s="500" t="e">
        <f>_xlfn.XLOOKUP(H787,#REF!,#REF!,0,0)</f>
        <v>#REF!</v>
      </c>
    </row>
    <row r="788" spans="1:20" x14ac:dyDescent="0.4">
      <c r="A788" s="129" t="s">
        <v>570</v>
      </c>
      <c r="B788" s="129" t="s">
        <v>2879</v>
      </c>
      <c r="C788" s="129"/>
      <c r="D788" s="129" t="s">
        <v>767</v>
      </c>
      <c r="E788" s="130">
        <v>43409</v>
      </c>
      <c r="F788" s="129" t="s">
        <v>567</v>
      </c>
      <c r="G788" s="130" t="s">
        <v>755</v>
      </c>
      <c r="H788" s="130">
        <v>43389</v>
      </c>
      <c r="I788" s="129" t="s">
        <v>151</v>
      </c>
      <c r="J788" s="129">
        <v>68802</v>
      </c>
      <c r="K788" s="130" t="s">
        <v>2880</v>
      </c>
      <c r="L788" s="129" t="s">
        <v>570</v>
      </c>
      <c r="M788" s="129" t="s">
        <v>570</v>
      </c>
      <c r="N788" s="129" t="s">
        <v>570</v>
      </c>
      <c r="O788" s="129" t="s">
        <v>570</v>
      </c>
      <c r="P788" s="409" t="s">
        <v>570</v>
      </c>
      <c r="Q788" s="179"/>
      <c r="R788" s="179"/>
      <c r="S788" s="179"/>
      <c r="T788" s="500" t="e">
        <f>_xlfn.XLOOKUP(H788,#REF!,#REF!,0,0)</f>
        <v>#REF!</v>
      </c>
    </row>
    <row r="789" spans="1:20" x14ac:dyDescent="0.4">
      <c r="A789" s="129" t="s">
        <v>570</v>
      </c>
      <c r="B789" s="129" t="s">
        <v>2881</v>
      </c>
      <c r="C789" s="129"/>
      <c r="D789" s="129" t="s">
        <v>767</v>
      </c>
      <c r="E789" s="130">
        <v>43409</v>
      </c>
      <c r="F789" s="129" t="s">
        <v>567</v>
      </c>
      <c r="G789" s="130" t="s">
        <v>755</v>
      </c>
      <c r="H789" s="130">
        <v>43389</v>
      </c>
      <c r="I789" s="129" t="s">
        <v>2882</v>
      </c>
      <c r="J789" s="129">
        <v>68803</v>
      </c>
      <c r="K789" s="130" t="s">
        <v>2883</v>
      </c>
      <c r="L789" s="129" t="s">
        <v>570</v>
      </c>
      <c r="M789" s="129" t="s">
        <v>570</v>
      </c>
      <c r="N789" s="129" t="s">
        <v>570</v>
      </c>
      <c r="O789" s="129" t="s">
        <v>570</v>
      </c>
      <c r="P789" s="409" t="s">
        <v>570</v>
      </c>
      <c r="Q789" s="179"/>
      <c r="R789" s="179"/>
      <c r="S789" s="179"/>
      <c r="T789" s="500" t="e">
        <f>_xlfn.XLOOKUP(H789,#REF!,#REF!,0,0)</f>
        <v>#REF!</v>
      </c>
    </row>
    <row r="790" spans="1:20" x14ac:dyDescent="0.4">
      <c r="A790" s="129" t="s">
        <v>570</v>
      </c>
      <c r="B790" s="129" t="s">
        <v>2884</v>
      </c>
      <c r="C790" s="129"/>
      <c r="D790" s="129" t="s">
        <v>767</v>
      </c>
      <c r="E790" s="130"/>
      <c r="F790" s="129" t="s">
        <v>567</v>
      </c>
      <c r="G790" s="130" t="s">
        <v>755</v>
      </c>
      <c r="H790" s="130">
        <v>43263</v>
      </c>
      <c r="I790" s="129" t="s">
        <v>2885</v>
      </c>
      <c r="J790" s="129">
        <v>68358</v>
      </c>
      <c r="K790" s="130" t="s">
        <v>2886</v>
      </c>
      <c r="L790" s="129" t="s">
        <v>570</v>
      </c>
      <c r="M790" s="129" t="s">
        <v>570</v>
      </c>
      <c r="N790" s="129" t="s">
        <v>570</v>
      </c>
      <c r="O790" s="129" t="s">
        <v>570</v>
      </c>
      <c r="P790" s="409" t="s">
        <v>570</v>
      </c>
      <c r="Q790" s="179"/>
      <c r="R790" s="179"/>
      <c r="S790" s="179"/>
      <c r="T790" s="500" t="e">
        <f>_xlfn.XLOOKUP(H790,#REF!,#REF!,0,0)</f>
        <v>#REF!</v>
      </c>
    </row>
    <row r="791" spans="1:20" x14ac:dyDescent="0.4">
      <c r="A791" s="129" t="s">
        <v>570</v>
      </c>
      <c r="B791" s="129" t="s">
        <v>2887</v>
      </c>
      <c r="C791" s="129"/>
      <c r="D791" s="129" t="s">
        <v>767</v>
      </c>
      <c r="E791" s="130"/>
      <c r="F791" s="129" t="s">
        <v>567</v>
      </c>
      <c r="G791" s="130" t="s">
        <v>755</v>
      </c>
      <c r="H791" s="130">
        <v>43389</v>
      </c>
      <c r="I791" s="129" t="s">
        <v>2888</v>
      </c>
      <c r="J791" s="129">
        <v>68811</v>
      </c>
      <c r="K791" s="130" t="s">
        <v>2889</v>
      </c>
      <c r="L791" s="129" t="s">
        <v>570</v>
      </c>
      <c r="M791" s="129" t="s">
        <v>570</v>
      </c>
      <c r="N791" s="129" t="s">
        <v>570</v>
      </c>
      <c r="O791" s="129" t="s">
        <v>333</v>
      </c>
      <c r="P791" s="409" t="s">
        <v>570</v>
      </c>
      <c r="Q791" s="179"/>
      <c r="R791" s="179"/>
      <c r="S791" s="179"/>
      <c r="T791" s="500" t="e">
        <f>_xlfn.XLOOKUP(H791,#REF!,#REF!,0,0)</f>
        <v>#REF!</v>
      </c>
    </row>
    <row r="792" spans="1:20" x14ac:dyDescent="0.4">
      <c r="A792" s="98" t="s">
        <v>570</v>
      </c>
      <c r="B792" s="98" t="s">
        <v>2890</v>
      </c>
      <c r="C792" s="98"/>
      <c r="D792" s="98" t="s">
        <v>767</v>
      </c>
      <c r="E792" s="100"/>
      <c r="F792" s="98" t="s">
        <v>567</v>
      </c>
      <c r="G792" s="100" t="s">
        <v>755</v>
      </c>
      <c r="H792" s="100">
        <v>43263</v>
      </c>
      <c r="I792" s="98" t="s">
        <v>2891</v>
      </c>
      <c r="J792" s="98">
        <v>68360</v>
      </c>
      <c r="K792" s="100" t="s">
        <v>2892</v>
      </c>
      <c r="L792" s="98" t="s">
        <v>570</v>
      </c>
      <c r="M792" s="98" t="s">
        <v>570</v>
      </c>
      <c r="N792" s="98" t="s">
        <v>570</v>
      </c>
      <c r="O792" s="98" t="s">
        <v>570</v>
      </c>
      <c r="P792" s="419" t="s">
        <v>570</v>
      </c>
      <c r="Q792" s="179"/>
      <c r="R792" s="179"/>
      <c r="S792" s="179"/>
      <c r="T792" s="500" t="e">
        <f>_xlfn.XLOOKUP(H792,#REF!,#REF!,0,0)</f>
        <v>#REF!</v>
      </c>
    </row>
    <row r="793" spans="1:20" x14ac:dyDescent="0.4">
      <c r="A793" s="129" t="s">
        <v>570</v>
      </c>
      <c r="B793" s="129" t="s">
        <v>2893</v>
      </c>
      <c r="C793" s="129"/>
      <c r="D793" s="129" t="s">
        <v>767</v>
      </c>
      <c r="E793" s="130"/>
      <c r="F793" s="129" t="s">
        <v>567</v>
      </c>
      <c r="G793" s="130" t="s">
        <v>755</v>
      </c>
      <c r="H793" s="130">
        <v>43263</v>
      </c>
      <c r="I793" s="129" t="s">
        <v>2894</v>
      </c>
      <c r="J793" s="129">
        <v>68359</v>
      </c>
      <c r="K793" s="130" t="s">
        <v>2895</v>
      </c>
      <c r="L793" s="129" t="s">
        <v>570</v>
      </c>
      <c r="M793" s="129" t="s">
        <v>570</v>
      </c>
      <c r="N793" s="129" t="s">
        <v>570</v>
      </c>
      <c r="O793" s="129" t="s">
        <v>570</v>
      </c>
      <c r="P793" s="409" t="s">
        <v>570</v>
      </c>
      <c r="Q793" s="179"/>
      <c r="R793" s="179"/>
      <c r="S793" s="179"/>
      <c r="T793" s="500" t="e">
        <f>_xlfn.XLOOKUP(H793,#REF!,#REF!,0,0)</f>
        <v>#REF!</v>
      </c>
    </row>
    <row r="794" spans="1:20" x14ac:dyDescent="0.4">
      <c r="A794" s="129" t="s">
        <v>570</v>
      </c>
      <c r="B794" s="129" t="s">
        <v>2896</v>
      </c>
      <c r="C794" s="129"/>
      <c r="D794" s="129" t="s">
        <v>767</v>
      </c>
      <c r="E794" s="130"/>
      <c r="F794" s="129" t="s">
        <v>567</v>
      </c>
      <c r="G794" s="130" t="s">
        <v>755</v>
      </c>
      <c r="H794" s="130">
        <v>43263</v>
      </c>
      <c r="I794" s="129" t="s">
        <v>139</v>
      </c>
      <c r="J794" s="129">
        <v>68361</v>
      </c>
      <c r="K794" s="130" t="s">
        <v>2897</v>
      </c>
      <c r="L794" s="129" t="s">
        <v>570</v>
      </c>
      <c r="M794" s="129" t="s">
        <v>570</v>
      </c>
      <c r="N794" s="129" t="s">
        <v>570</v>
      </c>
      <c r="O794" s="129" t="s">
        <v>570</v>
      </c>
      <c r="P794" s="409" t="s">
        <v>570</v>
      </c>
      <c r="Q794" s="179"/>
      <c r="R794" s="179"/>
      <c r="S794" s="179"/>
      <c r="T794" s="500" t="e">
        <f>_xlfn.XLOOKUP(H794,#REF!,#REF!,0,0)</f>
        <v>#REF!</v>
      </c>
    </row>
    <row r="795" spans="1:20" x14ac:dyDescent="0.4">
      <c r="A795" s="129" t="s">
        <v>570</v>
      </c>
      <c r="B795" s="129" t="s">
        <v>2898</v>
      </c>
      <c r="C795" s="129"/>
      <c r="D795" s="129" t="s">
        <v>767</v>
      </c>
      <c r="E795" s="130"/>
      <c r="F795" s="129" t="s">
        <v>567</v>
      </c>
      <c r="G795" s="130" t="s">
        <v>2516</v>
      </c>
      <c r="H795" s="130">
        <v>42935</v>
      </c>
      <c r="I795" s="129" t="s">
        <v>2464</v>
      </c>
      <c r="J795" s="129">
        <v>65007</v>
      </c>
      <c r="K795" s="130" t="s">
        <v>2465</v>
      </c>
      <c r="L795" s="129" t="s">
        <v>570</v>
      </c>
      <c r="M795" s="129" t="s">
        <v>570</v>
      </c>
      <c r="N795" s="129" t="s">
        <v>570</v>
      </c>
      <c r="O795" s="129" t="s">
        <v>570</v>
      </c>
      <c r="P795" s="409" t="s">
        <v>570</v>
      </c>
      <c r="Q795" s="179"/>
      <c r="R795" s="179"/>
      <c r="S795" s="179"/>
      <c r="T795" s="500" t="e">
        <f>_xlfn.XLOOKUP(H795,#REF!,#REF!,0,0)</f>
        <v>#REF!</v>
      </c>
    </row>
    <row r="796" spans="1:20" x14ac:dyDescent="0.4">
      <c r="A796" s="129" t="s">
        <v>570</v>
      </c>
      <c r="B796" s="129" t="s">
        <v>2899</v>
      </c>
      <c r="C796" s="129"/>
      <c r="D796" s="129" t="s">
        <v>767</v>
      </c>
      <c r="E796" s="130"/>
      <c r="F796" s="129" t="s">
        <v>567</v>
      </c>
      <c r="G796" s="130" t="s">
        <v>755</v>
      </c>
      <c r="H796" s="130">
        <v>43389</v>
      </c>
      <c r="I796" s="129" t="s">
        <v>2900</v>
      </c>
      <c r="J796" s="129">
        <v>68804</v>
      </c>
      <c r="K796" s="130" t="s">
        <v>2901</v>
      </c>
      <c r="L796" s="129" t="s">
        <v>570</v>
      </c>
      <c r="M796" s="129" t="s">
        <v>570</v>
      </c>
      <c r="N796" s="129" t="s">
        <v>570</v>
      </c>
      <c r="O796" s="129" t="s">
        <v>570</v>
      </c>
      <c r="P796" s="409" t="s">
        <v>570</v>
      </c>
      <c r="Q796" s="179"/>
      <c r="R796" s="179"/>
      <c r="S796" s="179"/>
      <c r="T796" s="500" t="e">
        <f>_xlfn.XLOOKUP(H796,#REF!,#REF!,0,0)</f>
        <v>#REF!</v>
      </c>
    </row>
    <row r="797" spans="1:20" x14ac:dyDescent="0.4">
      <c r="A797" s="129" t="s">
        <v>570</v>
      </c>
      <c r="B797" s="129" t="s">
        <v>2902</v>
      </c>
      <c r="C797" s="129"/>
      <c r="D797" s="129" t="s">
        <v>767</v>
      </c>
      <c r="E797" s="130"/>
      <c r="F797" s="129" t="s">
        <v>567</v>
      </c>
      <c r="G797" s="130" t="s">
        <v>755</v>
      </c>
      <c r="H797" s="130">
        <v>43389</v>
      </c>
      <c r="I797" s="129" t="s">
        <v>328</v>
      </c>
      <c r="J797" s="129">
        <v>68806</v>
      </c>
      <c r="K797" s="130" t="s">
        <v>2903</v>
      </c>
      <c r="L797" s="129" t="s">
        <v>570</v>
      </c>
      <c r="M797" s="129" t="s">
        <v>570</v>
      </c>
      <c r="N797" s="129" t="s">
        <v>570</v>
      </c>
      <c r="O797" s="129" t="s">
        <v>570</v>
      </c>
      <c r="P797" s="409" t="s">
        <v>570</v>
      </c>
      <c r="Q797" s="179"/>
      <c r="R797" s="179"/>
      <c r="S797" s="179"/>
      <c r="T797" s="500" t="e">
        <f>_xlfn.XLOOKUP(H797,#REF!,#REF!,0,0)</f>
        <v>#REF!</v>
      </c>
    </row>
    <row r="798" spans="1:20" x14ac:dyDescent="0.4">
      <c r="A798" s="129" t="s">
        <v>570</v>
      </c>
      <c r="B798" s="129" t="s">
        <v>2904</v>
      </c>
      <c r="C798" s="129"/>
      <c r="D798" s="129" t="s">
        <v>767</v>
      </c>
      <c r="E798" s="130"/>
      <c r="F798" s="129" t="s">
        <v>567</v>
      </c>
      <c r="G798" s="130" t="s">
        <v>755</v>
      </c>
      <c r="H798" s="130">
        <v>43389</v>
      </c>
      <c r="I798" s="129" t="s">
        <v>153</v>
      </c>
      <c r="J798" s="129">
        <v>68807</v>
      </c>
      <c r="K798" s="130" t="s">
        <v>2905</v>
      </c>
      <c r="L798" s="129" t="s">
        <v>570</v>
      </c>
      <c r="M798" s="129" t="s">
        <v>570</v>
      </c>
      <c r="N798" s="129" t="s">
        <v>570</v>
      </c>
      <c r="O798" s="129" t="s">
        <v>570</v>
      </c>
      <c r="P798" s="409" t="s">
        <v>570</v>
      </c>
      <c r="Q798" s="179"/>
      <c r="R798" s="179"/>
      <c r="S798" s="179"/>
      <c r="T798" s="500" t="e">
        <f>_xlfn.XLOOKUP(H798,#REF!,#REF!,0,0)</f>
        <v>#REF!</v>
      </c>
    </row>
    <row r="799" spans="1:20" x14ac:dyDescent="0.4">
      <c r="A799" s="129" t="s">
        <v>570</v>
      </c>
      <c r="B799" s="129" t="s">
        <v>2906</v>
      </c>
      <c r="C799" s="129"/>
      <c r="D799" s="129" t="s">
        <v>767</v>
      </c>
      <c r="E799" s="130"/>
      <c r="F799" s="129" t="s">
        <v>567</v>
      </c>
      <c r="G799" s="130" t="s">
        <v>755</v>
      </c>
      <c r="H799" s="130">
        <v>43389</v>
      </c>
      <c r="I799" s="129" t="s">
        <v>2907</v>
      </c>
      <c r="J799" s="129">
        <v>68815</v>
      </c>
      <c r="K799" s="130" t="s">
        <v>2908</v>
      </c>
      <c r="L799" s="129" t="s">
        <v>570</v>
      </c>
      <c r="M799" s="129" t="s">
        <v>570</v>
      </c>
      <c r="N799" s="129" t="s">
        <v>570</v>
      </c>
      <c r="O799" s="129" t="s">
        <v>570</v>
      </c>
      <c r="P799" s="409" t="s">
        <v>570</v>
      </c>
      <c r="Q799" s="179"/>
      <c r="R799" s="179"/>
      <c r="S799" s="179"/>
      <c r="T799" s="500" t="e">
        <f>_xlfn.XLOOKUP(H799,#REF!,#REF!,0,0)</f>
        <v>#REF!</v>
      </c>
    </row>
    <row r="800" spans="1:20" x14ac:dyDescent="0.4">
      <c r="A800" s="129" t="s">
        <v>570</v>
      </c>
      <c r="B800" s="129" t="s">
        <v>2909</v>
      </c>
      <c r="C800" s="129"/>
      <c r="D800" s="129" t="s">
        <v>767</v>
      </c>
      <c r="E800" s="130"/>
      <c r="F800" s="129" t="s">
        <v>567</v>
      </c>
      <c r="G800" s="130" t="s">
        <v>755</v>
      </c>
      <c r="H800" s="130">
        <v>43389</v>
      </c>
      <c r="I800" s="129" t="s">
        <v>152</v>
      </c>
      <c r="J800" s="129">
        <v>68805</v>
      </c>
      <c r="K800" s="130" t="s">
        <v>2910</v>
      </c>
      <c r="L800" s="129" t="s">
        <v>570</v>
      </c>
      <c r="M800" s="129" t="s">
        <v>570</v>
      </c>
      <c r="N800" s="129" t="s">
        <v>570</v>
      </c>
      <c r="O800" s="129" t="s">
        <v>570</v>
      </c>
      <c r="P800" s="409" t="s">
        <v>570</v>
      </c>
      <c r="Q800" s="179"/>
      <c r="R800" s="179"/>
      <c r="S800" s="179"/>
      <c r="T800" s="500" t="e">
        <f>_xlfn.XLOOKUP(H800,#REF!,#REF!,0,0)</f>
        <v>#REF!</v>
      </c>
    </row>
    <row r="801" spans="1:20" x14ac:dyDescent="0.4">
      <c r="A801" s="129" t="s">
        <v>570</v>
      </c>
      <c r="B801" s="129" t="s">
        <v>2911</v>
      </c>
      <c r="C801" s="129"/>
      <c r="D801" s="129" t="s">
        <v>767</v>
      </c>
      <c r="E801" s="130"/>
      <c r="F801" s="129" t="s">
        <v>567</v>
      </c>
      <c r="G801" s="130" t="s">
        <v>755</v>
      </c>
      <c r="H801" s="130">
        <v>43389</v>
      </c>
      <c r="I801" s="129" t="s">
        <v>154</v>
      </c>
      <c r="J801" s="129">
        <v>68808</v>
      </c>
      <c r="K801" s="130" t="s">
        <v>2912</v>
      </c>
      <c r="L801" s="129" t="s">
        <v>570</v>
      </c>
      <c r="M801" s="129" t="s">
        <v>570</v>
      </c>
      <c r="N801" s="129" t="s">
        <v>570</v>
      </c>
      <c r="O801" s="129" t="s">
        <v>570</v>
      </c>
      <c r="P801" s="409" t="s">
        <v>570</v>
      </c>
      <c r="Q801" s="179"/>
      <c r="R801" s="179"/>
      <c r="S801" s="179"/>
      <c r="T801" s="500" t="e">
        <f>_xlfn.XLOOKUP(H801,#REF!,#REF!,0,0)</f>
        <v>#REF!</v>
      </c>
    </row>
    <row r="802" spans="1:20" x14ac:dyDescent="0.4">
      <c r="A802" s="129" t="s">
        <v>570</v>
      </c>
      <c r="B802" s="129" t="s">
        <v>2913</v>
      </c>
      <c r="C802" s="129"/>
      <c r="D802" s="129" t="s">
        <v>767</v>
      </c>
      <c r="E802" s="130"/>
      <c r="F802" s="129" t="s">
        <v>567</v>
      </c>
      <c r="G802" s="130" t="s">
        <v>755</v>
      </c>
      <c r="H802" s="130">
        <v>43389</v>
      </c>
      <c r="I802" s="129" t="s">
        <v>2914</v>
      </c>
      <c r="J802" s="129">
        <v>68810</v>
      </c>
      <c r="K802" s="130" t="s">
        <v>2915</v>
      </c>
      <c r="L802" s="129" t="s">
        <v>570</v>
      </c>
      <c r="M802" s="129" t="s">
        <v>570</v>
      </c>
      <c r="N802" s="129" t="s">
        <v>570</v>
      </c>
      <c r="O802" s="129" t="s">
        <v>570</v>
      </c>
      <c r="P802" s="409" t="s">
        <v>570</v>
      </c>
      <c r="Q802" s="179"/>
      <c r="R802" s="179"/>
      <c r="S802" s="179"/>
      <c r="T802" s="500" t="e">
        <f>_xlfn.XLOOKUP(H802,#REF!,#REF!,0,0)</f>
        <v>#REF!</v>
      </c>
    </row>
    <row r="803" spans="1:20" x14ac:dyDescent="0.4">
      <c r="A803" s="129" t="s">
        <v>570</v>
      </c>
      <c r="B803" s="129" t="s">
        <v>2916</v>
      </c>
      <c r="C803" s="129"/>
      <c r="D803" s="129" t="s">
        <v>2917</v>
      </c>
      <c r="E803" s="130"/>
      <c r="F803" s="129" t="s">
        <v>567</v>
      </c>
      <c r="G803" s="130" t="s">
        <v>755</v>
      </c>
      <c r="H803" s="130">
        <v>43263</v>
      </c>
      <c r="I803" s="129" t="s">
        <v>2918</v>
      </c>
      <c r="J803" s="129">
        <v>68362</v>
      </c>
      <c r="K803" s="130" t="s">
        <v>2919</v>
      </c>
      <c r="L803" s="129" t="s">
        <v>570</v>
      </c>
      <c r="M803" s="129" t="s">
        <v>570</v>
      </c>
      <c r="N803" s="129" t="s">
        <v>570</v>
      </c>
      <c r="O803" s="129" t="s">
        <v>570</v>
      </c>
      <c r="P803" s="409" t="s">
        <v>570</v>
      </c>
      <c r="Q803" s="179"/>
      <c r="R803" s="179"/>
      <c r="S803" s="179"/>
      <c r="T803" s="500" t="e">
        <f>_xlfn.XLOOKUP(H803,#REF!,#REF!,0,0)</f>
        <v>#REF!</v>
      </c>
    </row>
    <row r="804" spans="1:20" x14ac:dyDescent="0.4">
      <c r="A804" s="129" t="s">
        <v>570</v>
      </c>
      <c r="B804" s="129" t="s">
        <v>2920</v>
      </c>
      <c r="C804" s="129"/>
      <c r="D804" s="129" t="s">
        <v>767</v>
      </c>
      <c r="E804" s="130" t="s">
        <v>777</v>
      </c>
      <c r="F804" s="129" t="s">
        <v>567</v>
      </c>
      <c r="G804" s="130" t="s">
        <v>755</v>
      </c>
      <c r="H804" s="130">
        <v>43389</v>
      </c>
      <c r="I804" s="129" t="s">
        <v>155</v>
      </c>
      <c r="J804" s="129">
        <v>68809</v>
      </c>
      <c r="K804" s="130" t="s">
        <v>2921</v>
      </c>
      <c r="L804" s="129" t="s">
        <v>570</v>
      </c>
      <c r="M804" s="129" t="s">
        <v>570</v>
      </c>
      <c r="N804" s="129" t="s">
        <v>570</v>
      </c>
      <c r="O804" s="129" t="s">
        <v>570</v>
      </c>
      <c r="P804" s="409" t="s">
        <v>570</v>
      </c>
      <c r="Q804" s="179"/>
      <c r="R804" s="179"/>
      <c r="S804" s="179"/>
      <c r="T804" s="500" t="e">
        <f>_xlfn.XLOOKUP(H804,#REF!,#REF!,0,0)</f>
        <v>#REF!</v>
      </c>
    </row>
    <row r="805" spans="1:20" x14ac:dyDescent="0.4">
      <c r="A805" s="129" t="s">
        <v>570</v>
      </c>
      <c r="B805" s="129" t="s">
        <v>2922</v>
      </c>
      <c r="C805" s="129"/>
      <c r="D805" s="129" t="s">
        <v>767</v>
      </c>
      <c r="E805" s="130"/>
      <c r="F805" s="129" t="s">
        <v>567</v>
      </c>
      <c r="G805" s="130" t="s">
        <v>2516</v>
      </c>
      <c r="H805" s="130">
        <v>42935</v>
      </c>
      <c r="I805" s="129" t="s">
        <v>2397</v>
      </c>
      <c r="J805" s="129">
        <v>65009</v>
      </c>
      <c r="K805" s="130"/>
      <c r="L805" s="129" t="s">
        <v>570</v>
      </c>
      <c r="M805" s="129" t="s">
        <v>570</v>
      </c>
      <c r="N805" s="129" t="s">
        <v>570</v>
      </c>
      <c r="O805" s="129" t="s">
        <v>570</v>
      </c>
      <c r="P805" s="409" t="s">
        <v>570</v>
      </c>
      <c r="Q805" s="179"/>
      <c r="R805" s="179"/>
      <c r="S805" s="179"/>
      <c r="T805" s="500" t="e">
        <f>_xlfn.XLOOKUP(H805,#REF!,#REF!,0,0)</f>
        <v>#REF!</v>
      </c>
    </row>
    <row r="806" spans="1:20" x14ac:dyDescent="0.4">
      <c r="A806" s="129" t="s">
        <v>570</v>
      </c>
      <c r="B806" s="129" t="s">
        <v>2923</v>
      </c>
      <c r="C806" s="129"/>
      <c r="D806" s="129" t="s">
        <v>767</v>
      </c>
      <c r="E806" s="130"/>
      <c r="F806" s="129" t="s">
        <v>567</v>
      </c>
      <c r="G806" s="130" t="s">
        <v>755</v>
      </c>
      <c r="H806" s="130">
        <v>43389</v>
      </c>
      <c r="I806" s="129" t="s">
        <v>2924</v>
      </c>
      <c r="J806" s="129">
        <v>68812</v>
      </c>
      <c r="K806" s="130" t="s">
        <v>2925</v>
      </c>
      <c r="L806" s="129" t="s">
        <v>570</v>
      </c>
      <c r="M806" s="129" t="s">
        <v>570</v>
      </c>
      <c r="N806" s="129" t="s">
        <v>570</v>
      </c>
      <c r="O806" s="129" t="s">
        <v>570</v>
      </c>
      <c r="P806" s="409" t="s">
        <v>570</v>
      </c>
      <c r="Q806" s="179"/>
      <c r="R806" s="179"/>
      <c r="S806" s="179"/>
      <c r="T806" s="500" t="e">
        <f>_xlfn.XLOOKUP(H806,#REF!,#REF!,0,0)</f>
        <v>#REF!</v>
      </c>
    </row>
    <row r="807" spans="1:20" x14ac:dyDescent="0.4">
      <c r="A807" s="129" t="s">
        <v>570</v>
      </c>
      <c r="B807" s="129" t="s">
        <v>2926</v>
      </c>
      <c r="C807" s="129"/>
      <c r="D807" s="129" t="s">
        <v>767</v>
      </c>
      <c r="E807" s="130"/>
      <c r="F807" s="129" t="s">
        <v>567</v>
      </c>
      <c r="G807" s="130" t="s">
        <v>755</v>
      </c>
      <c r="H807" s="130">
        <v>43437</v>
      </c>
      <c r="I807" s="129" t="s">
        <v>2927</v>
      </c>
      <c r="J807" s="129">
        <v>68942</v>
      </c>
      <c r="K807" s="130" t="s">
        <v>2928</v>
      </c>
      <c r="L807" s="129" t="s">
        <v>570</v>
      </c>
      <c r="M807" s="129" t="s">
        <v>570</v>
      </c>
      <c r="N807" s="129" t="s">
        <v>570</v>
      </c>
      <c r="O807" s="129" t="s">
        <v>333</v>
      </c>
      <c r="P807" s="409" t="s">
        <v>570</v>
      </c>
      <c r="Q807" s="179"/>
      <c r="R807" s="179"/>
      <c r="S807" s="179"/>
      <c r="T807" s="500" t="e">
        <f>_xlfn.XLOOKUP(H807,#REF!,#REF!,0,0)</f>
        <v>#REF!</v>
      </c>
    </row>
    <row r="808" spans="1:20" x14ac:dyDescent="0.4">
      <c r="A808" s="129" t="s">
        <v>570</v>
      </c>
      <c r="B808" s="129" t="s">
        <v>2929</v>
      </c>
      <c r="C808" s="129"/>
      <c r="D808" s="129" t="s">
        <v>767</v>
      </c>
      <c r="E808" s="130" t="s">
        <v>777</v>
      </c>
      <c r="F808" s="129" t="s">
        <v>567</v>
      </c>
      <c r="G808" s="130" t="s">
        <v>140</v>
      </c>
      <c r="H808" s="130">
        <v>43291</v>
      </c>
      <c r="I808" s="129" t="s">
        <v>143</v>
      </c>
      <c r="J808" s="129">
        <v>68429</v>
      </c>
      <c r="K808" s="130" t="s">
        <v>2930</v>
      </c>
      <c r="L808" s="129" t="s">
        <v>570</v>
      </c>
      <c r="M808" s="129" t="s">
        <v>570</v>
      </c>
      <c r="N808" s="129" t="s">
        <v>570</v>
      </c>
      <c r="O808" s="129" t="s">
        <v>570</v>
      </c>
      <c r="P808" s="409" t="s">
        <v>570</v>
      </c>
      <c r="Q808" s="179"/>
      <c r="R808" s="179"/>
      <c r="S808" s="179"/>
      <c r="T808" s="500" t="e">
        <f>_xlfn.XLOOKUP(H808,#REF!,#REF!,0,0)</f>
        <v>#REF!</v>
      </c>
    </row>
    <row r="809" spans="1:20" x14ac:dyDescent="0.4">
      <c r="A809" s="129" t="s">
        <v>570</v>
      </c>
      <c r="B809" s="129" t="s">
        <v>2931</v>
      </c>
      <c r="C809" s="129"/>
      <c r="D809" s="129" t="s">
        <v>767</v>
      </c>
      <c r="E809" s="130">
        <v>43466</v>
      </c>
      <c r="F809" s="129" t="s">
        <v>567</v>
      </c>
      <c r="G809" s="130" t="s">
        <v>755</v>
      </c>
      <c r="H809" s="130">
        <v>43437</v>
      </c>
      <c r="I809" s="129" t="s">
        <v>2932</v>
      </c>
      <c r="J809" s="129">
        <v>68932</v>
      </c>
      <c r="K809" s="130" t="s">
        <v>2933</v>
      </c>
      <c r="L809" s="129" t="s">
        <v>570</v>
      </c>
      <c r="M809" s="129" t="s">
        <v>570</v>
      </c>
      <c r="N809" s="129" t="s">
        <v>570</v>
      </c>
      <c r="O809" s="129" t="s">
        <v>570</v>
      </c>
      <c r="P809" s="409" t="s">
        <v>570</v>
      </c>
      <c r="Q809" s="179"/>
      <c r="R809" s="179"/>
      <c r="S809" s="179"/>
      <c r="T809" s="500" t="e">
        <f>_xlfn.XLOOKUP(H809,#REF!,#REF!,0,0)</f>
        <v>#REF!</v>
      </c>
    </row>
    <row r="810" spans="1:20" x14ac:dyDescent="0.4">
      <c r="A810" s="129" t="s">
        <v>570</v>
      </c>
      <c r="B810" s="129" t="s">
        <v>2934</v>
      </c>
      <c r="C810" s="129"/>
      <c r="D810" s="129" t="s">
        <v>767</v>
      </c>
      <c r="E810" s="130"/>
      <c r="F810" s="129" t="s">
        <v>567</v>
      </c>
      <c r="G810" s="130" t="s">
        <v>755</v>
      </c>
      <c r="H810" s="130">
        <v>43389</v>
      </c>
      <c r="I810" s="129" t="s">
        <v>156</v>
      </c>
      <c r="J810" s="129">
        <v>68813</v>
      </c>
      <c r="K810" s="130" t="s">
        <v>2935</v>
      </c>
      <c r="L810" s="129" t="s">
        <v>570</v>
      </c>
      <c r="M810" s="129" t="s">
        <v>570</v>
      </c>
      <c r="N810" s="129" t="s">
        <v>570</v>
      </c>
      <c r="O810" s="129" t="s">
        <v>570</v>
      </c>
      <c r="P810" s="409" t="s">
        <v>570</v>
      </c>
      <c r="Q810" s="179"/>
      <c r="R810" s="179"/>
      <c r="S810" s="179"/>
      <c r="T810" s="500" t="e">
        <f>_xlfn.XLOOKUP(H810,#REF!,#REF!,0,0)</f>
        <v>#REF!</v>
      </c>
    </row>
    <row r="811" spans="1:20" x14ac:dyDescent="0.4">
      <c r="A811" s="129" t="s">
        <v>570</v>
      </c>
      <c r="B811" s="129" t="s">
        <v>2936</v>
      </c>
      <c r="C811" s="129"/>
      <c r="D811" s="129" t="s">
        <v>767</v>
      </c>
      <c r="E811" s="130"/>
      <c r="F811" s="129" t="s">
        <v>567</v>
      </c>
      <c r="G811" s="130" t="s">
        <v>755</v>
      </c>
      <c r="H811" s="130">
        <v>43389</v>
      </c>
      <c r="I811" s="129" t="s">
        <v>2937</v>
      </c>
      <c r="J811" s="129">
        <v>68814</v>
      </c>
      <c r="K811" s="130" t="s">
        <v>2938</v>
      </c>
      <c r="L811" s="129" t="s">
        <v>570</v>
      </c>
      <c r="M811" s="129" t="s">
        <v>570</v>
      </c>
      <c r="N811" s="129" t="s">
        <v>570</v>
      </c>
      <c r="O811" s="129" t="s">
        <v>570</v>
      </c>
      <c r="P811" s="409" t="s">
        <v>570</v>
      </c>
      <c r="Q811" s="179"/>
      <c r="R811" s="179"/>
      <c r="S811" s="179"/>
      <c r="T811" s="500" t="e">
        <f>_xlfn.XLOOKUP(H811,#REF!,#REF!,0,0)</f>
        <v>#REF!</v>
      </c>
    </row>
    <row r="812" spans="1:20" x14ac:dyDescent="0.4">
      <c r="A812" s="129" t="s">
        <v>570</v>
      </c>
      <c r="B812" s="129" t="s">
        <v>2939</v>
      </c>
      <c r="C812" s="129"/>
      <c r="D812" s="129" t="s">
        <v>767</v>
      </c>
      <c r="E812" s="130">
        <v>43472</v>
      </c>
      <c r="F812" s="129" t="s">
        <v>567</v>
      </c>
      <c r="G812" s="130" t="s">
        <v>755</v>
      </c>
      <c r="H812" s="130">
        <v>43437</v>
      </c>
      <c r="I812" s="129" t="s">
        <v>157</v>
      </c>
      <c r="J812" s="129">
        <v>68933</v>
      </c>
      <c r="K812" s="130" t="s">
        <v>2940</v>
      </c>
      <c r="L812" s="129" t="s">
        <v>570</v>
      </c>
      <c r="M812" s="129" t="s">
        <v>570</v>
      </c>
      <c r="N812" s="129" t="s">
        <v>570</v>
      </c>
      <c r="O812" s="129" t="s">
        <v>570</v>
      </c>
      <c r="P812" s="409" t="s">
        <v>570</v>
      </c>
      <c r="Q812" s="179"/>
      <c r="R812" s="179"/>
      <c r="S812" s="179"/>
      <c r="T812" s="500" t="e">
        <f>_xlfn.XLOOKUP(H812,#REF!,#REF!,0,0)</f>
        <v>#REF!</v>
      </c>
    </row>
    <row r="813" spans="1:20" x14ac:dyDescent="0.4">
      <c r="A813" s="129" t="s">
        <v>570</v>
      </c>
      <c r="B813" s="129" t="s">
        <v>2941</v>
      </c>
      <c r="C813" s="129"/>
      <c r="D813" s="129" t="s">
        <v>767</v>
      </c>
      <c r="E813" s="130"/>
      <c r="F813" s="129" t="s">
        <v>567</v>
      </c>
      <c r="G813" s="130" t="s">
        <v>755</v>
      </c>
      <c r="H813" s="130">
        <v>43437</v>
      </c>
      <c r="I813" s="129" t="s">
        <v>2942</v>
      </c>
      <c r="J813" s="129">
        <v>68934</v>
      </c>
      <c r="K813" s="130" t="s">
        <v>2943</v>
      </c>
      <c r="L813" s="129" t="s">
        <v>570</v>
      </c>
      <c r="M813" s="129" t="s">
        <v>570</v>
      </c>
      <c r="N813" s="129" t="s">
        <v>570</v>
      </c>
      <c r="O813" s="129" t="s">
        <v>570</v>
      </c>
      <c r="P813" s="409" t="s">
        <v>570</v>
      </c>
      <c r="Q813" s="179"/>
      <c r="R813" s="179"/>
      <c r="S813" s="179"/>
      <c r="T813" s="500" t="e">
        <f>_xlfn.XLOOKUP(H813,#REF!,#REF!,0,0)</f>
        <v>#REF!</v>
      </c>
    </row>
    <row r="814" spans="1:20" x14ac:dyDescent="0.4">
      <c r="A814" s="129" t="s">
        <v>570</v>
      </c>
      <c r="B814" s="129" t="s">
        <v>2944</v>
      </c>
      <c r="C814" s="129"/>
      <c r="D814" s="129" t="s">
        <v>767</v>
      </c>
      <c r="E814" s="130"/>
      <c r="F814" s="129" t="s">
        <v>567</v>
      </c>
      <c r="G814" s="130" t="s">
        <v>2516</v>
      </c>
      <c r="H814" s="130">
        <v>42881</v>
      </c>
      <c r="I814" s="129" t="s">
        <v>2338</v>
      </c>
      <c r="J814" s="129">
        <v>64921</v>
      </c>
      <c r="K814" s="130" t="s">
        <v>2339</v>
      </c>
      <c r="L814" s="129" t="s">
        <v>570</v>
      </c>
      <c r="M814" s="129" t="s">
        <v>570</v>
      </c>
      <c r="N814" s="129" t="s">
        <v>570</v>
      </c>
      <c r="O814" s="129" t="s">
        <v>570</v>
      </c>
      <c r="P814" s="409" t="s">
        <v>570</v>
      </c>
      <c r="Q814" s="179"/>
      <c r="R814" s="179"/>
      <c r="S814" s="179"/>
      <c r="T814" s="500" t="e">
        <f>_xlfn.XLOOKUP(H814,#REF!,#REF!,0,0)</f>
        <v>#REF!</v>
      </c>
    </row>
    <row r="815" spans="1:20" x14ac:dyDescent="0.4">
      <c r="A815" s="129" t="s">
        <v>570</v>
      </c>
      <c r="B815" s="129" t="s">
        <v>2945</v>
      </c>
      <c r="C815" s="129"/>
      <c r="D815" s="129" t="s">
        <v>767</v>
      </c>
      <c r="E815" s="130"/>
      <c r="F815" s="129" t="s">
        <v>567</v>
      </c>
      <c r="G815" s="130" t="s">
        <v>755</v>
      </c>
      <c r="H815" s="130">
        <v>43437</v>
      </c>
      <c r="I815" s="129" t="s">
        <v>158</v>
      </c>
      <c r="J815" s="129">
        <v>68935</v>
      </c>
      <c r="K815" s="130" t="s">
        <v>2946</v>
      </c>
      <c r="L815" s="129" t="s">
        <v>570</v>
      </c>
      <c r="M815" s="129" t="s">
        <v>570</v>
      </c>
      <c r="N815" s="129" t="s">
        <v>570</v>
      </c>
      <c r="O815" s="129" t="s">
        <v>570</v>
      </c>
      <c r="P815" s="409" t="s">
        <v>570</v>
      </c>
      <c r="Q815" s="179"/>
      <c r="R815" s="179"/>
      <c r="S815" s="179"/>
      <c r="T815" s="500" t="e">
        <f>_xlfn.XLOOKUP(H815,#REF!,#REF!,0,0)</f>
        <v>#REF!</v>
      </c>
    </row>
    <row r="816" spans="1:20" x14ac:dyDescent="0.4">
      <c r="A816" s="129" t="s">
        <v>570</v>
      </c>
      <c r="B816" s="129" t="s">
        <v>2947</v>
      </c>
      <c r="C816" s="129"/>
      <c r="D816" s="129" t="s">
        <v>767</v>
      </c>
      <c r="E816" s="130"/>
      <c r="F816" s="129" t="s">
        <v>567</v>
      </c>
      <c r="G816" s="130" t="s">
        <v>755</v>
      </c>
      <c r="H816" s="130">
        <v>43437</v>
      </c>
      <c r="I816" s="129" t="s">
        <v>2948</v>
      </c>
      <c r="J816" s="129">
        <v>68936</v>
      </c>
      <c r="K816" s="130" t="s">
        <v>2949</v>
      </c>
      <c r="L816" s="129" t="s">
        <v>570</v>
      </c>
      <c r="M816" s="129" t="s">
        <v>570</v>
      </c>
      <c r="N816" s="129" t="s">
        <v>570</v>
      </c>
      <c r="O816" s="129" t="s">
        <v>570</v>
      </c>
      <c r="P816" s="409" t="s">
        <v>570</v>
      </c>
      <c r="Q816" s="179"/>
      <c r="R816" s="179"/>
      <c r="S816" s="179"/>
      <c r="T816" s="500" t="e">
        <f>_xlfn.XLOOKUP(H816,#REF!,#REF!,0,0)</f>
        <v>#REF!</v>
      </c>
    </row>
    <row r="817" spans="1:20" x14ac:dyDescent="0.4">
      <c r="A817" s="129" t="s">
        <v>570</v>
      </c>
      <c r="B817" s="129" t="s">
        <v>2950</v>
      </c>
      <c r="C817" s="129"/>
      <c r="D817" s="129" t="s">
        <v>767</v>
      </c>
      <c r="E817" s="130"/>
      <c r="F817" s="129" t="s">
        <v>567</v>
      </c>
      <c r="G817" s="130" t="s">
        <v>755</v>
      </c>
      <c r="H817" s="130">
        <v>43437</v>
      </c>
      <c r="I817" s="129" t="s">
        <v>2951</v>
      </c>
      <c r="J817" s="129">
        <v>68937</v>
      </c>
      <c r="K817" s="130" t="s">
        <v>2952</v>
      </c>
      <c r="L817" s="129" t="s">
        <v>570</v>
      </c>
      <c r="M817" s="129" t="s">
        <v>570</v>
      </c>
      <c r="N817" s="129" t="s">
        <v>570</v>
      </c>
      <c r="O817" s="129" t="s">
        <v>570</v>
      </c>
      <c r="P817" s="409" t="s">
        <v>570</v>
      </c>
      <c r="Q817" s="179"/>
      <c r="R817" s="179"/>
      <c r="S817" s="179"/>
      <c r="T817" s="500" t="e">
        <f>_xlfn.XLOOKUP(H817,#REF!,#REF!,0,0)</f>
        <v>#REF!</v>
      </c>
    </row>
    <row r="818" spans="1:20" x14ac:dyDescent="0.4">
      <c r="A818" s="129" t="s">
        <v>570</v>
      </c>
      <c r="B818" s="129" t="s">
        <v>2953</v>
      </c>
      <c r="C818" s="129"/>
      <c r="D818" s="129" t="s">
        <v>767</v>
      </c>
      <c r="E818" s="130"/>
      <c r="F818" s="129" t="s">
        <v>567</v>
      </c>
      <c r="G818" s="130" t="s">
        <v>755</v>
      </c>
      <c r="H818" s="130">
        <v>43437</v>
      </c>
      <c r="I818" s="129" t="s">
        <v>2954</v>
      </c>
      <c r="J818" s="129">
        <v>68938</v>
      </c>
      <c r="K818" s="130" t="s">
        <v>2955</v>
      </c>
      <c r="L818" s="129" t="s">
        <v>570</v>
      </c>
      <c r="M818" s="129" t="s">
        <v>570</v>
      </c>
      <c r="N818" s="129" t="s">
        <v>570</v>
      </c>
      <c r="O818" s="129" t="s">
        <v>570</v>
      </c>
      <c r="P818" s="409" t="s">
        <v>570</v>
      </c>
      <c r="Q818" s="179"/>
      <c r="R818" s="179"/>
      <c r="S818" s="179"/>
      <c r="T818" s="500" t="e">
        <f>_xlfn.XLOOKUP(H818,#REF!,#REF!,0,0)</f>
        <v>#REF!</v>
      </c>
    </row>
    <row r="819" spans="1:20" x14ac:dyDescent="0.4">
      <c r="A819" s="129" t="s">
        <v>570</v>
      </c>
      <c r="B819" s="129" t="s">
        <v>2956</v>
      </c>
      <c r="C819" s="129"/>
      <c r="D819" s="129" t="s">
        <v>767</v>
      </c>
      <c r="E819" s="130"/>
      <c r="F819" s="129" t="s">
        <v>567</v>
      </c>
      <c r="G819" s="130" t="s">
        <v>2516</v>
      </c>
      <c r="H819" s="130">
        <v>42746</v>
      </c>
      <c r="I819" s="129" t="s">
        <v>2236</v>
      </c>
      <c r="J819" s="129">
        <v>64562</v>
      </c>
      <c r="K819" s="130" t="s">
        <v>2957</v>
      </c>
      <c r="L819" s="129" t="s">
        <v>570</v>
      </c>
      <c r="M819" s="129" t="s">
        <v>570</v>
      </c>
      <c r="N819" s="129" t="s">
        <v>570</v>
      </c>
      <c r="O819" s="129" t="s">
        <v>570</v>
      </c>
      <c r="P819" s="409" t="s">
        <v>570</v>
      </c>
      <c r="Q819" s="179"/>
      <c r="R819" s="179"/>
      <c r="S819" s="179"/>
      <c r="T819" s="500" t="e">
        <f>_xlfn.XLOOKUP(H819,#REF!,#REF!,0,0)</f>
        <v>#REF!</v>
      </c>
    </row>
    <row r="820" spans="1:20" x14ac:dyDescent="0.4">
      <c r="A820" s="129" t="s">
        <v>570</v>
      </c>
      <c r="B820" s="129" t="s">
        <v>2958</v>
      </c>
      <c r="C820" s="129"/>
      <c r="D820" s="129" t="s">
        <v>767</v>
      </c>
      <c r="E820" s="130"/>
      <c r="F820" s="129" t="s">
        <v>567</v>
      </c>
      <c r="G820" s="130" t="s">
        <v>755</v>
      </c>
      <c r="H820" s="130">
        <v>43243</v>
      </c>
      <c r="I820" s="129" t="s">
        <v>133</v>
      </c>
      <c r="J820" s="129">
        <v>68264</v>
      </c>
      <c r="K820" s="130" t="s">
        <v>2805</v>
      </c>
      <c r="L820" s="129" t="s">
        <v>570</v>
      </c>
      <c r="M820" s="129" t="s">
        <v>570</v>
      </c>
      <c r="N820" s="129" t="s">
        <v>570</v>
      </c>
      <c r="O820" s="129" t="s">
        <v>570</v>
      </c>
      <c r="P820" s="409" t="s">
        <v>570</v>
      </c>
      <c r="Q820" s="179"/>
      <c r="R820" s="179"/>
      <c r="S820" s="179"/>
      <c r="T820" s="500" t="e">
        <f>_xlfn.XLOOKUP(H820,#REF!,#REF!,0,0)</f>
        <v>#REF!</v>
      </c>
    </row>
    <row r="821" spans="1:20" x14ac:dyDescent="0.4">
      <c r="A821" s="129" t="s">
        <v>570</v>
      </c>
      <c r="B821" s="129" t="s">
        <v>2959</v>
      </c>
      <c r="C821" s="129"/>
      <c r="D821" s="129" t="s">
        <v>767</v>
      </c>
      <c r="E821" s="130"/>
      <c r="F821" s="129" t="s">
        <v>567</v>
      </c>
      <c r="G821" s="130" t="s">
        <v>755</v>
      </c>
      <c r="H821" s="130">
        <v>43437</v>
      </c>
      <c r="I821" s="129" t="s">
        <v>2960</v>
      </c>
      <c r="J821" s="129">
        <v>68940</v>
      </c>
      <c r="K821" s="130" t="s">
        <v>2961</v>
      </c>
      <c r="L821" s="129" t="s">
        <v>570</v>
      </c>
      <c r="M821" s="129" t="s">
        <v>570</v>
      </c>
      <c r="N821" s="129" t="s">
        <v>570</v>
      </c>
      <c r="O821" s="129" t="s">
        <v>570</v>
      </c>
      <c r="P821" s="409" t="s">
        <v>570</v>
      </c>
      <c r="Q821" s="179"/>
      <c r="R821" s="179"/>
      <c r="S821" s="179"/>
      <c r="T821" s="500" t="e">
        <f>_xlfn.XLOOKUP(H821,#REF!,#REF!,0,0)</f>
        <v>#REF!</v>
      </c>
    </row>
    <row r="822" spans="1:20" x14ac:dyDescent="0.4">
      <c r="A822" s="129" t="s">
        <v>570</v>
      </c>
      <c r="B822" s="129" t="s">
        <v>2962</v>
      </c>
      <c r="C822" s="129"/>
      <c r="D822" s="129" t="s">
        <v>767</v>
      </c>
      <c r="E822" s="130"/>
      <c r="F822" s="129" t="s">
        <v>567</v>
      </c>
      <c r="G822" s="130" t="s">
        <v>755</v>
      </c>
      <c r="H822" s="130">
        <v>43437</v>
      </c>
      <c r="I822" s="129" t="s">
        <v>159</v>
      </c>
      <c r="J822" s="129">
        <v>68941</v>
      </c>
      <c r="K822" s="130" t="s">
        <v>2963</v>
      </c>
      <c r="L822" s="129" t="s">
        <v>570</v>
      </c>
      <c r="M822" s="129" t="s">
        <v>570</v>
      </c>
      <c r="N822" s="129" t="s">
        <v>570</v>
      </c>
      <c r="O822" s="129" t="s">
        <v>570</v>
      </c>
      <c r="P822" s="409" t="s">
        <v>570</v>
      </c>
      <c r="Q822" s="179"/>
      <c r="R822" s="179"/>
      <c r="S822" s="179"/>
      <c r="T822" s="500" t="e">
        <f>_xlfn.XLOOKUP(H822,#REF!,#REF!,0,0)</f>
        <v>#REF!</v>
      </c>
    </row>
    <row r="823" spans="1:20" x14ac:dyDescent="0.4">
      <c r="A823" s="129" t="s">
        <v>570</v>
      </c>
      <c r="B823" s="129" t="s">
        <v>2964</v>
      </c>
      <c r="C823" s="129"/>
      <c r="D823" s="129" t="s">
        <v>767</v>
      </c>
      <c r="E823" s="130"/>
      <c r="F823" s="129" t="s">
        <v>567</v>
      </c>
      <c r="G823" s="130" t="s">
        <v>755</v>
      </c>
      <c r="H823" s="130">
        <v>43437</v>
      </c>
      <c r="I823" s="129" t="s">
        <v>160</v>
      </c>
      <c r="J823" s="129">
        <v>68943</v>
      </c>
      <c r="K823" s="130" t="s">
        <v>2965</v>
      </c>
      <c r="L823" s="129" t="s">
        <v>570</v>
      </c>
      <c r="M823" s="129" t="s">
        <v>570</v>
      </c>
      <c r="N823" s="129" t="s">
        <v>570</v>
      </c>
      <c r="O823" s="129" t="s">
        <v>570</v>
      </c>
      <c r="P823" s="409" t="s">
        <v>570</v>
      </c>
      <c r="Q823" s="179"/>
      <c r="R823" s="179"/>
      <c r="S823" s="179"/>
      <c r="T823" s="500" t="e">
        <f>_xlfn.XLOOKUP(H823,#REF!,#REF!,0,0)</f>
        <v>#REF!</v>
      </c>
    </row>
    <row r="824" spans="1:20" x14ac:dyDescent="0.4">
      <c r="A824" s="129" t="s">
        <v>570</v>
      </c>
      <c r="B824" s="129" t="s">
        <v>2966</v>
      </c>
      <c r="C824" s="129"/>
      <c r="D824" s="129" t="s">
        <v>767</v>
      </c>
      <c r="E824" s="130"/>
      <c r="F824" s="129" t="s">
        <v>567</v>
      </c>
      <c r="G824" s="130" t="s">
        <v>755</v>
      </c>
      <c r="H824" s="130">
        <v>43263</v>
      </c>
      <c r="I824" s="129" t="s">
        <v>2841</v>
      </c>
      <c r="J824" s="129">
        <v>68353</v>
      </c>
      <c r="K824" s="130" t="s">
        <v>2842</v>
      </c>
      <c r="L824" s="129" t="s">
        <v>570</v>
      </c>
      <c r="M824" s="129" t="s">
        <v>570</v>
      </c>
      <c r="N824" s="129" t="s">
        <v>570</v>
      </c>
      <c r="O824" s="129" t="s">
        <v>570</v>
      </c>
      <c r="P824" s="409" t="s">
        <v>570</v>
      </c>
      <c r="Q824" s="179"/>
      <c r="R824" s="179"/>
      <c r="S824" s="179"/>
      <c r="T824" s="500" t="e">
        <f>_xlfn.XLOOKUP(H824,#REF!,#REF!,0,0)</f>
        <v>#REF!</v>
      </c>
    </row>
    <row r="825" spans="1:20" x14ac:dyDescent="0.4">
      <c r="A825" s="129" t="s">
        <v>570</v>
      </c>
      <c r="B825" s="129" t="s">
        <v>2967</v>
      </c>
      <c r="C825" s="129"/>
      <c r="D825" s="129" t="s">
        <v>767</v>
      </c>
      <c r="E825" s="130"/>
      <c r="F825" s="129" t="s">
        <v>567</v>
      </c>
      <c r="G825" s="130" t="s">
        <v>2516</v>
      </c>
      <c r="H825" s="130">
        <v>42746</v>
      </c>
      <c r="I825" s="129" t="s">
        <v>2228</v>
      </c>
      <c r="J825" s="129">
        <v>64578</v>
      </c>
      <c r="K825" s="130" t="s">
        <v>2968</v>
      </c>
      <c r="L825" s="129" t="s">
        <v>570</v>
      </c>
      <c r="M825" s="129" t="s">
        <v>570</v>
      </c>
      <c r="N825" s="129" t="s">
        <v>570</v>
      </c>
      <c r="O825" s="129" t="s">
        <v>570</v>
      </c>
      <c r="P825" s="409" t="s">
        <v>570</v>
      </c>
      <c r="Q825" s="179"/>
      <c r="R825" s="179"/>
      <c r="S825" s="179"/>
      <c r="T825" s="500" t="e">
        <f>_xlfn.XLOOKUP(H825,#REF!,#REF!,0,0)</f>
        <v>#REF!</v>
      </c>
    </row>
    <row r="826" spans="1:20" x14ac:dyDescent="0.4">
      <c r="A826" s="129" t="s">
        <v>570</v>
      </c>
      <c r="B826" s="129" t="s">
        <v>2969</v>
      </c>
      <c r="C826" s="129"/>
      <c r="D826" s="129" t="s">
        <v>767</v>
      </c>
      <c r="E826" s="130"/>
      <c r="F826" s="129" t="s">
        <v>567</v>
      </c>
      <c r="G826" s="130" t="s">
        <v>56</v>
      </c>
      <c r="H826" s="130">
        <v>42881</v>
      </c>
      <c r="I826" s="129" t="s">
        <v>2364</v>
      </c>
      <c r="J826" s="129">
        <v>64924</v>
      </c>
      <c r="K826" s="130" t="s">
        <v>2365</v>
      </c>
      <c r="L826" s="129" t="s">
        <v>570</v>
      </c>
      <c r="M826" s="129" t="s">
        <v>570</v>
      </c>
      <c r="N826" s="129" t="s">
        <v>570</v>
      </c>
      <c r="O826" s="129" t="s">
        <v>570</v>
      </c>
      <c r="P826" s="409" t="s">
        <v>570</v>
      </c>
      <c r="Q826" s="179"/>
      <c r="R826" s="179"/>
      <c r="S826" s="179"/>
      <c r="T826" s="500" t="e">
        <f>_xlfn.XLOOKUP(H826,#REF!,#REF!,0,0)</f>
        <v>#REF!</v>
      </c>
    </row>
    <row r="827" spans="1:20" x14ac:dyDescent="0.4">
      <c r="A827" s="129" t="s">
        <v>570</v>
      </c>
      <c r="B827" s="129" t="s">
        <v>2970</v>
      </c>
      <c r="C827" s="129"/>
      <c r="D827" s="129" t="s">
        <v>767</v>
      </c>
      <c r="E827" s="130"/>
      <c r="F827" s="129" t="s">
        <v>567</v>
      </c>
      <c r="G827" s="130" t="s">
        <v>56</v>
      </c>
      <c r="H827" s="130">
        <v>42746</v>
      </c>
      <c r="I827" s="129" t="s">
        <v>771</v>
      </c>
      <c r="J827" s="129">
        <v>64575</v>
      </c>
      <c r="K827" s="130" t="s">
        <v>772</v>
      </c>
      <c r="L827" s="129" t="s">
        <v>570</v>
      </c>
      <c r="M827" s="129" t="s">
        <v>570</v>
      </c>
      <c r="N827" s="129" t="s">
        <v>570</v>
      </c>
      <c r="O827" s="129" t="s">
        <v>570</v>
      </c>
      <c r="P827" s="409" t="s">
        <v>570</v>
      </c>
      <c r="Q827" s="179"/>
      <c r="R827" s="179"/>
      <c r="S827" s="179"/>
      <c r="T827" s="500" t="e">
        <f>_xlfn.XLOOKUP(H827,#REF!,#REF!,0,0)</f>
        <v>#REF!</v>
      </c>
    </row>
    <row r="828" spans="1:20" x14ac:dyDescent="0.4">
      <c r="A828" s="129" t="s">
        <v>570</v>
      </c>
      <c r="B828" s="129" t="s">
        <v>2971</v>
      </c>
      <c r="C828" s="129"/>
      <c r="D828" s="129" t="s">
        <v>767</v>
      </c>
      <c r="E828" s="130"/>
      <c r="F828" s="129" t="s">
        <v>567</v>
      </c>
      <c r="G828" s="130" t="s">
        <v>755</v>
      </c>
      <c r="H828" s="130">
        <v>43437</v>
      </c>
      <c r="I828" s="129" t="s">
        <v>759</v>
      </c>
      <c r="J828" s="129">
        <v>68939</v>
      </c>
      <c r="K828" s="130" t="s">
        <v>760</v>
      </c>
      <c r="L828" s="129" t="s">
        <v>570</v>
      </c>
      <c r="M828" s="129" t="s">
        <v>570</v>
      </c>
      <c r="N828" s="129" t="s">
        <v>570</v>
      </c>
      <c r="O828" s="129" t="s">
        <v>570</v>
      </c>
      <c r="P828" s="409" t="s">
        <v>570</v>
      </c>
      <c r="Q828" s="179"/>
      <c r="R828" s="179"/>
      <c r="S828" s="179"/>
      <c r="T828" s="500" t="e">
        <f>_xlfn.XLOOKUP(H828,#REF!,#REF!,0,0)</f>
        <v>#REF!</v>
      </c>
    </row>
    <row r="829" spans="1:20" x14ac:dyDescent="0.4">
      <c r="A829" s="129" t="s">
        <v>570</v>
      </c>
      <c r="B829" s="129" t="s">
        <v>2972</v>
      </c>
      <c r="C829" s="129"/>
      <c r="D829" s="129" t="s">
        <v>767</v>
      </c>
      <c r="E829" s="130"/>
      <c r="F829" s="129" t="s">
        <v>567</v>
      </c>
      <c r="G829" s="130" t="s">
        <v>56</v>
      </c>
      <c r="H829" s="130">
        <v>43144</v>
      </c>
      <c r="I829" s="129" t="s">
        <v>92</v>
      </c>
      <c r="J829" s="129">
        <v>65758</v>
      </c>
      <c r="K829" s="130" t="s">
        <v>775</v>
      </c>
      <c r="L829" s="129" t="s">
        <v>570</v>
      </c>
      <c r="M829" s="129"/>
      <c r="N829" s="129" t="s">
        <v>570</v>
      </c>
      <c r="O829" s="129" t="s">
        <v>570</v>
      </c>
      <c r="P829" s="409" t="s">
        <v>570</v>
      </c>
      <c r="Q829" s="179"/>
      <c r="R829" s="179"/>
      <c r="S829" s="179"/>
      <c r="T829" s="500" t="e">
        <f>_xlfn.XLOOKUP(H829,#REF!,#REF!,0,0)</f>
        <v>#REF!</v>
      </c>
    </row>
    <row r="830" spans="1:20" x14ac:dyDescent="0.4">
      <c r="A830" s="129" t="s">
        <v>570</v>
      </c>
      <c r="B830" s="129" t="s">
        <v>2973</v>
      </c>
      <c r="C830" s="129"/>
      <c r="D830" s="129" t="s">
        <v>767</v>
      </c>
      <c r="E830" s="130"/>
      <c r="F830" s="129" t="s">
        <v>567</v>
      </c>
      <c r="G830" s="130" t="s">
        <v>56</v>
      </c>
      <c r="H830" s="130">
        <v>42746</v>
      </c>
      <c r="I830" s="129" t="s">
        <v>768</v>
      </c>
      <c r="J830" s="129">
        <v>64568</v>
      </c>
      <c r="K830" s="130" t="s">
        <v>769</v>
      </c>
      <c r="L830" s="129" t="s">
        <v>570</v>
      </c>
      <c r="M830" s="129" t="s">
        <v>570</v>
      </c>
      <c r="N830" s="129" t="s">
        <v>570</v>
      </c>
      <c r="O830" s="129" t="s">
        <v>570</v>
      </c>
      <c r="P830" s="409" t="s">
        <v>570</v>
      </c>
      <c r="Q830" s="179"/>
      <c r="R830" s="179"/>
      <c r="S830" s="179"/>
      <c r="T830" s="500" t="e">
        <f>_xlfn.XLOOKUP(H830,#REF!,#REF!,0,0)</f>
        <v>#REF!</v>
      </c>
    </row>
    <row r="831" spans="1:20" x14ac:dyDescent="0.4">
      <c r="A831" s="129" t="s">
        <v>570</v>
      </c>
      <c r="B831" s="129" t="s">
        <v>2974</v>
      </c>
      <c r="C831" s="129"/>
      <c r="D831" s="129" t="s">
        <v>767</v>
      </c>
      <c r="E831" s="130"/>
      <c r="F831" s="129" t="s">
        <v>567</v>
      </c>
      <c r="G831" s="130" t="s">
        <v>755</v>
      </c>
      <c r="H831" s="130">
        <v>43243</v>
      </c>
      <c r="I831" s="129" t="s">
        <v>756</v>
      </c>
      <c r="J831" s="129">
        <v>68255</v>
      </c>
      <c r="K831" s="130" t="s">
        <v>757</v>
      </c>
      <c r="L831" s="129"/>
      <c r="M831" s="129" t="s">
        <v>570</v>
      </c>
      <c r="N831" s="129" t="s">
        <v>570</v>
      </c>
      <c r="O831" s="129" t="s">
        <v>570</v>
      </c>
      <c r="P831" s="409" t="s">
        <v>570</v>
      </c>
      <c r="Q831" s="179"/>
      <c r="R831" s="179"/>
      <c r="S831" s="179"/>
      <c r="T831" s="500" t="e">
        <f>_xlfn.XLOOKUP(H831,#REF!,#REF!,0,0)</f>
        <v>#REF!</v>
      </c>
    </row>
    <row r="832" spans="1:20" x14ac:dyDescent="0.4">
      <c r="A832" s="129" t="s">
        <v>570</v>
      </c>
      <c r="B832" s="129" t="s">
        <v>2975</v>
      </c>
      <c r="C832" s="129"/>
      <c r="D832" s="129" t="s">
        <v>767</v>
      </c>
      <c r="E832" s="130"/>
      <c r="F832" s="129" t="s">
        <v>567</v>
      </c>
      <c r="G832" s="130" t="s">
        <v>107</v>
      </c>
      <c r="H832" s="130">
        <v>43263</v>
      </c>
      <c r="I832" s="129" t="s">
        <v>135</v>
      </c>
      <c r="J832" s="129">
        <v>68349</v>
      </c>
      <c r="K832" s="130" t="s">
        <v>2809</v>
      </c>
      <c r="L832" s="129" t="s">
        <v>570</v>
      </c>
      <c r="M832" s="129" t="s">
        <v>570</v>
      </c>
      <c r="N832" s="129" t="s">
        <v>570</v>
      </c>
      <c r="O832" s="129" t="s">
        <v>570</v>
      </c>
      <c r="P832" s="409" t="s">
        <v>570</v>
      </c>
      <c r="Q832" s="179"/>
      <c r="R832" s="179"/>
      <c r="S832" s="179"/>
      <c r="T832" s="500" t="e">
        <f>_xlfn.XLOOKUP(H832,#REF!,#REF!,0,0)</f>
        <v>#REF!</v>
      </c>
    </row>
    <row r="833" spans="1:20" x14ac:dyDescent="0.4">
      <c r="A833" s="129"/>
      <c r="B833" s="129" t="s">
        <v>773</v>
      </c>
      <c r="C833" s="129"/>
      <c r="D833" s="129" t="s">
        <v>693</v>
      </c>
      <c r="E833" s="130"/>
      <c r="F833" s="129" t="s">
        <v>567</v>
      </c>
      <c r="G833" s="130" t="s">
        <v>167</v>
      </c>
      <c r="H833" s="130">
        <v>43563</v>
      </c>
      <c r="I833" s="129" t="s">
        <v>2976</v>
      </c>
      <c r="J833" s="129">
        <v>69181</v>
      </c>
      <c r="K833" s="130" t="s">
        <v>2977</v>
      </c>
      <c r="L833" s="129" t="s">
        <v>570</v>
      </c>
      <c r="M833" s="129" t="s">
        <v>570</v>
      </c>
      <c r="N833" s="129" t="s">
        <v>570</v>
      </c>
      <c r="O833" s="129" t="s">
        <v>570</v>
      </c>
      <c r="P833" s="409" t="s">
        <v>570</v>
      </c>
      <c r="Q833" s="179"/>
      <c r="R833" s="179"/>
      <c r="S833" s="179"/>
      <c r="T833" s="500" t="e">
        <f>_xlfn.XLOOKUP(H833,#REF!,#REF!,0,0)</f>
        <v>#REF!</v>
      </c>
    </row>
    <row r="834" spans="1:20" x14ac:dyDescent="0.4">
      <c r="A834" s="135" t="s">
        <v>2978</v>
      </c>
      <c r="B834" s="135" t="s">
        <v>2979</v>
      </c>
      <c r="C834" s="135"/>
      <c r="D834" s="135" t="s">
        <v>693</v>
      </c>
      <c r="E834" s="19"/>
      <c r="F834" s="20" t="s">
        <v>567</v>
      </c>
      <c r="G834" s="19" t="s">
        <v>167</v>
      </c>
      <c r="H834" s="19">
        <v>43563</v>
      </c>
      <c r="I834" s="135" t="s">
        <v>2980</v>
      </c>
      <c r="J834" s="135">
        <v>69182</v>
      </c>
      <c r="K834" s="19" t="s">
        <v>2981</v>
      </c>
      <c r="L834" s="135" t="s">
        <v>570</v>
      </c>
      <c r="M834" s="135" t="s">
        <v>570</v>
      </c>
      <c r="N834" s="135" t="s">
        <v>570</v>
      </c>
      <c r="O834" s="135" t="s">
        <v>570</v>
      </c>
      <c r="P834" s="450" t="s">
        <v>570</v>
      </c>
      <c r="Q834" s="179"/>
      <c r="R834" s="179"/>
      <c r="S834" s="179"/>
      <c r="T834" s="500" t="e">
        <f>_xlfn.XLOOKUP(H834,#REF!,#REF!,0,0)</f>
        <v>#REF!</v>
      </c>
    </row>
    <row r="835" spans="1:20" x14ac:dyDescent="0.4">
      <c r="A835" s="135" t="s">
        <v>2982</v>
      </c>
      <c r="B835" s="135" t="s">
        <v>770</v>
      </c>
      <c r="C835" s="135"/>
      <c r="D835" s="135" t="s">
        <v>693</v>
      </c>
      <c r="E835" s="19"/>
      <c r="F835" s="20" t="s">
        <v>567</v>
      </c>
      <c r="G835" s="19" t="s">
        <v>167</v>
      </c>
      <c r="H835" s="19">
        <v>43563</v>
      </c>
      <c r="I835" s="135" t="s">
        <v>2983</v>
      </c>
      <c r="J835" s="135">
        <v>69183</v>
      </c>
      <c r="K835" s="19" t="s">
        <v>2984</v>
      </c>
      <c r="L835" s="135" t="s">
        <v>570</v>
      </c>
      <c r="M835" s="135" t="s">
        <v>570</v>
      </c>
      <c r="N835" s="135" t="s">
        <v>570</v>
      </c>
      <c r="O835" s="135" t="s">
        <v>570</v>
      </c>
      <c r="P835" s="450" t="s">
        <v>570</v>
      </c>
      <c r="Q835" s="179"/>
      <c r="R835" s="179"/>
      <c r="S835" s="179"/>
      <c r="T835" s="500" t="e">
        <f>_xlfn.XLOOKUP(H835,#REF!,#REF!,0,0)</f>
        <v>#REF!</v>
      </c>
    </row>
    <row r="836" spans="1:20" x14ac:dyDescent="0.4">
      <c r="A836" s="145" t="s">
        <v>2985</v>
      </c>
      <c r="B836" s="145" t="s">
        <v>2986</v>
      </c>
      <c r="C836" s="145"/>
      <c r="D836" s="145" t="s">
        <v>629</v>
      </c>
      <c r="E836" s="171"/>
      <c r="F836" s="196" t="s">
        <v>567</v>
      </c>
      <c r="G836" s="171" t="s">
        <v>167</v>
      </c>
      <c r="H836" s="106">
        <v>43563</v>
      </c>
      <c r="I836" s="145" t="s">
        <v>2987</v>
      </c>
      <c r="J836" s="145">
        <v>69219</v>
      </c>
      <c r="K836" s="171" t="s">
        <v>2988</v>
      </c>
      <c r="L836" s="145" t="s">
        <v>570</v>
      </c>
      <c r="M836" s="145" t="s">
        <v>570</v>
      </c>
      <c r="N836" s="145" t="s">
        <v>570</v>
      </c>
      <c r="O836" s="145" t="s">
        <v>570</v>
      </c>
      <c r="P836" s="424"/>
      <c r="Q836" s="179"/>
      <c r="R836" s="179"/>
      <c r="S836" s="179"/>
      <c r="T836" s="500" t="e">
        <f>_xlfn.XLOOKUP(H836,#REF!,#REF!,0,0)</f>
        <v>#REF!</v>
      </c>
    </row>
    <row r="837" spans="1:20" x14ac:dyDescent="0.4">
      <c r="A837" s="146" t="s">
        <v>2989</v>
      </c>
      <c r="B837" s="28" t="s">
        <v>2990</v>
      </c>
      <c r="C837" s="28"/>
      <c r="D837" s="147" t="s">
        <v>629</v>
      </c>
      <c r="E837" s="106"/>
      <c r="F837" s="198" t="s">
        <v>567</v>
      </c>
      <c r="G837" s="173" t="s">
        <v>167</v>
      </c>
      <c r="H837" s="106">
        <v>43563</v>
      </c>
      <c r="I837" s="28" t="s">
        <v>165</v>
      </c>
      <c r="J837" s="28">
        <v>69186</v>
      </c>
      <c r="K837" s="106" t="s">
        <v>2991</v>
      </c>
      <c r="L837" s="28" t="s">
        <v>570</v>
      </c>
      <c r="M837" s="28" t="s">
        <v>570</v>
      </c>
      <c r="N837" s="28"/>
      <c r="O837" s="28"/>
      <c r="P837" s="424"/>
      <c r="Q837" s="179"/>
      <c r="R837" s="179"/>
      <c r="S837" s="179"/>
      <c r="T837" s="500" t="e">
        <f>_xlfn.XLOOKUP(H837,#REF!,#REF!,0,0)</f>
        <v>#REF!</v>
      </c>
    </row>
    <row r="838" spans="1:20" x14ac:dyDescent="0.4">
      <c r="A838" s="156" t="s">
        <v>2992</v>
      </c>
      <c r="B838" s="156" t="s">
        <v>2993</v>
      </c>
      <c r="C838" s="156"/>
      <c r="D838" s="156" t="s">
        <v>629</v>
      </c>
      <c r="E838" s="158"/>
      <c r="F838" s="156" t="s">
        <v>567</v>
      </c>
      <c r="G838" s="158" t="s">
        <v>167</v>
      </c>
      <c r="H838" s="158">
        <v>43563</v>
      </c>
      <c r="I838" s="156" t="s">
        <v>173</v>
      </c>
      <c r="J838" s="156">
        <v>69196</v>
      </c>
      <c r="K838" s="158" t="s">
        <v>2994</v>
      </c>
      <c r="L838" s="156" t="s">
        <v>570</v>
      </c>
      <c r="M838" s="156" t="s">
        <v>570</v>
      </c>
      <c r="N838" s="156"/>
      <c r="O838" s="156"/>
      <c r="P838" s="433"/>
      <c r="Q838" s="179"/>
      <c r="R838" s="179"/>
      <c r="S838" s="179"/>
      <c r="T838" s="500" t="e">
        <f>_xlfn.XLOOKUP(H838,#REF!,#REF!,0,0)</f>
        <v>#REF!</v>
      </c>
    </row>
    <row r="839" spans="1:20" x14ac:dyDescent="0.4">
      <c r="A839" s="146" t="s">
        <v>2995</v>
      </c>
      <c r="B839" s="28" t="s">
        <v>2996</v>
      </c>
      <c r="C839" s="28"/>
      <c r="D839" s="147" t="s">
        <v>629</v>
      </c>
      <c r="E839" s="106"/>
      <c r="F839" s="198" t="s">
        <v>567</v>
      </c>
      <c r="G839" s="173" t="s">
        <v>167</v>
      </c>
      <c r="H839" s="106">
        <v>43563</v>
      </c>
      <c r="I839" s="28" t="s">
        <v>2997</v>
      </c>
      <c r="J839" s="28">
        <v>69184</v>
      </c>
      <c r="K839" s="106" t="s">
        <v>2998</v>
      </c>
      <c r="L839" s="28" t="s">
        <v>570</v>
      </c>
      <c r="M839" s="28" t="s">
        <v>570</v>
      </c>
      <c r="N839" s="28"/>
      <c r="O839" s="28"/>
      <c r="P839" s="424"/>
      <c r="Q839" s="179"/>
      <c r="R839" s="179"/>
      <c r="S839" s="179"/>
      <c r="T839" s="500" t="e">
        <f>_xlfn.XLOOKUP(H839,#REF!,#REF!,0,0)</f>
        <v>#REF!</v>
      </c>
    </row>
    <row r="840" spans="1:20" x14ac:dyDescent="0.4">
      <c r="A840" s="146" t="s">
        <v>2999</v>
      </c>
      <c r="B840" s="28" t="s">
        <v>3000</v>
      </c>
      <c r="C840" s="28"/>
      <c r="D840" s="147" t="s">
        <v>629</v>
      </c>
      <c r="E840" s="106"/>
      <c r="F840" s="198" t="s">
        <v>567</v>
      </c>
      <c r="G840" s="173" t="s">
        <v>167</v>
      </c>
      <c r="H840" s="106">
        <v>43563</v>
      </c>
      <c r="I840" s="28" t="s">
        <v>166</v>
      </c>
      <c r="J840" s="28">
        <v>69188</v>
      </c>
      <c r="K840" s="106"/>
      <c r="L840" s="28" t="s">
        <v>570</v>
      </c>
      <c r="M840" s="28" t="s">
        <v>570</v>
      </c>
      <c r="N840" s="28"/>
      <c r="O840" s="28"/>
      <c r="P840" s="424"/>
      <c r="Q840" s="179"/>
      <c r="R840" s="179"/>
      <c r="S840" s="179"/>
      <c r="T840" s="500" t="e">
        <f>_xlfn.XLOOKUP(H840,#REF!,#REF!,0,0)</f>
        <v>#REF!</v>
      </c>
    </row>
    <row r="841" spans="1:20" x14ac:dyDescent="0.4">
      <c r="A841" s="156" t="s">
        <v>3001</v>
      </c>
      <c r="B841" s="28" t="s">
        <v>3002</v>
      </c>
      <c r="C841" s="28"/>
      <c r="D841" s="156" t="s">
        <v>629</v>
      </c>
      <c r="E841" s="158"/>
      <c r="F841" s="156" t="s">
        <v>567</v>
      </c>
      <c r="G841" s="158" t="s">
        <v>167</v>
      </c>
      <c r="H841" s="158">
        <v>43563</v>
      </c>
      <c r="I841" s="156" t="s">
        <v>172</v>
      </c>
      <c r="J841" s="156">
        <v>69194</v>
      </c>
      <c r="K841" s="158" t="s">
        <v>3003</v>
      </c>
      <c r="L841" s="156" t="s">
        <v>570</v>
      </c>
      <c r="M841" s="156" t="s">
        <v>570</v>
      </c>
      <c r="N841" s="156" t="s">
        <v>570</v>
      </c>
      <c r="O841" s="156" t="s">
        <v>570</v>
      </c>
      <c r="P841" s="433"/>
      <c r="Q841" s="179"/>
      <c r="R841" s="179"/>
      <c r="S841" s="179"/>
      <c r="T841" s="500" t="e">
        <f>_xlfn.XLOOKUP(H841,#REF!,#REF!,0,0)</f>
        <v>#REF!</v>
      </c>
    </row>
    <row r="842" spans="1:20" x14ac:dyDescent="0.4">
      <c r="A842" s="149" t="s">
        <v>3004</v>
      </c>
      <c r="B842" s="28" t="s">
        <v>3005</v>
      </c>
      <c r="C842" s="28"/>
      <c r="D842" s="28" t="s">
        <v>629</v>
      </c>
      <c r="E842" s="106"/>
      <c r="F842" s="198" t="s">
        <v>567</v>
      </c>
      <c r="G842" s="173" t="s">
        <v>167</v>
      </c>
      <c r="H842" s="106">
        <v>43563</v>
      </c>
      <c r="I842" s="150" t="s">
        <v>3006</v>
      </c>
      <c r="J842" s="28">
        <v>69189</v>
      </c>
      <c r="K842" s="106" t="s">
        <v>3007</v>
      </c>
      <c r="L842" s="28" t="s">
        <v>570</v>
      </c>
      <c r="M842" s="28" t="s">
        <v>570</v>
      </c>
      <c r="N842" s="28" t="s">
        <v>570</v>
      </c>
      <c r="O842" s="28"/>
      <c r="P842" s="424"/>
      <c r="Q842" s="179"/>
      <c r="R842" s="179"/>
      <c r="S842" s="179"/>
      <c r="T842" s="500" t="e">
        <f>_xlfn.XLOOKUP(H842,#REF!,#REF!,0,0)</f>
        <v>#REF!</v>
      </c>
    </row>
    <row r="843" spans="1:20" x14ac:dyDescent="0.4">
      <c r="A843" s="151"/>
      <c r="B843" s="152" t="s">
        <v>3008</v>
      </c>
      <c r="C843" s="152"/>
      <c r="D843" s="152" t="s">
        <v>704</v>
      </c>
      <c r="E843" s="172"/>
      <c r="F843" s="198" t="s">
        <v>567</v>
      </c>
      <c r="G843" s="172"/>
      <c r="H843" s="172"/>
      <c r="I843" s="150" t="s">
        <v>3009</v>
      </c>
      <c r="J843" s="152">
        <v>63517</v>
      </c>
      <c r="K843" s="206" t="s">
        <v>3010</v>
      </c>
      <c r="L843" s="152" t="s">
        <v>570</v>
      </c>
      <c r="M843" s="152" t="s">
        <v>570</v>
      </c>
      <c r="N843" s="152" t="s">
        <v>570</v>
      </c>
      <c r="O843" s="152" t="s">
        <v>570</v>
      </c>
      <c r="P843" s="452"/>
      <c r="Q843" s="179"/>
      <c r="R843" s="179"/>
      <c r="S843" s="179"/>
      <c r="T843" s="500" t="e">
        <f>_xlfn.XLOOKUP(H843,#REF!,#REF!,0,0)</f>
        <v>#REF!</v>
      </c>
    </row>
    <row r="844" spans="1:20" x14ac:dyDescent="0.4">
      <c r="A844" s="146" t="s">
        <v>3011</v>
      </c>
      <c r="B844" s="28" t="s">
        <v>3012</v>
      </c>
      <c r="C844" s="28"/>
      <c r="D844" s="147" t="s">
        <v>629</v>
      </c>
      <c r="E844" s="106"/>
      <c r="F844" s="198" t="s">
        <v>567</v>
      </c>
      <c r="G844" s="173" t="s">
        <v>167</v>
      </c>
      <c r="H844" s="106">
        <v>43563</v>
      </c>
      <c r="I844" s="28" t="s">
        <v>168</v>
      </c>
      <c r="J844" s="28">
        <v>69185</v>
      </c>
      <c r="K844" s="106" t="s">
        <v>3013</v>
      </c>
      <c r="L844" s="28" t="s">
        <v>570</v>
      </c>
      <c r="M844" s="28" t="s">
        <v>570</v>
      </c>
      <c r="N844" s="28" t="s">
        <v>570</v>
      </c>
      <c r="O844" s="28" t="s">
        <v>570</v>
      </c>
      <c r="P844" s="424"/>
      <c r="Q844" s="179"/>
      <c r="R844" s="179"/>
      <c r="S844" s="179"/>
      <c r="T844" s="500" t="e">
        <f>_xlfn.XLOOKUP(H844,#REF!,#REF!,0,0)</f>
        <v>#REF!</v>
      </c>
    </row>
    <row r="845" spans="1:20" x14ac:dyDescent="0.4">
      <c r="A845" s="153" t="s">
        <v>3014</v>
      </c>
      <c r="B845" s="153" t="s">
        <v>3015</v>
      </c>
      <c r="C845" s="153"/>
      <c r="D845" s="153" t="s">
        <v>2215</v>
      </c>
      <c r="E845" s="155">
        <v>43650</v>
      </c>
      <c r="F845" s="154" t="s">
        <v>3016</v>
      </c>
      <c r="G845" s="155" t="s">
        <v>3017</v>
      </c>
      <c r="H845" s="155">
        <v>43633</v>
      </c>
      <c r="I845" s="28" t="s">
        <v>3018</v>
      </c>
      <c r="J845" s="28">
        <v>69297</v>
      </c>
      <c r="K845" s="155" t="s">
        <v>3019</v>
      </c>
      <c r="L845" s="153"/>
      <c r="M845" s="153"/>
      <c r="N845" s="153"/>
      <c r="O845" s="153"/>
      <c r="P845" s="453"/>
      <c r="Q845" s="179"/>
      <c r="R845" s="179"/>
      <c r="S845" s="179"/>
      <c r="T845" s="500" t="e">
        <f>_xlfn.XLOOKUP(H845,#REF!,#REF!,0,0)</f>
        <v>#REF!</v>
      </c>
    </row>
    <row r="846" spans="1:20" x14ac:dyDescent="0.4">
      <c r="A846" s="28" t="s">
        <v>3020</v>
      </c>
      <c r="B846" s="28" t="s">
        <v>3021</v>
      </c>
      <c r="C846" s="28"/>
      <c r="D846" s="156" t="s">
        <v>629</v>
      </c>
      <c r="E846" s="106"/>
      <c r="F846" s="198" t="s">
        <v>567</v>
      </c>
      <c r="G846" s="173" t="s">
        <v>167</v>
      </c>
      <c r="H846" s="106">
        <v>43563</v>
      </c>
      <c r="I846" s="28" t="s">
        <v>170</v>
      </c>
      <c r="J846" s="28">
        <v>69193</v>
      </c>
      <c r="K846" s="176" t="s">
        <v>3022</v>
      </c>
      <c r="L846" s="28" t="s">
        <v>570</v>
      </c>
      <c r="M846" s="28" t="s">
        <v>570</v>
      </c>
      <c r="N846" s="28" t="s">
        <v>570</v>
      </c>
      <c r="O846" s="28" t="s">
        <v>570</v>
      </c>
      <c r="P846" s="424"/>
      <c r="Q846" s="179"/>
      <c r="R846" s="179"/>
      <c r="S846" s="179"/>
      <c r="T846" s="500" t="e">
        <f>_xlfn.XLOOKUP(H846,#REF!,#REF!,0,0)</f>
        <v>#REF!</v>
      </c>
    </row>
    <row r="847" spans="1:20" x14ac:dyDescent="0.4">
      <c r="A847" s="28" t="s">
        <v>3023</v>
      </c>
      <c r="B847" s="28" t="s">
        <v>3024</v>
      </c>
      <c r="C847" s="28"/>
      <c r="D847" s="28" t="s">
        <v>629</v>
      </c>
      <c r="E847" s="106"/>
      <c r="F847" s="198" t="s">
        <v>567</v>
      </c>
      <c r="G847" s="173" t="s">
        <v>167</v>
      </c>
      <c r="H847" s="106">
        <v>43563</v>
      </c>
      <c r="I847" s="28" t="s">
        <v>3025</v>
      </c>
      <c r="J847" s="28">
        <v>69191</v>
      </c>
      <c r="K847" s="106" t="s">
        <v>3026</v>
      </c>
      <c r="L847" s="148" t="s">
        <v>570</v>
      </c>
      <c r="M847" s="28" t="s">
        <v>570</v>
      </c>
      <c r="N847" s="28" t="s">
        <v>570</v>
      </c>
      <c r="O847" s="28" t="s">
        <v>570</v>
      </c>
      <c r="P847" s="424"/>
      <c r="Q847" s="179"/>
      <c r="R847" s="179"/>
      <c r="S847" s="179"/>
      <c r="T847" s="500" t="e">
        <f>_xlfn.XLOOKUP(H847,#REF!,#REF!,0,0)</f>
        <v>#REF!</v>
      </c>
    </row>
    <row r="848" spans="1:20" x14ac:dyDescent="0.4">
      <c r="A848" s="28" t="s">
        <v>3027</v>
      </c>
      <c r="B848" s="150" t="s">
        <v>3028</v>
      </c>
      <c r="C848" s="150"/>
      <c r="D848" s="28" t="s">
        <v>629</v>
      </c>
      <c r="E848" s="106"/>
      <c r="F848" s="198" t="s">
        <v>567</v>
      </c>
      <c r="G848" s="173" t="s">
        <v>167</v>
      </c>
      <c r="H848" s="106">
        <v>43563</v>
      </c>
      <c r="I848" s="150" t="s">
        <v>3029</v>
      </c>
      <c r="J848" s="150">
        <v>69180</v>
      </c>
      <c r="K848" s="106"/>
      <c r="L848" s="148" t="s">
        <v>570</v>
      </c>
      <c r="M848" s="28" t="s">
        <v>570</v>
      </c>
      <c r="N848" s="28" t="s">
        <v>570</v>
      </c>
      <c r="O848" s="28" t="s">
        <v>570</v>
      </c>
      <c r="P848" s="424"/>
      <c r="Q848" s="179"/>
      <c r="R848" s="179"/>
      <c r="S848" s="179"/>
      <c r="T848" s="500" t="e">
        <f>_xlfn.XLOOKUP(H848,#REF!,#REF!,0,0)</f>
        <v>#REF!</v>
      </c>
    </row>
    <row r="849" spans="1:20" x14ac:dyDescent="0.4">
      <c r="A849" s="149" t="s">
        <v>3030</v>
      </c>
      <c r="B849" s="28" t="s">
        <v>3031</v>
      </c>
      <c r="C849" s="28"/>
      <c r="D849" s="28" t="s">
        <v>629</v>
      </c>
      <c r="E849" s="106"/>
      <c r="F849" s="198" t="s">
        <v>567</v>
      </c>
      <c r="G849" s="173" t="s">
        <v>167</v>
      </c>
      <c r="H849" s="106">
        <v>43563</v>
      </c>
      <c r="I849" s="28" t="s">
        <v>169</v>
      </c>
      <c r="J849" s="28">
        <v>69190</v>
      </c>
      <c r="K849" s="106" t="s">
        <v>3032</v>
      </c>
      <c r="L849" s="28" t="s">
        <v>570</v>
      </c>
      <c r="M849" s="28" t="s">
        <v>570</v>
      </c>
      <c r="N849" s="28"/>
      <c r="O849" s="28"/>
      <c r="P849" s="424"/>
      <c r="Q849" s="179"/>
      <c r="R849" s="179"/>
      <c r="S849" s="179"/>
      <c r="T849" s="500" t="e">
        <f>_xlfn.XLOOKUP(H849,#REF!,#REF!,0,0)</f>
        <v>#REF!</v>
      </c>
    </row>
    <row r="850" spans="1:20" x14ac:dyDescent="0.4">
      <c r="A850" s="148" t="s">
        <v>3033</v>
      </c>
      <c r="B850" s="250" t="s">
        <v>3034</v>
      </c>
      <c r="C850" s="250"/>
      <c r="D850" s="250" t="s">
        <v>629</v>
      </c>
      <c r="E850" s="279"/>
      <c r="F850" s="198" t="s">
        <v>567</v>
      </c>
      <c r="G850" s="174" t="s">
        <v>140</v>
      </c>
      <c r="H850" s="174">
        <v>43633</v>
      </c>
      <c r="I850" s="148" t="s">
        <v>183</v>
      </c>
      <c r="J850" s="148">
        <v>69281</v>
      </c>
      <c r="K850" s="174" t="s">
        <v>3035</v>
      </c>
      <c r="L850" s="148" t="s">
        <v>570</v>
      </c>
      <c r="M850" s="148" t="s">
        <v>570</v>
      </c>
      <c r="N850" s="148" t="s">
        <v>570</v>
      </c>
      <c r="O850" s="148" t="s">
        <v>570</v>
      </c>
      <c r="P850" s="454"/>
      <c r="Q850" s="179"/>
      <c r="R850" s="179"/>
      <c r="S850" s="179"/>
      <c r="T850" s="500" t="e">
        <f>_xlfn.XLOOKUP(H850,#REF!,#REF!,0,0)</f>
        <v>#REF!</v>
      </c>
    </row>
    <row r="851" spans="1:20" x14ac:dyDescent="0.4">
      <c r="A851" s="28" t="s">
        <v>3036</v>
      </c>
      <c r="B851" s="28" t="s">
        <v>3037</v>
      </c>
      <c r="C851" s="28"/>
      <c r="D851" s="150" t="s">
        <v>2215</v>
      </c>
      <c r="E851" s="106"/>
      <c r="F851" s="189" t="s">
        <v>567</v>
      </c>
      <c r="G851" s="106" t="s">
        <v>167</v>
      </c>
      <c r="H851" s="106">
        <v>43563</v>
      </c>
      <c r="I851" s="28" t="s">
        <v>3038</v>
      </c>
      <c r="J851" s="28">
        <v>69187</v>
      </c>
      <c r="K851" s="106" t="s">
        <v>3039</v>
      </c>
      <c r="L851" s="28" t="s">
        <v>570</v>
      </c>
      <c r="M851" s="28" t="s">
        <v>570</v>
      </c>
      <c r="N851" s="28"/>
      <c r="O851" s="28"/>
      <c r="P851" s="424"/>
      <c r="Q851" s="179"/>
      <c r="R851" s="179"/>
      <c r="S851" s="179"/>
      <c r="T851" s="500" t="e">
        <f>_xlfn.XLOOKUP(H851,#REF!,#REF!,0,0)</f>
        <v>#REF!</v>
      </c>
    </row>
    <row r="852" spans="1:20" x14ac:dyDescent="0.4">
      <c r="A852" s="129" t="s">
        <v>3040</v>
      </c>
      <c r="B852" s="129" t="s">
        <v>3041</v>
      </c>
      <c r="C852" s="129"/>
      <c r="D852" s="129" t="s">
        <v>2215</v>
      </c>
      <c r="E852" s="130"/>
      <c r="F852" s="129" t="s">
        <v>567</v>
      </c>
      <c r="G852" s="130" t="s">
        <v>167</v>
      </c>
      <c r="H852" s="130">
        <v>43563</v>
      </c>
      <c r="I852" s="129" t="s">
        <v>3042</v>
      </c>
      <c r="J852" s="129">
        <v>69199</v>
      </c>
      <c r="K852" s="130" t="s">
        <v>3043</v>
      </c>
      <c r="L852" s="129" t="s">
        <v>570</v>
      </c>
      <c r="M852" s="129" t="s">
        <v>570</v>
      </c>
      <c r="N852" s="129"/>
      <c r="O852" s="129" t="s">
        <v>570</v>
      </c>
      <c r="P852" s="409"/>
      <c r="Q852" s="179"/>
      <c r="R852" s="179"/>
      <c r="S852" s="179"/>
      <c r="T852" s="500" t="e">
        <f>_xlfn.XLOOKUP(H852,#REF!,#REF!,0,0)</f>
        <v>#REF!</v>
      </c>
    </row>
    <row r="853" spans="1:20" x14ac:dyDescent="0.4">
      <c r="A853" s="129" t="s">
        <v>3044</v>
      </c>
      <c r="B853" s="129" t="s">
        <v>3045</v>
      </c>
      <c r="C853" s="129"/>
      <c r="D853" s="129" t="s">
        <v>2200</v>
      </c>
      <c r="E853" s="130"/>
      <c r="F853" s="142" t="s">
        <v>567</v>
      </c>
      <c r="G853" s="130" t="s">
        <v>167</v>
      </c>
      <c r="H853" s="130">
        <v>43563</v>
      </c>
      <c r="I853" s="129" t="s">
        <v>3046</v>
      </c>
      <c r="J853" s="129">
        <v>69201</v>
      </c>
      <c r="K853" s="130" t="s">
        <v>3047</v>
      </c>
      <c r="L853" s="129" t="s">
        <v>570</v>
      </c>
      <c r="M853" s="129" t="s">
        <v>570</v>
      </c>
      <c r="N853" s="129" t="s">
        <v>570</v>
      </c>
      <c r="O853" s="129" t="s">
        <v>570</v>
      </c>
      <c r="P853" s="409" t="s">
        <v>570</v>
      </c>
      <c r="Q853" s="179"/>
      <c r="R853" s="179"/>
      <c r="S853" s="179"/>
      <c r="T853" s="500" t="e">
        <f>_xlfn.XLOOKUP(H853,#REF!,#REF!,0,0)</f>
        <v>#REF!</v>
      </c>
    </row>
    <row r="854" spans="1:20" x14ac:dyDescent="0.4">
      <c r="A854" s="156" t="s">
        <v>3048</v>
      </c>
      <c r="B854" s="28" t="s">
        <v>3049</v>
      </c>
      <c r="C854" s="28"/>
      <c r="D854" s="28" t="s">
        <v>2215</v>
      </c>
      <c r="E854" s="106"/>
      <c r="F854" s="198" t="s">
        <v>567</v>
      </c>
      <c r="G854" s="173" t="s">
        <v>167</v>
      </c>
      <c r="H854" s="106">
        <v>43563</v>
      </c>
      <c r="I854" s="28" t="s">
        <v>3050</v>
      </c>
      <c r="J854" s="28">
        <v>69203</v>
      </c>
      <c r="K854" s="106" t="s">
        <v>3051</v>
      </c>
      <c r="L854" s="28" t="s">
        <v>570</v>
      </c>
      <c r="M854" s="156" t="s">
        <v>570</v>
      </c>
      <c r="N854" s="28" t="s">
        <v>570</v>
      </c>
      <c r="O854" s="28" t="s">
        <v>570</v>
      </c>
      <c r="P854" s="424" t="s">
        <v>570</v>
      </c>
      <c r="Q854" s="179"/>
      <c r="R854" s="179"/>
      <c r="S854" s="179"/>
      <c r="T854" s="500" t="e">
        <f>_xlfn.XLOOKUP(H854,#REF!,#REF!,0,0)</f>
        <v>#REF!</v>
      </c>
    </row>
    <row r="855" spans="1:20" x14ac:dyDescent="0.4">
      <c r="A855" s="28" t="s">
        <v>3052</v>
      </c>
      <c r="B855" s="28" t="s">
        <v>3053</v>
      </c>
      <c r="C855" s="28"/>
      <c r="D855" s="28" t="s">
        <v>629</v>
      </c>
      <c r="E855" s="106"/>
      <c r="F855" s="198" t="s">
        <v>567</v>
      </c>
      <c r="G855" s="173" t="s">
        <v>167</v>
      </c>
      <c r="H855" s="106">
        <v>43563</v>
      </c>
      <c r="I855" s="28" t="s">
        <v>171</v>
      </c>
      <c r="J855" s="28">
        <v>69192</v>
      </c>
      <c r="K855" s="106" t="s">
        <v>3022</v>
      </c>
      <c r="L855" s="148" t="s">
        <v>570</v>
      </c>
      <c r="M855" s="28" t="s">
        <v>570</v>
      </c>
      <c r="N855" s="28"/>
      <c r="O855" s="28" t="s">
        <v>570</v>
      </c>
      <c r="P855" s="424"/>
      <c r="Q855" s="179"/>
      <c r="R855" s="179"/>
      <c r="S855" s="179"/>
      <c r="T855" s="500" t="e">
        <f>_xlfn.XLOOKUP(H855,#REF!,#REF!,0,0)</f>
        <v>#REF!</v>
      </c>
    </row>
    <row r="856" spans="1:20" x14ac:dyDescent="0.4">
      <c r="A856" s="111" t="s">
        <v>3054</v>
      </c>
      <c r="B856" s="71" t="s">
        <v>3055</v>
      </c>
      <c r="C856" s="71"/>
      <c r="D856" s="71" t="s">
        <v>2215</v>
      </c>
      <c r="E856" s="23"/>
      <c r="F856" s="184" t="s">
        <v>567</v>
      </c>
      <c r="G856" s="125" t="s">
        <v>167</v>
      </c>
      <c r="H856" s="23">
        <v>43563</v>
      </c>
      <c r="I856" s="71" t="s">
        <v>3056</v>
      </c>
      <c r="J856" s="71">
        <v>69207</v>
      </c>
      <c r="K856" s="23" t="s">
        <v>3057</v>
      </c>
      <c r="L856" s="71" t="s">
        <v>570</v>
      </c>
      <c r="M856" s="71" t="s">
        <v>570</v>
      </c>
      <c r="N856" s="71" t="s">
        <v>570</v>
      </c>
      <c r="O856" s="71" t="s">
        <v>570</v>
      </c>
      <c r="P856" s="439" t="s">
        <v>570</v>
      </c>
      <c r="Q856" s="179"/>
      <c r="R856" s="179"/>
      <c r="S856" s="179"/>
      <c r="T856" s="500" t="e">
        <f>_xlfn.XLOOKUP(H856,#REF!,#REF!,0,0)</f>
        <v>#REF!</v>
      </c>
    </row>
    <row r="857" spans="1:20" x14ac:dyDescent="0.4">
      <c r="A857" s="129" t="s">
        <v>3058</v>
      </c>
      <c r="B857" s="129" t="s">
        <v>3059</v>
      </c>
      <c r="C857" s="129"/>
      <c r="D857" s="129" t="s">
        <v>2215</v>
      </c>
      <c r="E857" s="130"/>
      <c r="F857" s="142" t="s">
        <v>567</v>
      </c>
      <c r="G857" s="130" t="s">
        <v>167</v>
      </c>
      <c r="H857" s="130">
        <v>43563</v>
      </c>
      <c r="I857" s="129" t="s">
        <v>176</v>
      </c>
      <c r="J857" s="129">
        <v>69208</v>
      </c>
      <c r="K857" s="130" t="s">
        <v>3060</v>
      </c>
      <c r="L857" s="129" t="s">
        <v>570</v>
      </c>
      <c r="M857" s="129" t="s">
        <v>570</v>
      </c>
      <c r="N857" s="129" t="s">
        <v>570</v>
      </c>
      <c r="O857" s="129" t="s">
        <v>570</v>
      </c>
      <c r="P857" s="409" t="s">
        <v>570</v>
      </c>
      <c r="Q857" s="179"/>
      <c r="R857" s="179"/>
      <c r="S857" s="179"/>
      <c r="T857" s="500" t="e">
        <f>_xlfn.XLOOKUP(H857,#REF!,#REF!,0,0)</f>
        <v>#REF!</v>
      </c>
    </row>
    <row r="858" spans="1:20" x14ac:dyDescent="0.4">
      <c r="A858" s="28" t="s">
        <v>3061</v>
      </c>
      <c r="B858" s="28" t="s">
        <v>3062</v>
      </c>
      <c r="C858" s="28"/>
      <c r="D858" s="28" t="s">
        <v>629</v>
      </c>
      <c r="E858" s="106"/>
      <c r="F858" s="198" t="s">
        <v>567</v>
      </c>
      <c r="G858" s="173" t="s">
        <v>167</v>
      </c>
      <c r="H858" s="106">
        <v>43563</v>
      </c>
      <c r="I858" s="28" t="s">
        <v>3063</v>
      </c>
      <c r="J858" s="28">
        <v>69211</v>
      </c>
      <c r="K858" s="106"/>
      <c r="L858" s="28" t="s">
        <v>570</v>
      </c>
      <c r="M858" s="28" t="s">
        <v>570</v>
      </c>
      <c r="N858" s="28" t="s">
        <v>570</v>
      </c>
      <c r="O858" s="28" t="s">
        <v>570</v>
      </c>
      <c r="P858" s="424" t="s">
        <v>570</v>
      </c>
      <c r="Q858" s="179"/>
      <c r="R858" s="179"/>
      <c r="S858" s="179"/>
      <c r="T858" s="500" t="e">
        <f>_xlfn.XLOOKUP(H858,#REF!,#REF!,0,0)</f>
        <v>#REF!</v>
      </c>
    </row>
    <row r="859" spans="1:20" x14ac:dyDescent="0.4">
      <c r="A859" s="28" t="s">
        <v>3064</v>
      </c>
      <c r="B859" s="28" t="s">
        <v>3065</v>
      </c>
      <c r="C859" s="28"/>
      <c r="D859" s="28" t="s">
        <v>629</v>
      </c>
      <c r="E859" s="158"/>
      <c r="F859" s="156" t="s">
        <v>567</v>
      </c>
      <c r="G859" s="158" t="s">
        <v>167</v>
      </c>
      <c r="H859" s="158">
        <v>43563</v>
      </c>
      <c r="I859" s="156" t="s">
        <v>3066</v>
      </c>
      <c r="J859" s="156">
        <v>69195</v>
      </c>
      <c r="K859" s="158" t="s">
        <v>3067</v>
      </c>
      <c r="L859" s="156" t="s">
        <v>570</v>
      </c>
      <c r="M859" s="156" t="s">
        <v>570</v>
      </c>
      <c r="N859" s="156"/>
      <c r="O859" s="156" t="s">
        <v>570</v>
      </c>
      <c r="P859" s="433"/>
      <c r="Q859" s="179"/>
      <c r="R859" s="179"/>
      <c r="S859" s="179"/>
      <c r="T859" s="500" t="e">
        <f>_xlfn.XLOOKUP(H859,#REF!,#REF!,0,0)</f>
        <v>#REF!</v>
      </c>
    </row>
    <row r="860" spans="1:20" x14ac:dyDescent="0.4">
      <c r="A860" s="28" t="s">
        <v>3068</v>
      </c>
      <c r="B860" s="28" t="s">
        <v>3069</v>
      </c>
      <c r="C860" s="28"/>
      <c r="D860" s="28" t="s">
        <v>629</v>
      </c>
      <c r="E860" s="106"/>
      <c r="F860" s="198" t="s">
        <v>567</v>
      </c>
      <c r="G860" s="173" t="s">
        <v>167</v>
      </c>
      <c r="H860" s="106">
        <v>43563</v>
      </c>
      <c r="I860" s="28" t="s">
        <v>177</v>
      </c>
      <c r="J860" s="28">
        <v>69209</v>
      </c>
      <c r="K860" s="106"/>
      <c r="L860" s="28" t="s">
        <v>570</v>
      </c>
      <c r="M860" s="28" t="s">
        <v>570</v>
      </c>
      <c r="N860" s="28"/>
      <c r="O860" s="28" t="s">
        <v>570</v>
      </c>
      <c r="P860" s="424"/>
      <c r="Q860" s="179"/>
      <c r="R860" s="179"/>
      <c r="S860" s="179"/>
      <c r="T860" s="500" t="e">
        <f>_xlfn.XLOOKUP(H860,#REF!,#REF!,0,0)</f>
        <v>#REF!</v>
      </c>
    </row>
    <row r="861" spans="1:20" x14ac:dyDescent="0.4">
      <c r="A861" s="129" t="s">
        <v>3070</v>
      </c>
      <c r="B861" s="129" t="s">
        <v>3071</v>
      </c>
      <c r="C861" s="129"/>
      <c r="D861" s="129" t="s">
        <v>693</v>
      </c>
      <c r="E861" s="130"/>
      <c r="F861" s="129" t="s">
        <v>10</v>
      </c>
      <c r="G861" s="130" t="s">
        <v>3072</v>
      </c>
      <c r="H861" s="130"/>
      <c r="I861" s="129" t="s">
        <v>3073</v>
      </c>
      <c r="J861" s="129">
        <v>59098</v>
      </c>
      <c r="K861" s="130"/>
      <c r="L861" s="129" t="s">
        <v>364</v>
      </c>
      <c r="M861" s="129" t="s">
        <v>364</v>
      </c>
      <c r="N861" s="129" t="s">
        <v>364</v>
      </c>
      <c r="O861" s="129" t="s">
        <v>364</v>
      </c>
      <c r="P861" s="409" t="s">
        <v>364</v>
      </c>
      <c r="Q861" s="179"/>
      <c r="R861" s="179"/>
      <c r="S861" s="179"/>
      <c r="T861" s="500" t="e">
        <f>_xlfn.XLOOKUP(H861,#REF!,#REF!,0,0)</f>
        <v>#REF!</v>
      </c>
    </row>
    <row r="862" spans="1:20" x14ac:dyDescent="0.4">
      <c r="A862" s="129" t="s">
        <v>3074</v>
      </c>
      <c r="B862" s="129" t="s">
        <v>3075</v>
      </c>
      <c r="C862" s="129"/>
      <c r="D862" s="129" t="s">
        <v>693</v>
      </c>
      <c r="E862" s="130"/>
      <c r="F862" s="129" t="s">
        <v>10</v>
      </c>
      <c r="G862" s="130" t="s">
        <v>3072</v>
      </c>
      <c r="H862" s="130"/>
      <c r="I862" s="129" t="s">
        <v>38</v>
      </c>
      <c r="J862" s="129">
        <v>59100</v>
      </c>
      <c r="K862" s="130"/>
      <c r="L862" s="129" t="s">
        <v>364</v>
      </c>
      <c r="M862" s="129" t="s">
        <v>364</v>
      </c>
      <c r="N862" s="129" t="s">
        <v>364</v>
      </c>
      <c r="O862" s="129" t="s">
        <v>364</v>
      </c>
      <c r="P862" s="409" t="s">
        <v>364</v>
      </c>
      <c r="Q862" s="179"/>
      <c r="R862" s="179"/>
      <c r="S862" s="179"/>
      <c r="T862" s="500" t="e">
        <f>_xlfn.XLOOKUP(H862,#REF!,#REF!,0,0)</f>
        <v>#REF!</v>
      </c>
    </row>
    <row r="863" spans="1:20" x14ac:dyDescent="0.4">
      <c r="A863" s="129" t="s">
        <v>3076</v>
      </c>
      <c r="B863" s="129" t="s">
        <v>3077</v>
      </c>
      <c r="C863" s="129"/>
      <c r="D863" s="129" t="s">
        <v>693</v>
      </c>
      <c r="E863" s="130"/>
      <c r="F863" s="129" t="s">
        <v>10</v>
      </c>
      <c r="G863" s="130" t="s">
        <v>3072</v>
      </c>
      <c r="H863" s="130"/>
      <c r="I863" s="129" t="s">
        <v>1316</v>
      </c>
      <c r="J863" s="129">
        <v>59142</v>
      </c>
      <c r="K863" s="130"/>
      <c r="L863" s="129" t="s">
        <v>364</v>
      </c>
      <c r="M863" s="129" t="s">
        <v>364</v>
      </c>
      <c r="N863" s="129" t="s">
        <v>364</v>
      </c>
      <c r="O863" s="129" t="s">
        <v>364</v>
      </c>
      <c r="P863" s="409" t="s">
        <v>364</v>
      </c>
      <c r="Q863" s="179"/>
      <c r="R863" s="179"/>
      <c r="S863" s="179"/>
      <c r="T863" s="500" t="e">
        <f>_xlfn.XLOOKUP(H863,#REF!,#REF!,0,0)</f>
        <v>#REF!</v>
      </c>
    </row>
    <row r="864" spans="1:20" x14ac:dyDescent="0.4">
      <c r="A864" s="28" t="s">
        <v>3020</v>
      </c>
      <c r="B864" s="28" t="s">
        <v>3078</v>
      </c>
      <c r="C864" s="28"/>
      <c r="D864" s="28" t="s">
        <v>629</v>
      </c>
      <c r="E864" s="106"/>
      <c r="F864" s="189" t="s">
        <v>567</v>
      </c>
      <c r="G864" s="106" t="s">
        <v>167</v>
      </c>
      <c r="H864" s="106">
        <v>43563</v>
      </c>
      <c r="I864" s="150" t="s">
        <v>174</v>
      </c>
      <c r="J864" s="28">
        <v>69197</v>
      </c>
      <c r="K864" s="106" t="s">
        <v>3079</v>
      </c>
      <c r="L864" s="28" t="s">
        <v>570</v>
      </c>
      <c r="M864" s="28" t="s">
        <v>570</v>
      </c>
      <c r="N864" s="28" t="s">
        <v>570</v>
      </c>
      <c r="O864" s="28" t="s">
        <v>570</v>
      </c>
      <c r="P864" s="424"/>
      <c r="Q864" s="179"/>
      <c r="R864" s="179"/>
      <c r="S864" s="179"/>
      <c r="T864" s="500" t="e">
        <f>_xlfn.XLOOKUP(H864,#REF!,#REF!,0,0)</f>
        <v>#REF!</v>
      </c>
    </row>
    <row r="865" spans="1:20" x14ac:dyDescent="0.4">
      <c r="A865" s="28" t="s">
        <v>3080</v>
      </c>
      <c r="B865" s="28" t="s">
        <v>3081</v>
      </c>
      <c r="C865" s="28"/>
      <c r="D865" s="28" t="s">
        <v>629</v>
      </c>
      <c r="E865" s="106"/>
      <c r="F865" s="212" t="s">
        <v>567</v>
      </c>
      <c r="G865" s="175" t="s">
        <v>167</v>
      </c>
      <c r="H865" s="106">
        <v>43563</v>
      </c>
      <c r="I865" s="28" t="s">
        <v>178</v>
      </c>
      <c r="J865" s="28">
        <v>69210</v>
      </c>
      <c r="K865" s="106" t="s">
        <v>3082</v>
      </c>
      <c r="L865" s="28" t="s">
        <v>570</v>
      </c>
      <c r="M865" s="28" t="s">
        <v>570</v>
      </c>
      <c r="N865" s="28" t="s">
        <v>570</v>
      </c>
      <c r="O865" s="28" t="s">
        <v>570</v>
      </c>
      <c r="P865" s="424" t="s">
        <v>570</v>
      </c>
      <c r="Q865" s="179"/>
      <c r="R865" s="179"/>
      <c r="S865" s="179"/>
      <c r="T865" s="500" t="e">
        <f>_xlfn.XLOOKUP(H865,#REF!,#REF!,0,0)</f>
        <v>#REF!</v>
      </c>
    </row>
    <row r="866" spans="1:20" x14ac:dyDescent="0.4">
      <c r="A866" s="28" t="s">
        <v>3083</v>
      </c>
      <c r="B866" s="28" t="s">
        <v>3084</v>
      </c>
      <c r="C866" s="28"/>
      <c r="D866" s="28" t="s">
        <v>629</v>
      </c>
      <c r="E866" s="106"/>
      <c r="F866" s="198" t="s">
        <v>567</v>
      </c>
      <c r="G866" s="173" t="s">
        <v>167</v>
      </c>
      <c r="H866" s="106">
        <v>43563</v>
      </c>
      <c r="I866" s="28" t="s">
        <v>179</v>
      </c>
      <c r="J866" s="28">
        <v>69212</v>
      </c>
      <c r="K866" s="106" t="s">
        <v>3085</v>
      </c>
      <c r="L866" s="28" t="s">
        <v>570</v>
      </c>
      <c r="M866" s="28" t="s">
        <v>570</v>
      </c>
      <c r="N866" s="28" t="s">
        <v>570</v>
      </c>
      <c r="O866" s="28" t="s">
        <v>570</v>
      </c>
      <c r="P866" s="424" t="s">
        <v>570</v>
      </c>
      <c r="Q866" s="179"/>
      <c r="R866" s="179"/>
      <c r="S866" s="179"/>
      <c r="T866" s="500" t="e">
        <f>_xlfn.XLOOKUP(H866,#REF!,#REF!,0,0)</f>
        <v>#REF!</v>
      </c>
    </row>
    <row r="867" spans="1:20" x14ac:dyDescent="0.4">
      <c r="A867" s="156" t="s">
        <v>3086</v>
      </c>
      <c r="B867" s="28" t="s">
        <v>3087</v>
      </c>
      <c r="C867" s="28"/>
      <c r="D867" s="28" t="s">
        <v>629</v>
      </c>
      <c r="E867" s="106"/>
      <c r="F867" s="198" t="s">
        <v>567</v>
      </c>
      <c r="G867" s="173" t="s">
        <v>167</v>
      </c>
      <c r="H867" s="106">
        <v>43563</v>
      </c>
      <c r="I867" s="150" t="s">
        <v>3088</v>
      </c>
      <c r="J867" s="28">
        <v>69202</v>
      </c>
      <c r="K867" s="106" t="s">
        <v>3089</v>
      </c>
      <c r="L867" s="28" t="s">
        <v>570</v>
      </c>
      <c r="M867" s="156" t="s">
        <v>570</v>
      </c>
      <c r="N867" s="28"/>
      <c r="O867" s="150" t="s">
        <v>570</v>
      </c>
      <c r="P867" s="424"/>
      <c r="Q867" s="179"/>
      <c r="R867" s="179"/>
      <c r="S867" s="179"/>
      <c r="T867" s="500" t="e">
        <f>_xlfn.XLOOKUP(H867,#REF!,#REF!,0,0)</f>
        <v>#REF!</v>
      </c>
    </row>
    <row r="868" spans="1:20" x14ac:dyDescent="0.4">
      <c r="A868" s="150" t="s">
        <v>3090</v>
      </c>
      <c r="B868" s="150" t="s">
        <v>3091</v>
      </c>
      <c r="C868" s="150"/>
      <c r="D868" s="150" t="s">
        <v>629</v>
      </c>
      <c r="E868" s="176"/>
      <c r="F868" s="197" t="s">
        <v>567</v>
      </c>
      <c r="G868" s="176" t="s">
        <v>167</v>
      </c>
      <c r="H868" s="176">
        <v>43563</v>
      </c>
      <c r="I868" s="150" t="s">
        <v>3092</v>
      </c>
      <c r="J868" s="150">
        <v>69213</v>
      </c>
      <c r="K868" s="176" t="s">
        <v>3093</v>
      </c>
      <c r="L868" s="150" t="s">
        <v>570</v>
      </c>
      <c r="M868" s="150" t="s">
        <v>570</v>
      </c>
      <c r="N868" s="150" t="s">
        <v>570</v>
      </c>
      <c r="O868" s="150" t="s">
        <v>570</v>
      </c>
      <c r="P868" s="455"/>
      <c r="Q868" s="179"/>
      <c r="R868" s="179"/>
      <c r="S868" s="179"/>
      <c r="T868" s="500" t="e">
        <f>_xlfn.XLOOKUP(H868,#REF!,#REF!,0,0)</f>
        <v>#REF!</v>
      </c>
    </row>
    <row r="869" spans="1:20" x14ac:dyDescent="0.4">
      <c r="A869" s="28" t="s">
        <v>3094</v>
      </c>
      <c r="B869" s="150" t="s">
        <v>3095</v>
      </c>
      <c r="C869" s="150"/>
      <c r="D869" s="28" t="s">
        <v>629</v>
      </c>
      <c r="E869" s="106"/>
      <c r="F869" s="198" t="s">
        <v>567</v>
      </c>
      <c r="G869" s="173" t="s">
        <v>167</v>
      </c>
      <c r="H869" s="106">
        <v>43563</v>
      </c>
      <c r="I869" s="28" t="s">
        <v>3096</v>
      </c>
      <c r="J869" s="28">
        <v>69214</v>
      </c>
      <c r="K869" s="106" t="s">
        <v>3097</v>
      </c>
      <c r="L869" s="28" t="s">
        <v>570</v>
      </c>
      <c r="M869" s="28" t="s">
        <v>570</v>
      </c>
      <c r="N869" s="28" t="s">
        <v>570</v>
      </c>
      <c r="O869" s="28" t="s">
        <v>570</v>
      </c>
      <c r="P869" s="424"/>
      <c r="Q869" s="179"/>
      <c r="R869" s="179"/>
      <c r="S869" s="179"/>
      <c r="T869" s="500" t="e">
        <f>_xlfn.XLOOKUP(H869,#REF!,#REF!,0,0)</f>
        <v>#REF!</v>
      </c>
    </row>
    <row r="870" spans="1:20" x14ac:dyDescent="0.4">
      <c r="A870" s="28" t="s">
        <v>3098</v>
      </c>
      <c r="B870" s="150" t="s">
        <v>3099</v>
      </c>
      <c r="C870" s="150"/>
      <c r="D870" s="28" t="s">
        <v>629</v>
      </c>
      <c r="E870" s="173" t="s">
        <v>3100</v>
      </c>
      <c r="F870" s="199" t="s">
        <v>567</v>
      </c>
      <c r="G870" s="173" t="s">
        <v>167</v>
      </c>
      <c r="H870" s="106">
        <v>43633</v>
      </c>
      <c r="I870" s="157" t="s">
        <v>187</v>
      </c>
      <c r="J870" s="157">
        <v>69304</v>
      </c>
      <c r="K870" s="173" t="s">
        <v>3101</v>
      </c>
      <c r="L870" s="157" t="s">
        <v>570</v>
      </c>
      <c r="M870" s="157" t="s">
        <v>570</v>
      </c>
      <c r="N870" s="157" t="s">
        <v>570</v>
      </c>
      <c r="O870" s="157" t="s">
        <v>570</v>
      </c>
      <c r="P870" s="456"/>
      <c r="Q870" s="179"/>
      <c r="R870" s="179"/>
      <c r="S870" s="179"/>
      <c r="T870" s="500" t="e">
        <f>_xlfn.XLOOKUP(H870,#REF!,#REF!,0,0)</f>
        <v>#REF!</v>
      </c>
    </row>
    <row r="871" spans="1:20" x14ac:dyDescent="0.4">
      <c r="A871" s="28" t="s">
        <v>3102</v>
      </c>
      <c r="B871" s="150" t="s">
        <v>3103</v>
      </c>
      <c r="C871" s="150"/>
      <c r="D871" s="28" t="s">
        <v>629</v>
      </c>
      <c r="E871" s="173" t="s">
        <v>3104</v>
      </c>
      <c r="F871" s="199" t="s">
        <v>567</v>
      </c>
      <c r="G871" s="173" t="s">
        <v>167</v>
      </c>
      <c r="H871" s="106">
        <v>43633</v>
      </c>
      <c r="I871" s="157" t="s">
        <v>3105</v>
      </c>
      <c r="J871" s="157">
        <v>69305</v>
      </c>
      <c r="K871" s="173" t="s">
        <v>3106</v>
      </c>
      <c r="L871" s="157" t="s">
        <v>570</v>
      </c>
      <c r="M871" s="157" t="s">
        <v>570</v>
      </c>
      <c r="N871" s="157" t="s">
        <v>570</v>
      </c>
      <c r="O871" s="157" t="s">
        <v>570</v>
      </c>
      <c r="P871" s="456"/>
      <c r="Q871" s="179"/>
      <c r="R871" s="179"/>
      <c r="S871" s="179"/>
      <c r="T871" s="500" t="e">
        <f>_xlfn.XLOOKUP(H871,#REF!,#REF!,0,0)</f>
        <v>#REF!</v>
      </c>
    </row>
    <row r="872" spans="1:20" x14ac:dyDescent="0.4">
      <c r="A872" s="129" t="s">
        <v>3107</v>
      </c>
      <c r="B872" s="159" t="s">
        <v>3108</v>
      </c>
      <c r="C872" s="159"/>
      <c r="D872" s="159" t="s">
        <v>629</v>
      </c>
      <c r="E872" s="176"/>
      <c r="F872" s="213" t="s">
        <v>567</v>
      </c>
      <c r="G872" s="177" t="s">
        <v>167</v>
      </c>
      <c r="H872" s="160">
        <v>43563</v>
      </c>
      <c r="I872" s="159" t="s">
        <v>3109</v>
      </c>
      <c r="J872" s="159">
        <v>69215</v>
      </c>
      <c r="K872" s="160" t="s">
        <v>3110</v>
      </c>
      <c r="L872" s="159" t="s">
        <v>570</v>
      </c>
      <c r="M872" s="159" t="s">
        <v>570</v>
      </c>
      <c r="N872" s="159"/>
      <c r="O872" s="159" t="s">
        <v>570</v>
      </c>
      <c r="P872" s="424" t="s">
        <v>570</v>
      </c>
      <c r="Q872" s="179"/>
      <c r="R872" s="179"/>
      <c r="S872" s="179"/>
      <c r="T872" s="500" t="e">
        <f>_xlfn.XLOOKUP(H872,#REF!,#REF!,0,0)</f>
        <v>#REF!</v>
      </c>
    </row>
    <row r="873" spans="1:20" x14ac:dyDescent="0.4">
      <c r="A873" s="28" t="s">
        <v>3111</v>
      </c>
      <c r="B873" s="150" t="s">
        <v>3112</v>
      </c>
      <c r="C873" s="150"/>
      <c r="D873" s="28" t="s">
        <v>629</v>
      </c>
      <c r="E873" s="160" t="s">
        <v>3113</v>
      </c>
      <c r="F873" s="199" t="s">
        <v>567</v>
      </c>
      <c r="G873" s="173" t="s">
        <v>167</v>
      </c>
      <c r="H873" s="106">
        <v>43633</v>
      </c>
      <c r="I873" s="157" t="s">
        <v>3114</v>
      </c>
      <c r="J873" s="157">
        <v>69302</v>
      </c>
      <c r="K873" s="173" t="s">
        <v>3115</v>
      </c>
      <c r="L873" s="157" t="s">
        <v>570</v>
      </c>
      <c r="M873" s="157" t="s">
        <v>570</v>
      </c>
      <c r="N873" s="157" t="s">
        <v>570</v>
      </c>
      <c r="O873" s="157" t="s">
        <v>570</v>
      </c>
      <c r="P873" s="456"/>
      <c r="Q873" s="179"/>
      <c r="R873" s="179"/>
      <c r="S873" s="179"/>
      <c r="T873" s="500" t="e">
        <f>_xlfn.XLOOKUP(H873,#REF!,#REF!,0,0)</f>
        <v>#REF!</v>
      </c>
    </row>
    <row r="874" spans="1:20" x14ac:dyDescent="0.4">
      <c r="A874" s="161" t="s">
        <v>3116</v>
      </c>
      <c r="B874" s="162" t="s">
        <v>3117</v>
      </c>
      <c r="C874" s="162"/>
      <c r="D874" s="161" t="s">
        <v>629</v>
      </c>
      <c r="E874" s="174" t="s">
        <v>3118</v>
      </c>
      <c r="F874" s="198" t="s">
        <v>567</v>
      </c>
      <c r="G874" s="174" t="s">
        <v>167</v>
      </c>
      <c r="H874" s="217">
        <v>43633</v>
      </c>
      <c r="I874" s="148" t="s">
        <v>3119</v>
      </c>
      <c r="J874" s="148">
        <v>69301</v>
      </c>
      <c r="K874" s="174" t="s">
        <v>3120</v>
      </c>
      <c r="L874" s="148" t="s">
        <v>570</v>
      </c>
      <c r="M874" s="148" t="s">
        <v>570</v>
      </c>
      <c r="N874" s="148" t="s">
        <v>570</v>
      </c>
      <c r="O874" s="148" t="s">
        <v>570</v>
      </c>
      <c r="P874" s="454"/>
      <c r="Q874" s="179"/>
      <c r="R874" s="179"/>
      <c r="S874" s="179"/>
      <c r="T874" s="500" t="e">
        <f>_xlfn.XLOOKUP(H874,#REF!,#REF!,0,0)</f>
        <v>#REF!</v>
      </c>
    </row>
    <row r="875" spans="1:20" x14ac:dyDescent="0.4">
      <c r="A875" s="28" t="s">
        <v>3121</v>
      </c>
      <c r="B875" s="28" t="s">
        <v>3122</v>
      </c>
      <c r="C875" s="28"/>
      <c r="D875" s="28" t="s">
        <v>629</v>
      </c>
      <c r="E875" s="173"/>
      <c r="F875" s="199" t="s">
        <v>567</v>
      </c>
      <c r="G875" s="173" t="s">
        <v>167</v>
      </c>
      <c r="H875" s="106">
        <v>43633</v>
      </c>
      <c r="I875" s="157" t="s">
        <v>3123</v>
      </c>
      <c r="J875" s="157">
        <v>69303</v>
      </c>
      <c r="K875" s="174" t="s">
        <v>3124</v>
      </c>
      <c r="L875" s="157" t="s">
        <v>570</v>
      </c>
      <c r="M875" s="157" t="s">
        <v>570</v>
      </c>
      <c r="N875" s="157"/>
      <c r="O875" s="157" t="s">
        <v>570</v>
      </c>
      <c r="P875" s="456"/>
      <c r="Q875" s="179"/>
      <c r="R875" s="179"/>
      <c r="S875" s="179"/>
      <c r="T875" s="500" t="e">
        <f>_xlfn.XLOOKUP(H875,#REF!,#REF!,0,0)</f>
        <v>#REF!</v>
      </c>
    </row>
    <row r="876" spans="1:20" x14ac:dyDescent="0.4">
      <c r="A876" s="28" t="s">
        <v>3125</v>
      </c>
      <c r="B876" s="150" t="s">
        <v>3126</v>
      </c>
      <c r="C876" s="150"/>
      <c r="D876" s="28" t="s">
        <v>629</v>
      </c>
      <c r="E876" s="106"/>
      <c r="F876" s="198" t="s">
        <v>567</v>
      </c>
      <c r="G876" s="173" t="s">
        <v>167</v>
      </c>
      <c r="H876" s="106">
        <v>43563</v>
      </c>
      <c r="I876" s="28" t="s">
        <v>175</v>
      </c>
      <c r="J876" s="28">
        <v>69206</v>
      </c>
      <c r="K876" s="106" t="s">
        <v>3127</v>
      </c>
      <c r="L876" s="28" t="s">
        <v>570</v>
      </c>
      <c r="M876" s="28" t="s">
        <v>570</v>
      </c>
      <c r="N876" s="150" t="s">
        <v>570</v>
      </c>
      <c r="O876" s="150" t="s">
        <v>570</v>
      </c>
      <c r="P876" s="424"/>
      <c r="Q876" s="179"/>
      <c r="R876" s="179"/>
      <c r="S876" s="179"/>
      <c r="T876" s="500" t="e">
        <f>_xlfn.XLOOKUP(H876,#REF!,#REF!,0,0)</f>
        <v>#REF!</v>
      </c>
    </row>
    <row r="877" spans="1:20" x14ac:dyDescent="0.4">
      <c r="A877" s="163" t="s">
        <v>3128</v>
      </c>
      <c r="B877" s="28" t="s">
        <v>743</v>
      </c>
      <c r="C877" s="28"/>
      <c r="D877" s="150" t="s">
        <v>2200</v>
      </c>
      <c r="E877" s="106"/>
      <c r="F877" s="198" t="s">
        <v>567</v>
      </c>
      <c r="G877" s="173" t="s">
        <v>167</v>
      </c>
      <c r="H877" s="106">
        <v>43563</v>
      </c>
      <c r="I877" s="28" t="s">
        <v>3129</v>
      </c>
      <c r="J877" s="28">
        <v>69200</v>
      </c>
      <c r="K877" s="106" t="s">
        <v>3130</v>
      </c>
      <c r="L877" s="28" t="s">
        <v>570</v>
      </c>
      <c r="M877" s="28" t="s">
        <v>570</v>
      </c>
      <c r="N877" s="28" t="s">
        <v>570</v>
      </c>
      <c r="O877" s="156" t="s">
        <v>570</v>
      </c>
      <c r="P877" s="424"/>
      <c r="Q877" s="179"/>
      <c r="R877" s="179"/>
      <c r="S877" s="179"/>
      <c r="T877" s="500" t="e">
        <f>_xlfn.XLOOKUP(H877,#REF!,#REF!,0,0)</f>
        <v>#REF!</v>
      </c>
    </row>
    <row r="878" spans="1:20" x14ac:dyDescent="0.4">
      <c r="A878" s="129" t="s">
        <v>3131</v>
      </c>
      <c r="B878" s="129" t="s">
        <v>3132</v>
      </c>
      <c r="C878" s="129"/>
      <c r="D878" s="129" t="s">
        <v>2200</v>
      </c>
      <c r="E878" s="130"/>
      <c r="F878" s="142" t="s">
        <v>567</v>
      </c>
      <c r="G878" s="130" t="s">
        <v>167</v>
      </c>
      <c r="H878" s="130">
        <v>43563</v>
      </c>
      <c r="I878" s="129" t="s">
        <v>180</v>
      </c>
      <c r="J878" s="129">
        <v>69216</v>
      </c>
      <c r="K878" s="130" t="s">
        <v>3133</v>
      </c>
      <c r="L878" s="129" t="s">
        <v>570</v>
      </c>
      <c r="M878" s="129" t="s">
        <v>570</v>
      </c>
      <c r="N878" s="129" t="s">
        <v>570</v>
      </c>
      <c r="O878" s="129" t="s">
        <v>570</v>
      </c>
      <c r="P878" s="409" t="s">
        <v>570</v>
      </c>
      <c r="Q878" s="179"/>
      <c r="R878" s="179"/>
      <c r="S878" s="179"/>
      <c r="T878" s="500" t="e">
        <f>_xlfn.XLOOKUP(H878,#REF!,#REF!,0,0)</f>
        <v>#REF!</v>
      </c>
    </row>
    <row r="879" spans="1:20" x14ac:dyDescent="0.4">
      <c r="A879" s="129" t="s">
        <v>3134</v>
      </c>
      <c r="B879" s="129" t="s">
        <v>743</v>
      </c>
      <c r="C879" s="129"/>
      <c r="D879" s="129" t="s">
        <v>693</v>
      </c>
      <c r="E879" s="130"/>
      <c r="F879" s="129" t="s">
        <v>567</v>
      </c>
      <c r="G879" s="130" t="s">
        <v>167</v>
      </c>
      <c r="H879" s="130">
        <v>43563</v>
      </c>
      <c r="I879" s="129" t="s">
        <v>3135</v>
      </c>
      <c r="J879" s="129">
        <v>69217</v>
      </c>
      <c r="K879" s="130"/>
      <c r="L879" s="129" t="s">
        <v>570</v>
      </c>
      <c r="M879" s="129" t="s">
        <v>570</v>
      </c>
      <c r="N879" s="129" t="s">
        <v>570</v>
      </c>
      <c r="O879" s="129" t="s">
        <v>570</v>
      </c>
      <c r="P879" s="409" t="s">
        <v>570</v>
      </c>
      <c r="Q879" s="179"/>
      <c r="R879" s="179"/>
      <c r="S879" s="179"/>
      <c r="T879" s="500" t="e">
        <f>_xlfn.XLOOKUP(H879,#REF!,#REF!,0,0)</f>
        <v>#REF!</v>
      </c>
    </row>
    <row r="880" spans="1:20" x14ac:dyDescent="0.4">
      <c r="A880" s="129" t="s">
        <v>3136</v>
      </c>
      <c r="B880" s="129" t="s">
        <v>3137</v>
      </c>
      <c r="C880" s="129"/>
      <c r="D880" s="129" t="s">
        <v>2200</v>
      </c>
      <c r="E880" s="256" t="s">
        <v>567</v>
      </c>
      <c r="F880" s="129" t="s">
        <v>167</v>
      </c>
      <c r="G880" s="130">
        <v>43633</v>
      </c>
      <c r="H880" s="130" t="s">
        <v>3138</v>
      </c>
      <c r="I880" s="129">
        <v>69310</v>
      </c>
      <c r="J880" s="129" t="s">
        <v>3139</v>
      </c>
      <c r="K880" s="130" t="s">
        <v>570</v>
      </c>
      <c r="L880" s="129" t="s">
        <v>570</v>
      </c>
      <c r="M880" s="129" t="s">
        <v>570</v>
      </c>
      <c r="N880" s="129" t="s">
        <v>570</v>
      </c>
      <c r="O880" s="129" t="s">
        <v>570</v>
      </c>
      <c r="P880" s="409"/>
      <c r="Q880" s="179"/>
      <c r="R880" s="179"/>
      <c r="S880" s="179"/>
      <c r="T880" s="500" t="e">
        <f>_xlfn.XLOOKUP(H880,#REF!,#REF!,0,0)</f>
        <v>#REF!</v>
      </c>
    </row>
    <row r="881" spans="1:20" x14ac:dyDescent="0.4">
      <c r="A881" s="129" t="s">
        <v>3140</v>
      </c>
      <c r="B881" s="129" t="s">
        <v>3141</v>
      </c>
      <c r="C881" s="129"/>
      <c r="D881" s="129" t="s">
        <v>2200</v>
      </c>
      <c r="E881" s="256" t="s">
        <v>567</v>
      </c>
      <c r="F881" s="129" t="s">
        <v>167</v>
      </c>
      <c r="G881" s="130">
        <v>43633</v>
      </c>
      <c r="H881" s="130" t="s">
        <v>188</v>
      </c>
      <c r="I881" s="129">
        <v>69309</v>
      </c>
      <c r="J881" s="129" t="s">
        <v>3142</v>
      </c>
      <c r="K881" s="130" t="s">
        <v>570</v>
      </c>
      <c r="L881" s="129" t="s">
        <v>570</v>
      </c>
      <c r="M881" s="129" t="s">
        <v>570</v>
      </c>
      <c r="N881" s="129" t="s">
        <v>570</v>
      </c>
      <c r="O881" s="129" t="s">
        <v>570</v>
      </c>
      <c r="P881" s="409" t="s">
        <v>3143</v>
      </c>
      <c r="Q881" s="179"/>
      <c r="R881" s="179"/>
      <c r="S881" s="179"/>
      <c r="T881" s="500" t="e">
        <f>_xlfn.XLOOKUP(H881,#REF!,#REF!,0,0)</f>
        <v>#REF!</v>
      </c>
    </row>
    <row r="882" spans="1:20" x14ac:dyDescent="0.4">
      <c r="A882" s="134"/>
      <c r="B882" s="134" t="s">
        <v>3144</v>
      </c>
      <c r="C882" s="134"/>
      <c r="D882" s="134"/>
      <c r="E882" s="18" t="s">
        <v>36</v>
      </c>
      <c r="F882" s="10">
        <v>41837</v>
      </c>
      <c r="G882" s="18" t="s">
        <v>3145</v>
      </c>
      <c r="H882" s="18">
        <v>59056</v>
      </c>
      <c r="I882" s="134" t="s">
        <v>3146</v>
      </c>
      <c r="J882" s="134" t="s">
        <v>3147</v>
      </c>
      <c r="K882" s="18" t="s">
        <v>570</v>
      </c>
      <c r="L882" s="134" t="s">
        <v>570</v>
      </c>
      <c r="M882" s="134" t="s">
        <v>570</v>
      </c>
      <c r="N882" s="135" t="s">
        <v>570</v>
      </c>
      <c r="O882" s="134" t="s">
        <v>570</v>
      </c>
      <c r="P882" s="449"/>
      <c r="Q882" s="179"/>
      <c r="R882" s="179"/>
      <c r="S882" s="179"/>
      <c r="T882" s="500" t="e">
        <f>_xlfn.XLOOKUP(H882,#REF!,#REF!,0,0)</f>
        <v>#REF!</v>
      </c>
    </row>
    <row r="883" spans="1:20" x14ac:dyDescent="0.4">
      <c r="A883" s="134"/>
      <c r="B883" s="134" t="s">
        <v>3148</v>
      </c>
      <c r="C883" s="134"/>
      <c r="D883" s="134"/>
      <c r="E883" s="18" t="s">
        <v>36</v>
      </c>
      <c r="F883" s="10">
        <v>41837</v>
      </c>
      <c r="G883" s="18" t="s">
        <v>3145</v>
      </c>
      <c r="H883" s="18">
        <v>59056</v>
      </c>
      <c r="I883" s="134" t="s">
        <v>3146</v>
      </c>
      <c r="J883" s="134" t="s">
        <v>3147</v>
      </c>
      <c r="K883" s="18" t="s">
        <v>570</v>
      </c>
      <c r="L883" s="134" t="s">
        <v>570</v>
      </c>
      <c r="M883" s="134" t="s">
        <v>570</v>
      </c>
      <c r="N883" s="135" t="s">
        <v>570</v>
      </c>
      <c r="O883" s="134" t="s">
        <v>570</v>
      </c>
      <c r="P883" s="449"/>
      <c r="Q883" s="179"/>
      <c r="R883" s="179"/>
      <c r="S883" s="179"/>
      <c r="T883" s="500" t="e">
        <f>_xlfn.XLOOKUP(H883,#REF!,#REF!,0,0)</f>
        <v>#REF!</v>
      </c>
    </row>
    <row r="884" spans="1:20" x14ac:dyDescent="0.4">
      <c r="A884" s="134"/>
      <c r="B884" s="134" t="s">
        <v>3144</v>
      </c>
      <c r="C884" s="134"/>
      <c r="D884" s="134"/>
      <c r="E884" s="18" t="s">
        <v>36</v>
      </c>
      <c r="F884" s="10">
        <v>41837</v>
      </c>
      <c r="G884" s="18" t="s">
        <v>3149</v>
      </c>
      <c r="H884" s="18">
        <v>59057</v>
      </c>
      <c r="I884" s="134" t="s">
        <v>3150</v>
      </c>
      <c r="J884" s="134" t="s">
        <v>3151</v>
      </c>
      <c r="K884" s="18" t="s">
        <v>570</v>
      </c>
      <c r="L884" s="134" t="s">
        <v>570</v>
      </c>
      <c r="M884" s="134" t="s">
        <v>570</v>
      </c>
      <c r="N884" s="135" t="s">
        <v>570</v>
      </c>
      <c r="O884" s="134" t="s">
        <v>570</v>
      </c>
      <c r="P884" s="449"/>
      <c r="Q884" s="179"/>
      <c r="R884" s="179"/>
      <c r="S884" s="179"/>
      <c r="T884" s="500" t="e">
        <f>_xlfn.XLOOKUP(H884,#REF!,#REF!,0,0)</f>
        <v>#REF!</v>
      </c>
    </row>
    <row r="885" spans="1:20" x14ac:dyDescent="0.4">
      <c r="A885" s="134"/>
      <c r="B885" s="134" t="s">
        <v>3148</v>
      </c>
      <c r="C885" s="134"/>
      <c r="D885" s="134"/>
      <c r="E885" s="18" t="s">
        <v>36</v>
      </c>
      <c r="F885" s="10">
        <v>41837</v>
      </c>
      <c r="G885" s="18" t="s">
        <v>3149</v>
      </c>
      <c r="H885" s="18">
        <v>59057</v>
      </c>
      <c r="I885" s="134" t="s">
        <v>3150</v>
      </c>
      <c r="J885" s="134" t="s">
        <v>3151</v>
      </c>
      <c r="K885" s="18" t="s">
        <v>570</v>
      </c>
      <c r="L885" s="134" t="s">
        <v>570</v>
      </c>
      <c r="M885" s="134" t="s">
        <v>570</v>
      </c>
      <c r="N885" s="135" t="s">
        <v>570</v>
      </c>
      <c r="O885" s="134" t="s">
        <v>570</v>
      </c>
      <c r="P885" s="449"/>
      <c r="Q885" s="179"/>
      <c r="R885" s="179"/>
      <c r="S885" s="179"/>
      <c r="T885" s="500" t="e">
        <f>_xlfn.XLOOKUP(H885,#REF!,#REF!,0,0)</f>
        <v>#REF!</v>
      </c>
    </row>
    <row r="886" spans="1:20" x14ac:dyDescent="0.4">
      <c r="A886" s="134"/>
      <c r="B886" s="134"/>
      <c r="C886" s="134"/>
      <c r="D886" s="134"/>
      <c r="E886" s="18" t="s">
        <v>36</v>
      </c>
      <c r="F886" s="10">
        <v>41837</v>
      </c>
      <c r="G886" s="18" t="s">
        <v>3152</v>
      </c>
      <c r="H886" s="18">
        <v>59058</v>
      </c>
      <c r="I886" s="134"/>
      <c r="J886" s="134" t="s">
        <v>3153</v>
      </c>
      <c r="K886" s="18" t="s">
        <v>570</v>
      </c>
      <c r="L886" s="134" t="s">
        <v>570</v>
      </c>
      <c r="M886" s="134" t="s">
        <v>570</v>
      </c>
      <c r="N886" s="135" t="s">
        <v>570</v>
      </c>
      <c r="O886" s="134" t="s">
        <v>570</v>
      </c>
      <c r="P886" s="449"/>
      <c r="Q886" s="179"/>
      <c r="R886" s="179"/>
      <c r="S886" s="179"/>
      <c r="T886" s="500" t="e">
        <f>_xlfn.XLOOKUP(H886,#REF!,#REF!,0,0)</f>
        <v>#REF!</v>
      </c>
    </row>
    <row r="887" spans="1:20" x14ac:dyDescent="0.4">
      <c r="A887" s="134" t="s">
        <v>570</v>
      </c>
      <c r="B887" s="135" t="s">
        <v>3154</v>
      </c>
      <c r="C887" s="135"/>
      <c r="D887" s="135" t="s">
        <v>567</v>
      </c>
      <c r="E887" s="18" t="s">
        <v>36</v>
      </c>
      <c r="F887" s="10">
        <v>41837</v>
      </c>
      <c r="G887" s="18" t="s">
        <v>3152</v>
      </c>
      <c r="H887" s="18">
        <v>59058</v>
      </c>
      <c r="I887" s="134" t="s">
        <v>3155</v>
      </c>
      <c r="J887" s="134" t="s">
        <v>3153</v>
      </c>
      <c r="K887" s="18" t="s">
        <v>570</v>
      </c>
      <c r="L887" s="134" t="s">
        <v>570</v>
      </c>
      <c r="M887" s="134" t="s">
        <v>570</v>
      </c>
      <c r="N887" s="135" t="s">
        <v>570</v>
      </c>
      <c r="O887" s="134" t="s">
        <v>570</v>
      </c>
      <c r="P887" s="449"/>
      <c r="Q887" s="179"/>
      <c r="R887" s="179"/>
      <c r="S887" s="179"/>
      <c r="T887" s="500" t="e">
        <f>_xlfn.XLOOKUP(H887,#REF!,#REF!,0,0)</f>
        <v>#REF!</v>
      </c>
    </row>
    <row r="888" spans="1:20" x14ac:dyDescent="0.4">
      <c r="A888" s="134"/>
      <c r="B888" s="134"/>
      <c r="C888" s="134"/>
      <c r="D888" s="134"/>
      <c r="E888" s="18" t="s">
        <v>36</v>
      </c>
      <c r="F888" s="10">
        <v>41837</v>
      </c>
      <c r="G888" s="18" t="s">
        <v>3156</v>
      </c>
      <c r="H888" s="18">
        <v>59059</v>
      </c>
      <c r="I888" s="134"/>
      <c r="J888" s="134" t="s">
        <v>3157</v>
      </c>
      <c r="K888" s="18" t="s">
        <v>570</v>
      </c>
      <c r="L888" s="134" t="s">
        <v>570</v>
      </c>
      <c r="M888" s="134" t="s">
        <v>570</v>
      </c>
      <c r="N888" s="135" t="s">
        <v>570</v>
      </c>
      <c r="O888" s="134" t="s">
        <v>570</v>
      </c>
      <c r="P888" s="449"/>
      <c r="Q888" s="179"/>
      <c r="R888" s="179"/>
      <c r="S888" s="179"/>
      <c r="T888" s="500" t="e">
        <f>_xlfn.XLOOKUP(H888,#REF!,#REF!,0,0)</f>
        <v>#REF!</v>
      </c>
    </row>
    <row r="889" spans="1:20" x14ac:dyDescent="0.4">
      <c r="A889" s="134" t="s">
        <v>570</v>
      </c>
      <c r="B889" s="135" t="s">
        <v>3158</v>
      </c>
      <c r="C889" s="135"/>
      <c r="D889" s="135" t="s">
        <v>567</v>
      </c>
      <c r="E889" s="18" t="s">
        <v>36</v>
      </c>
      <c r="F889" s="10">
        <v>41837</v>
      </c>
      <c r="G889" s="18" t="s">
        <v>3156</v>
      </c>
      <c r="H889" s="18">
        <v>59059</v>
      </c>
      <c r="I889" s="134" t="s">
        <v>3159</v>
      </c>
      <c r="J889" s="134" t="s">
        <v>3157</v>
      </c>
      <c r="K889" s="18" t="s">
        <v>570</v>
      </c>
      <c r="L889" s="134" t="s">
        <v>570</v>
      </c>
      <c r="M889" s="134" t="s">
        <v>570</v>
      </c>
      <c r="N889" s="135" t="s">
        <v>570</v>
      </c>
      <c r="O889" s="134" t="s">
        <v>570</v>
      </c>
      <c r="P889" s="449"/>
      <c r="Q889" s="179"/>
      <c r="R889" s="179"/>
      <c r="S889" s="179"/>
      <c r="T889" s="500" t="e">
        <f>_xlfn.XLOOKUP(H889,#REF!,#REF!,0,0)</f>
        <v>#REF!</v>
      </c>
    </row>
    <row r="890" spans="1:20" x14ac:dyDescent="0.4">
      <c r="A890" s="134"/>
      <c r="B890" s="134"/>
      <c r="C890" s="134"/>
      <c r="D890" s="134"/>
      <c r="E890" s="18" t="s">
        <v>36</v>
      </c>
      <c r="F890" s="10">
        <v>41837</v>
      </c>
      <c r="G890" s="18" t="s">
        <v>3160</v>
      </c>
      <c r="H890" s="18">
        <v>59060</v>
      </c>
      <c r="I890" s="134"/>
      <c r="J890" s="134" t="s">
        <v>3161</v>
      </c>
      <c r="K890" s="18" t="s">
        <v>570</v>
      </c>
      <c r="L890" s="134" t="s">
        <v>570</v>
      </c>
      <c r="M890" s="134" t="s">
        <v>570</v>
      </c>
      <c r="N890" s="135" t="s">
        <v>570</v>
      </c>
      <c r="O890" s="134" t="s">
        <v>570</v>
      </c>
      <c r="P890" s="449"/>
      <c r="Q890" s="179"/>
      <c r="R890" s="179"/>
      <c r="S890" s="179"/>
      <c r="T890" s="500" t="e">
        <f>_xlfn.XLOOKUP(H890,#REF!,#REF!,0,0)</f>
        <v>#REF!</v>
      </c>
    </row>
    <row r="891" spans="1:20" x14ac:dyDescent="0.4">
      <c r="A891" s="134"/>
      <c r="B891" s="134" t="s">
        <v>2504</v>
      </c>
      <c r="C891" s="134"/>
      <c r="D891" s="134"/>
      <c r="E891" s="18" t="s">
        <v>36</v>
      </c>
      <c r="F891" s="134">
        <v>41837</v>
      </c>
      <c r="G891" s="18" t="s">
        <v>3160</v>
      </c>
      <c r="H891" s="18">
        <v>59060</v>
      </c>
      <c r="I891" s="134" t="s">
        <v>3162</v>
      </c>
      <c r="J891" s="134" t="s">
        <v>3161</v>
      </c>
      <c r="K891" s="18" t="s">
        <v>570</v>
      </c>
      <c r="L891" s="134" t="s">
        <v>570</v>
      </c>
      <c r="M891" s="134" t="s">
        <v>570</v>
      </c>
      <c r="N891" s="135" t="s">
        <v>570</v>
      </c>
      <c r="O891" s="134" t="s">
        <v>570</v>
      </c>
      <c r="P891" s="449"/>
      <c r="Q891" s="179"/>
      <c r="R891" s="179"/>
      <c r="S891" s="179"/>
      <c r="T891" s="500" t="e">
        <f>_xlfn.XLOOKUP(H891,#REF!,#REF!,0,0)</f>
        <v>#REF!</v>
      </c>
    </row>
    <row r="892" spans="1:20" x14ac:dyDescent="0.4">
      <c r="A892" s="134"/>
      <c r="B892" s="134"/>
      <c r="C892" s="134"/>
      <c r="D892" s="134"/>
      <c r="E892" s="18" t="s">
        <v>36</v>
      </c>
      <c r="F892" s="10">
        <v>41837</v>
      </c>
      <c r="G892" s="18" t="s">
        <v>3163</v>
      </c>
      <c r="H892" s="18">
        <v>59061</v>
      </c>
      <c r="I892" s="134"/>
      <c r="J892" s="134" t="s">
        <v>3164</v>
      </c>
      <c r="K892" s="18" t="s">
        <v>570</v>
      </c>
      <c r="L892" s="134" t="s">
        <v>570</v>
      </c>
      <c r="M892" s="134" t="s">
        <v>570</v>
      </c>
      <c r="N892" s="135" t="s">
        <v>570</v>
      </c>
      <c r="O892" s="134" t="s">
        <v>570</v>
      </c>
      <c r="P892" s="449"/>
      <c r="Q892" s="179"/>
      <c r="R892" s="179"/>
      <c r="S892" s="179"/>
      <c r="T892" s="500" t="e">
        <f>_xlfn.XLOOKUP(H892,#REF!,#REF!,0,0)</f>
        <v>#REF!</v>
      </c>
    </row>
    <row r="893" spans="1:20" x14ac:dyDescent="0.4">
      <c r="A893" s="134"/>
      <c r="B893" s="134" t="s">
        <v>3165</v>
      </c>
      <c r="C893" s="134"/>
      <c r="D893" s="134"/>
      <c r="E893" s="18" t="s">
        <v>36</v>
      </c>
      <c r="F893" s="134">
        <v>41837</v>
      </c>
      <c r="G893" s="18" t="s">
        <v>3163</v>
      </c>
      <c r="H893" s="18">
        <v>59061</v>
      </c>
      <c r="I893" s="134" t="s">
        <v>3166</v>
      </c>
      <c r="J893" s="134" t="s">
        <v>3164</v>
      </c>
      <c r="K893" s="18" t="s">
        <v>570</v>
      </c>
      <c r="L893" s="134" t="s">
        <v>570</v>
      </c>
      <c r="M893" s="134" t="s">
        <v>570</v>
      </c>
      <c r="N893" s="135" t="s">
        <v>570</v>
      </c>
      <c r="O893" s="134" t="s">
        <v>570</v>
      </c>
      <c r="P893" s="449"/>
      <c r="Q893" s="179"/>
      <c r="R893" s="179"/>
      <c r="S893" s="179"/>
      <c r="T893" s="500" t="e">
        <f>_xlfn.XLOOKUP(H893,#REF!,#REF!,0,0)</f>
        <v>#REF!</v>
      </c>
    </row>
    <row r="894" spans="1:20" x14ac:dyDescent="0.4">
      <c r="A894" s="134"/>
      <c r="B894" s="134"/>
      <c r="C894" s="134"/>
      <c r="D894" s="134"/>
      <c r="E894" s="18" t="s">
        <v>36</v>
      </c>
      <c r="F894" s="10">
        <v>41837</v>
      </c>
      <c r="G894" s="18" t="s">
        <v>3167</v>
      </c>
      <c r="H894" s="18">
        <v>59062</v>
      </c>
      <c r="I894" s="134"/>
      <c r="J894" s="134" t="s">
        <v>3168</v>
      </c>
      <c r="K894" s="18" t="s">
        <v>570</v>
      </c>
      <c r="L894" s="134" t="s">
        <v>570</v>
      </c>
      <c r="M894" s="134" t="s">
        <v>570</v>
      </c>
      <c r="N894" s="135" t="s">
        <v>570</v>
      </c>
      <c r="O894" s="134" t="s">
        <v>570</v>
      </c>
      <c r="P894" s="449"/>
      <c r="Q894" s="179"/>
      <c r="R894" s="179"/>
      <c r="S894" s="179"/>
      <c r="T894" s="500" t="e">
        <f>_xlfn.XLOOKUP(H894,#REF!,#REF!,0,0)</f>
        <v>#REF!</v>
      </c>
    </row>
    <row r="895" spans="1:20" x14ac:dyDescent="0.4">
      <c r="A895" s="134" t="s">
        <v>570</v>
      </c>
      <c r="B895" s="135" t="s">
        <v>3169</v>
      </c>
      <c r="C895" s="135"/>
      <c r="D895" s="135" t="s">
        <v>567</v>
      </c>
      <c r="E895" s="18" t="s">
        <v>36</v>
      </c>
      <c r="F895" s="10">
        <v>41837</v>
      </c>
      <c r="G895" s="18" t="s">
        <v>3167</v>
      </c>
      <c r="H895" s="18">
        <v>59062</v>
      </c>
      <c r="I895" s="134" t="s">
        <v>3170</v>
      </c>
      <c r="J895" s="134" t="s">
        <v>3168</v>
      </c>
      <c r="K895" s="18" t="s">
        <v>570</v>
      </c>
      <c r="L895" s="134" t="s">
        <v>570</v>
      </c>
      <c r="M895" s="134" t="s">
        <v>570</v>
      </c>
      <c r="N895" s="135" t="s">
        <v>570</v>
      </c>
      <c r="O895" s="134" t="s">
        <v>570</v>
      </c>
      <c r="P895" s="449"/>
      <c r="Q895" s="179"/>
      <c r="R895" s="179"/>
      <c r="S895" s="179"/>
      <c r="T895" s="500" t="e">
        <f>_xlfn.XLOOKUP(H895,#REF!,#REF!,0,0)</f>
        <v>#REF!</v>
      </c>
    </row>
    <row r="896" spans="1:20" x14ac:dyDescent="0.4">
      <c r="A896" s="134"/>
      <c r="B896" s="134"/>
      <c r="C896" s="134"/>
      <c r="D896" s="134"/>
      <c r="E896" s="18" t="s">
        <v>36</v>
      </c>
      <c r="F896" s="10">
        <v>41837</v>
      </c>
      <c r="G896" s="18" t="s">
        <v>3171</v>
      </c>
      <c r="H896" s="18">
        <v>59063</v>
      </c>
      <c r="I896" s="134"/>
      <c r="J896" s="134" t="s">
        <v>3172</v>
      </c>
      <c r="K896" s="18" t="s">
        <v>570</v>
      </c>
      <c r="L896" s="134" t="s">
        <v>570</v>
      </c>
      <c r="M896" s="134" t="s">
        <v>570</v>
      </c>
      <c r="N896" s="135" t="s">
        <v>570</v>
      </c>
      <c r="O896" s="134" t="s">
        <v>570</v>
      </c>
      <c r="P896" s="449"/>
      <c r="Q896" s="179"/>
      <c r="R896" s="179"/>
      <c r="S896" s="179"/>
      <c r="T896" s="500" t="e">
        <f>_xlfn.XLOOKUP(H896,#REF!,#REF!,0,0)</f>
        <v>#REF!</v>
      </c>
    </row>
    <row r="897" spans="1:20" x14ac:dyDescent="0.4">
      <c r="A897" s="134"/>
      <c r="B897" s="134" t="s">
        <v>3173</v>
      </c>
      <c r="C897" s="134"/>
      <c r="D897" s="134"/>
      <c r="E897" s="18" t="s">
        <v>36</v>
      </c>
      <c r="F897" s="10">
        <v>41837</v>
      </c>
      <c r="G897" s="18" t="s">
        <v>3171</v>
      </c>
      <c r="H897" s="18">
        <v>59063</v>
      </c>
      <c r="I897" s="134" t="s">
        <v>3174</v>
      </c>
      <c r="J897" s="134" t="s">
        <v>3172</v>
      </c>
      <c r="K897" s="18" t="s">
        <v>570</v>
      </c>
      <c r="L897" s="134" t="s">
        <v>570</v>
      </c>
      <c r="M897" s="134" t="s">
        <v>570</v>
      </c>
      <c r="N897" s="135" t="s">
        <v>570</v>
      </c>
      <c r="O897" s="134" t="s">
        <v>570</v>
      </c>
      <c r="P897" s="449"/>
      <c r="Q897" s="179"/>
      <c r="R897" s="179"/>
      <c r="S897" s="179"/>
      <c r="T897" s="500" t="e">
        <f>_xlfn.XLOOKUP(H897,#REF!,#REF!,0,0)</f>
        <v>#REF!</v>
      </c>
    </row>
    <row r="898" spans="1:20" x14ac:dyDescent="0.4">
      <c r="A898" s="134"/>
      <c r="B898" s="134"/>
      <c r="C898" s="134"/>
      <c r="D898" s="134"/>
      <c r="E898" s="18" t="s">
        <v>36</v>
      </c>
      <c r="F898" s="10">
        <v>41837</v>
      </c>
      <c r="G898" s="18" t="s">
        <v>3175</v>
      </c>
      <c r="H898" s="18">
        <v>59064</v>
      </c>
      <c r="I898" s="134"/>
      <c r="J898" s="134" t="s">
        <v>3176</v>
      </c>
      <c r="K898" s="18" t="s">
        <v>570</v>
      </c>
      <c r="L898" s="134" t="s">
        <v>570</v>
      </c>
      <c r="M898" s="134" t="s">
        <v>570</v>
      </c>
      <c r="N898" s="135" t="s">
        <v>570</v>
      </c>
      <c r="O898" s="134" t="s">
        <v>570</v>
      </c>
      <c r="P898" s="449"/>
      <c r="Q898" s="179"/>
      <c r="R898" s="179"/>
      <c r="S898" s="179"/>
      <c r="T898" s="500" t="e">
        <f>_xlfn.XLOOKUP(H898,#REF!,#REF!,0,0)</f>
        <v>#REF!</v>
      </c>
    </row>
    <row r="899" spans="1:20" x14ac:dyDescent="0.4">
      <c r="A899" s="134"/>
      <c r="B899" s="134" t="s">
        <v>3177</v>
      </c>
      <c r="C899" s="134"/>
      <c r="D899" s="134"/>
      <c r="E899" s="18" t="s">
        <v>36</v>
      </c>
      <c r="F899" s="10">
        <v>41837</v>
      </c>
      <c r="G899" s="18" t="s">
        <v>3175</v>
      </c>
      <c r="H899" s="18">
        <v>59064</v>
      </c>
      <c r="I899" s="134" t="s">
        <v>3178</v>
      </c>
      <c r="J899" s="134" t="s">
        <v>3176</v>
      </c>
      <c r="K899" s="18" t="s">
        <v>570</v>
      </c>
      <c r="L899" s="134" t="s">
        <v>570</v>
      </c>
      <c r="M899" s="134" t="s">
        <v>570</v>
      </c>
      <c r="N899" s="135" t="s">
        <v>570</v>
      </c>
      <c r="O899" s="134" t="s">
        <v>570</v>
      </c>
      <c r="P899" s="449"/>
      <c r="Q899" s="179"/>
      <c r="R899" s="179"/>
      <c r="S899" s="179"/>
      <c r="T899" s="500" t="e">
        <f>_xlfn.XLOOKUP(H899,#REF!,#REF!,0,0)</f>
        <v>#REF!</v>
      </c>
    </row>
    <row r="900" spans="1:20" x14ac:dyDescent="0.4">
      <c r="A900" s="134"/>
      <c r="B900" s="134" t="s">
        <v>3144</v>
      </c>
      <c r="C900" s="134"/>
      <c r="D900" s="134"/>
      <c r="E900" s="18" t="s">
        <v>36</v>
      </c>
      <c r="F900" s="10">
        <v>41837</v>
      </c>
      <c r="G900" s="18" t="s">
        <v>3179</v>
      </c>
      <c r="H900" s="18">
        <v>59065</v>
      </c>
      <c r="I900" s="134" t="s">
        <v>3180</v>
      </c>
      <c r="J900" s="134" t="s">
        <v>3181</v>
      </c>
      <c r="K900" s="18" t="s">
        <v>570</v>
      </c>
      <c r="L900" s="134" t="s">
        <v>570</v>
      </c>
      <c r="M900" s="134" t="s">
        <v>570</v>
      </c>
      <c r="N900" s="135" t="s">
        <v>570</v>
      </c>
      <c r="O900" s="134" t="s">
        <v>570</v>
      </c>
      <c r="P900" s="449"/>
      <c r="Q900" s="179"/>
      <c r="R900" s="179"/>
      <c r="S900" s="179"/>
      <c r="T900" s="500" t="e">
        <f>_xlfn.XLOOKUP(H900,#REF!,#REF!,0,0)</f>
        <v>#REF!</v>
      </c>
    </row>
    <row r="901" spans="1:20" x14ac:dyDescent="0.4">
      <c r="A901" s="134"/>
      <c r="B901" s="134" t="s">
        <v>3148</v>
      </c>
      <c r="C901" s="134"/>
      <c r="D901" s="134"/>
      <c r="E901" s="18" t="s">
        <v>36</v>
      </c>
      <c r="F901" s="10">
        <v>41837</v>
      </c>
      <c r="G901" s="18" t="s">
        <v>3179</v>
      </c>
      <c r="H901" s="18">
        <v>59065</v>
      </c>
      <c r="I901" s="134" t="s">
        <v>3180</v>
      </c>
      <c r="J901" s="134" t="s">
        <v>3181</v>
      </c>
      <c r="K901" s="18" t="s">
        <v>570</v>
      </c>
      <c r="L901" s="134" t="s">
        <v>570</v>
      </c>
      <c r="M901" s="134" t="s">
        <v>570</v>
      </c>
      <c r="N901" s="135" t="s">
        <v>570</v>
      </c>
      <c r="O901" s="134" t="s">
        <v>570</v>
      </c>
      <c r="P901" s="449"/>
      <c r="Q901" s="179"/>
      <c r="R901" s="179"/>
      <c r="S901" s="179"/>
      <c r="T901" s="500" t="e">
        <f>_xlfn.XLOOKUP(H901,#REF!,#REF!,0,0)</f>
        <v>#REF!</v>
      </c>
    </row>
    <row r="902" spans="1:20" x14ac:dyDescent="0.4">
      <c r="A902" s="134"/>
      <c r="B902" s="134" t="s">
        <v>3182</v>
      </c>
      <c r="C902" s="134"/>
      <c r="D902" s="134"/>
      <c r="E902" s="18" t="s">
        <v>36</v>
      </c>
      <c r="F902" s="134">
        <v>41835</v>
      </c>
      <c r="G902" s="18" t="s">
        <v>3183</v>
      </c>
      <c r="H902" s="18">
        <v>59066</v>
      </c>
      <c r="I902" s="134" t="s">
        <v>3184</v>
      </c>
      <c r="J902" s="134" t="s">
        <v>3185</v>
      </c>
      <c r="K902" s="18" t="s">
        <v>570</v>
      </c>
      <c r="L902" s="134" t="s">
        <v>570</v>
      </c>
      <c r="M902" s="134" t="s">
        <v>570</v>
      </c>
      <c r="N902" s="135" t="s">
        <v>570</v>
      </c>
      <c r="O902" s="134" t="s">
        <v>570</v>
      </c>
      <c r="P902" s="449"/>
      <c r="Q902" s="179"/>
      <c r="R902" s="179"/>
      <c r="S902" s="179"/>
      <c r="T902" s="500" t="e">
        <f>_xlfn.XLOOKUP(H902,#REF!,#REF!,0,0)</f>
        <v>#REF!</v>
      </c>
    </row>
    <row r="903" spans="1:20" x14ac:dyDescent="0.4">
      <c r="A903" s="134"/>
      <c r="B903" s="134" t="s">
        <v>3182</v>
      </c>
      <c r="C903" s="134"/>
      <c r="D903" s="134"/>
      <c r="E903" s="18" t="s">
        <v>36</v>
      </c>
      <c r="F903" s="134">
        <v>41835</v>
      </c>
      <c r="G903" s="18" t="s">
        <v>3183</v>
      </c>
      <c r="H903" s="18">
        <v>59066</v>
      </c>
      <c r="I903" s="134" t="s">
        <v>3184</v>
      </c>
      <c r="J903" s="134" t="s">
        <v>3185</v>
      </c>
      <c r="K903" s="18" t="s">
        <v>570</v>
      </c>
      <c r="L903" s="134" t="s">
        <v>570</v>
      </c>
      <c r="M903" s="134" t="s">
        <v>570</v>
      </c>
      <c r="N903" s="135" t="s">
        <v>570</v>
      </c>
      <c r="O903" s="134" t="s">
        <v>570</v>
      </c>
      <c r="P903" s="449"/>
      <c r="Q903" s="179"/>
      <c r="R903" s="179"/>
      <c r="S903" s="179"/>
      <c r="T903" s="500" t="e">
        <f>_xlfn.XLOOKUP(H903,#REF!,#REF!,0,0)</f>
        <v>#REF!</v>
      </c>
    </row>
    <row r="904" spans="1:20" x14ac:dyDescent="0.4">
      <c r="A904" s="134" t="s">
        <v>570</v>
      </c>
      <c r="B904" s="135" t="s">
        <v>3186</v>
      </c>
      <c r="C904" s="135"/>
      <c r="D904" s="135" t="s">
        <v>567</v>
      </c>
      <c r="E904" s="18" t="s">
        <v>36</v>
      </c>
      <c r="F904" s="10">
        <v>41920</v>
      </c>
      <c r="G904" s="18" t="s">
        <v>3187</v>
      </c>
      <c r="H904" s="18">
        <v>59347</v>
      </c>
      <c r="I904" s="134" t="s">
        <v>3188</v>
      </c>
      <c r="J904" s="134" t="s">
        <v>3189</v>
      </c>
      <c r="K904" s="18" t="s">
        <v>570</v>
      </c>
      <c r="L904" s="134" t="s">
        <v>570</v>
      </c>
      <c r="M904" s="134" t="s">
        <v>570</v>
      </c>
      <c r="N904" s="135" t="s">
        <v>570</v>
      </c>
      <c r="O904" s="134" t="s">
        <v>570</v>
      </c>
      <c r="P904" s="449"/>
      <c r="Q904" s="179"/>
      <c r="R904" s="179"/>
      <c r="S904" s="179"/>
      <c r="T904" s="500" t="e">
        <f>_xlfn.XLOOKUP(H904,#REF!,#REF!,0,0)</f>
        <v>#REF!</v>
      </c>
    </row>
    <row r="905" spans="1:20" x14ac:dyDescent="0.4">
      <c r="A905" s="134" t="s">
        <v>570</v>
      </c>
      <c r="B905" s="135" t="s">
        <v>3190</v>
      </c>
      <c r="C905" s="135"/>
      <c r="D905" s="135" t="s">
        <v>567</v>
      </c>
      <c r="E905" s="18" t="s">
        <v>36</v>
      </c>
      <c r="F905" s="134">
        <v>41920</v>
      </c>
      <c r="G905" s="18" t="s">
        <v>3191</v>
      </c>
      <c r="H905" s="18">
        <v>59348</v>
      </c>
      <c r="I905" s="134" t="s">
        <v>3192</v>
      </c>
      <c r="J905" s="134" t="s">
        <v>3193</v>
      </c>
      <c r="K905" s="18" t="s">
        <v>570</v>
      </c>
      <c r="L905" s="134" t="s">
        <v>570</v>
      </c>
      <c r="M905" s="134" t="s">
        <v>570</v>
      </c>
      <c r="N905" s="135" t="s">
        <v>570</v>
      </c>
      <c r="O905" s="135" t="s">
        <v>570</v>
      </c>
      <c r="P905" s="449"/>
      <c r="Q905" s="179"/>
      <c r="R905" s="179"/>
      <c r="S905" s="179"/>
      <c r="T905" s="500" t="e">
        <f>_xlfn.XLOOKUP(H905,#REF!,#REF!,0,0)</f>
        <v>#REF!</v>
      </c>
    </row>
    <row r="906" spans="1:20" x14ac:dyDescent="0.4">
      <c r="A906" s="135" t="s">
        <v>570</v>
      </c>
      <c r="B906" s="135" t="s">
        <v>3194</v>
      </c>
      <c r="C906" s="135"/>
      <c r="D906" s="135" t="s">
        <v>567</v>
      </c>
      <c r="E906" s="19" t="s">
        <v>36</v>
      </c>
      <c r="F906" s="135">
        <v>41920</v>
      </c>
      <c r="G906" s="19" t="s">
        <v>3195</v>
      </c>
      <c r="H906" s="19">
        <v>59349</v>
      </c>
      <c r="I906" s="135" t="s">
        <v>3196</v>
      </c>
      <c r="J906" s="135" t="s">
        <v>3197</v>
      </c>
      <c r="K906" s="19" t="s">
        <v>570</v>
      </c>
      <c r="L906" s="135" t="s">
        <v>570</v>
      </c>
      <c r="M906" s="135" t="s">
        <v>570</v>
      </c>
      <c r="N906" s="135" t="s">
        <v>570</v>
      </c>
      <c r="O906" s="135" t="s">
        <v>570</v>
      </c>
      <c r="P906" s="449"/>
      <c r="Q906" s="179"/>
      <c r="R906" s="179"/>
      <c r="S906" s="179"/>
      <c r="T906" s="500" t="e">
        <f>_xlfn.XLOOKUP(H906,#REF!,#REF!,0,0)</f>
        <v>#REF!</v>
      </c>
    </row>
    <row r="907" spans="1:20" x14ac:dyDescent="0.4">
      <c r="A907" s="134" t="s">
        <v>570</v>
      </c>
      <c r="B907" s="135" t="s">
        <v>3198</v>
      </c>
      <c r="C907" s="135"/>
      <c r="D907" s="135" t="s">
        <v>567</v>
      </c>
      <c r="E907" s="18" t="s">
        <v>36</v>
      </c>
      <c r="F907" s="10">
        <v>41920</v>
      </c>
      <c r="G907" s="18" t="s">
        <v>3199</v>
      </c>
      <c r="H907" s="18">
        <v>59351</v>
      </c>
      <c r="I907" s="134" t="s">
        <v>3200</v>
      </c>
      <c r="J907" s="134" t="s">
        <v>3201</v>
      </c>
      <c r="K907" s="18" t="s">
        <v>570</v>
      </c>
      <c r="L907" s="134" t="s">
        <v>570</v>
      </c>
      <c r="M907" s="134" t="s">
        <v>570</v>
      </c>
      <c r="N907" s="135" t="s">
        <v>570</v>
      </c>
      <c r="O907" s="135" t="s">
        <v>570</v>
      </c>
      <c r="P907" s="449"/>
      <c r="Q907" s="179"/>
      <c r="R907" s="179"/>
      <c r="S907" s="179"/>
      <c r="T907" s="500" t="e">
        <f>_xlfn.XLOOKUP(H907,#REF!,#REF!,0,0)</f>
        <v>#REF!</v>
      </c>
    </row>
    <row r="908" spans="1:20" x14ac:dyDescent="0.4">
      <c r="A908" s="134" t="s">
        <v>570</v>
      </c>
      <c r="B908" s="135" t="s">
        <v>3202</v>
      </c>
      <c r="C908" s="135"/>
      <c r="D908" s="135" t="s">
        <v>567</v>
      </c>
      <c r="E908" s="18" t="s">
        <v>36</v>
      </c>
      <c r="F908" s="10">
        <v>41920</v>
      </c>
      <c r="G908" s="18" t="s">
        <v>3203</v>
      </c>
      <c r="H908" s="18">
        <v>59352</v>
      </c>
      <c r="I908" s="134" t="s">
        <v>3204</v>
      </c>
      <c r="J908" s="134" t="s">
        <v>3205</v>
      </c>
      <c r="K908" s="18" t="s">
        <v>570</v>
      </c>
      <c r="L908" s="134" t="s">
        <v>570</v>
      </c>
      <c r="M908" s="134" t="s">
        <v>570</v>
      </c>
      <c r="N908" s="135" t="s">
        <v>570</v>
      </c>
      <c r="O908" s="135" t="s">
        <v>570</v>
      </c>
      <c r="P908" s="449"/>
      <c r="Q908" s="179"/>
      <c r="R908" s="179"/>
      <c r="S908" s="179"/>
      <c r="T908" s="500" t="e">
        <f>_xlfn.XLOOKUP(H908,#REF!,#REF!,0,0)</f>
        <v>#REF!</v>
      </c>
    </row>
    <row r="909" spans="1:20" x14ac:dyDescent="0.4">
      <c r="A909" s="135" t="s">
        <v>570</v>
      </c>
      <c r="B909" s="135" t="s">
        <v>3206</v>
      </c>
      <c r="C909" s="135"/>
      <c r="D909" s="135" t="s">
        <v>567</v>
      </c>
      <c r="E909" s="19" t="s">
        <v>36</v>
      </c>
      <c r="F909" s="135">
        <v>41920</v>
      </c>
      <c r="G909" s="19" t="s">
        <v>3207</v>
      </c>
      <c r="H909" s="19">
        <v>59350</v>
      </c>
      <c r="I909" s="135" t="s">
        <v>3208</v>
      </c>
      <c r="J909" s="135" t="s">
        <v>3209</v>
      </c>
      <c r="K909" s="19" t="s">
        <v>570</v>
      </c>
      <c r="L909" s="135" t="s">
        <v>570</v>
      </c>
      <c r="M909" s="135" t="s">
        <v>570</v>
      </c>
      <c r="N909" s="135" t="s">
        <v>570</v>
      </c>
      <c r="O909" s="135" t="s">
        <v>570</v>
      </c>
      <c r="P909" s="449"/>
      <c r="Q909" s="179"/>
      <c r="R909" s="179"/>
      <c r="S909" s="179"/>
      <c r="T909" s="500" t="e">
        <f>_xlfn.XLOOKUP(H909,#REF!,#REF!,0,0)</f>
        <v>#REF!</v>
      </c>
    </row>
    <row r="910" spans="1:20" x14ac:dyDescent="0.4">
      <c r="A910" s="134" t="s">
        <v>570</v>
      </c>
      <c r="B910" s="135" t="s">
        <v>3210</v>
      </c>
      <c r="C910" s="135"/>
      <c r="D910" s="135" t="s">
        <v>567</v>
      </c>
      <c r="E910" s="18" t="s">
        <v>36</v>
      </c>
      <c r="F910" s="134">
        <v>41920</v>
      </c>
      <c r="G910" s="18" t="s">
        <v>3211</v>
      </c>
      <c r="H910" s="18">
        <v>59355</v>
      </c>
      <c r="I910" s="134" t="s">
        <v>3212</v>
      </c>
      <c r="J910" s="134" t="s">
        <v>3213</v>
      </c>
      <c r="K910" s="18" t="s">
        <v>570</v>
      </c>
      <c r="L910" s="134" t="s">
        <v>570</v>
      </c>
      <c r="M910" s="134" t="s">
        <v>570</v>
      </c>
      <c r="N910" s="134" t="s">
        <v>570</v>
      </c>
      <c r="O910" s="134" t="s">
        <v>570</v>
      </c>
      <c r="P910" s="449"/>
      <c r="Q910" s="179"/>
      <c r="R910" s="179"/>
      <c r="S910" s="179"/>
      <c r="T910" s="500" t="e">
        <f>_xlfn.XLOOKUP(H910,#REF!,#REF!,0,0)</f>
        <v>#REF!</v>
      </c>
    </row>
    <row r="911" spans="1:20" x14ac:dyDescent="0.4">
      <c r="A911" s="134" t="s">
        <v>570</v>
      </c>
      <c r="B911" s="135" t="s">
        <v>3214</v>
      </c>
      <c r="C911" s="135"/>
      <c r="D911" s="135" t="s">
        <v>567</v>
      </c>
      <c r="E911" s="18" t="s">
        <v>36</v>
      </c>
      <c r="F911" s="10">
        <v>41920</v>
      </c>
      <c r="G911" s="18" t="s">
        <v>3215</v>
      </c>
      <c r="H911" s="18">
        <v>59356</v>
      </c>
      <c r="I911" s="134" t="s">
        <v>3216</v>
      </c>
      <c r="J911" s="134" t="s">
        <v>3217</v>
      </c>
      <c r="K911" s="18" t="s">
        <v>570</v>
      </c>
      <c r="L911" s="134" t="s">
        <v>570</v>
      </c>
      <c r="M911" s="134" t="s">
        <v>570</v>
      </c>
      <c r="N911" s="134" t="s">
        <v>570</v>
      </c>
      <c r="O911" s="134" t="s">
        <v>570</v>
      </c>
      <c r="P911" s="449"/>
      <c r="Q911" s="179"/>
      <c r="R911" s="179"/>
      <c r="S911" s="179"/>
      <c r="T911" s="500" t="e">
        <f>_xlfn.XLOOKUP(H911,#REF!,#REF!,0,0)</f>
        <v>#REF!</v>
      </c>
    </row>
    <row r="912" spans="1:20" x14ac:dyDescent="0.4">
      <c r="A912" s="134" t="s">
        <v>570</v>
      </c>
      <c r="B912" s="135" t="s">
        <v>3218</v>
      </c>
      <c r="C912" s="135"/>
      <c r="D912" s="135" t="s">
        <v>567</v>
      </c>
      <c r="E912" s="18" t="s">
        <v>36</v>
      </c>
      <c r="F912" s="10">
        <v>41920</v>
      </c>
      <c r="G912" s="18" t="s">
        <v>3219</v>
      </c>
      <c r="H912" s="18">
        <v>59354</v>
      </c>
      <c r="I912" s="134" t="s">
        <v>3220</v>
      </c>
      <c r="J912" s="134" t="s">
        <v>3221</v>
      </c>
      <c r="K912" s="18" t="s">
        <v>570</v>
      </c>
      <c r="L912" s="134" t="s">
        <v>570</v>
      </c>
      <c r="M912" s="134" t="s">
        <v>570</v>
      </c>
      <c r="N912" s="134" t="s">
        <v>570</v>
      </c>
      <c r="O912" s="134" t="s">
        <v>570</v>
      </c>
      <c r="P912" s="449"/>
      <c r="Q912" s="179"/>
      <c r="R912" s="179"/>
      <c r="S912" s="179"/>
      <c r="T912" s="500" t="e">
        <f>_xlfn.XLOOKUP(H912,#REF!,#REF!,0,0)</f>
        <v>#REF!</v>
      </c>
    </row>
    <row r="913" spans="1:20" x14ac:dyDescent="0.4">
      <c r="A913" s="134" t="s">
        <v>570</v>
      </c>
      <c r="B913" s="135" t="s">
        <v>3222</v>
      </c>
      <c r="C913" s="135"/>
      <c r="D913" s="135" t="s">
        <v>567</v>
      </c>
      <c r="E913" s="18" t="s">
        <v>36</v>
      </c>
      <c r="F913" s="134">
        <v>41920</v>
      </c>
      <c r="G913" s="18" t="s">
        <v>3223</v>
      </c>
      <c r="H913" s="18">
        <v>59353</v>
      </c>
      <c r="I913" s="134" t="s">
        <v>3224</v>
      </c>
      <c r="J913" s="134" t="s">
        <v>3225</v>
      </c>
      <c r="K913" s="18" t="s">
        <v>570</v>
      </c>
      <c r="L913" s="134" t="s">
        <v>570</v>
      </c>
      <c r="M913" s="134" t="s">
        <v>570</v>
      </c>
      <c r="N913" s="134" t="s">
        <v>570</v>
      </c>
      <c r="O913" s="134" t="s">
        <v>570</v>
      </c>
      <c r="P913" s="449"/>
      <c r="Q913" s="179"/>
      <c r="R913" s="179"/>
      <c r="S913" s="179"/>
      <c r="T913" s="500" t="e">
        <f>_xlfn.XLOOKUP(H913,#REF!,#REF!,0,0)</f>
        <v>#REF!</v>
      </c>
    </row>
    <row r="914" spans="1:20" x14ac:dyDescent="0.4">
      <c r="A914" s="135" t="s">
        <v>570</v>
      </c>
      <c r="B914" s="135" t="s">
        <v>3226</v>
      </c>
      <c r="C914" s="135"/>
      <c r="D914" s="135" t="s">
        <v>567</v>
      </c>
      <c r="E914" s="19" t="s">
        <v>36</v>
      </c>
      <c r="F914" s="135">
        <v>42110</v>
      </c>
      <c r="G914" s="19" t="s">
        <v>3227</v>
      </c>
      <c r="H914" s="19">
        <v>59972</v>
      </c>
      <c r="I914" s="135" t="s">
        <v>3228</v>
      </c>
      <c r="J914" s="135" t="s">
        <v>3229</v>
      </c>
      <c r="K914" s="19" t="s">
        <v>570</v>
      </c>
      <c r="L914" s="135" t="s">
        <v>570</v>
      </c>
      <c r="M914" s="135" t="s">
        <v>570</v>
      </c>
      <c r="N914" s="135" t="s">
        <v>570</v>
      </c>
      <c r="O914" s="135" t="s">
        <v>570</v>
      </c>
      <c r="P914" s="449"/>
      <c r="Q914" s="179"/>
      <c r="R914" s="179"/>
      <c r="S914" s="179"/>
      <c r="T914" s="500" t="e">
        <f>_xlfn.XLOOKUP(H914,#REF!,#REF!,0,0)</f>
        <v>#REF!</v>
      </c>
    </row>
    <row r="915" spans="1:20" x14ac:dyDescent="0.4">
      <c r="A915" s="135" t="s">
        <v>570</v>
      </c>
      <c r="B915" s="135" t="s">
        <v>3230</v>
      </c>
      <c r="C915" s="135"/>
      <c r="D915" s="135" t="s">
        <v>567</v>
      </c>
      <c r="E915" s="19" t="s">
        <v>36</v>
      </c>
      <c r="F915" s="20">
        <v>42110</v>
      </c>
      <c r="G915" s="19" t="s">
        <v>3231</v>
      </c>
      <c r="H915" s="19">
        <v>59973</v>
      </c>
      <c r="I915" s="135" t="s">
        <v>3232</v>
      </c>
      <c r="J915" s="135" t="s">
        <v>3233</v>
      </c>
      <c r="K915" s="19" t="s">
        <v>570</v>
      </c>
      <c r="L915" s="135" t="s">
        <v>570</v>
      </c>
      <c r="M915" s="135" t="s">
        <v>570</v>
      </c>
      <c r="N915" s="135" t="s">
        <v>570</v>
      </c>
      <c r="O915" s="135" t="s">
        <v>570</v>
      </c>
      <c r="P915" s="449"/>
      <c r="Q915" s="179"/>
      <c r="R915" s="179"/>
      <c r="S915" s="179"/>
      <c r="T915" s="500" t="e">
        <f>_xlfn.XLOOKUP(H915,#REF!,#REF!,0,0)</f>
        <v>#REF!</v>
      </c>
    </row>
    <row r="916" spans="1:20" x14ac:dyDescent="0.4">
      <c r="A916" s="135" t="s">
        <v>570</v>
      </c>
      <c r="B916" s="135" t="s">
        <v>1805</v>
      </c>
      <c r="C916" s="135"/>
      <c r="D916" s="135" t="s">
        <v>567</v>
      </c>
      <c r="E916" s="19" t="s">
        <v>3234</v>
      </c>
      <c r="F916" s="20">
        <v>42200</v>
      </c>
      <c r="G916" s="19" t="s">
        <v>21</v>
      </c>
      <c r="H916" s="19">
        <v>60210</v>
      </c>
      <c r="I916" s="135" t="s">
        <v>3235</v>
      </c>
      <c r="J916" s="135" t="s">
        <v>3236</v>
      </c>
      <c r="K916" s="19" t="s">
        <v>570</v>
      </c>
      <c r="L916" s="135" t="s">
        <v>570</v>
      </c>
      <c r="M916" s="135" t="s">
        <v>570</v>
      </c>
      <c r="N916" s="135" t="s">
        <v>570</v>
      </c>
      <c r="O916" s="135" t="s">
        <v>570</v>
      </c>
      <c r="P916" s="449"/>
      <c r="Q916" s="179"/>
      <c r="R916" s="179"/>
      <c r="S916" s="179"/>
      <c r="T916" s="500" t="e">
        <f>_xlfn.XLOOKUP(H916,#REF!,#REF!,0,0)</f>
        <v>#REF!</v>
      </c>
    </row>
    <row r="917" spans="1:20" x14ac:dyDescent="0.4">
      <c r="A917" s="135" t="s">
        <v>570</v>
      </c>
      <c r="B917" s="135" t="s">
        <v>3237</v>
      </c>
      <c r="C917" s="135"/>
      <c r="D917" s="135" t="s">
        <v>567</v>
      </c>
      <c r="E917" s="19" t="s">
        <v>3234</v>
      </c>
      <c r="F917" s="20">
        <v>42200</v>
      </c>
      <c r="G917" s="19" t="s">
        <v>3238</v>
      </c>
      <c r="H917" s="19">
        <v>60211</v>
      </c>
      <c r="I917" s="135" t="s">
        <v>3239</v>
      </c>
      <c r="J917" s="135" t="s">
        <v>3240</v>
      </c>
      <c r="K917" s="19" t="s">
        <v>570</v>
      </c>
      <c r="L917" s="135" t="s">
        <v>570</v>
      </c>
      <c r="M917" s="135" t="s">
        <v>570</v>
      </c>
      <c r="N917" s="135" t="s">
        <v>570</v>
      </c>
      <c r="O917" s="135" t="s">
        <v>570</v>
      </c>
      <c r="P917" s="449"/>
      <c r="Q917" s="179"/>
      <c r="R917" s="179"/>
      <c r="S917" s="179"/>
      <c r="T917" s="500" t="e">
        <f>_xlfn.XLOOKUP(H917,#REF!,#REF!,0,0)</f>
        <v>#REF!</v>
      </c>
    </row>
    <row r="918" spans="1:20" x14ac:dyDescent="0.4">
      <c r="A918" s="135" t="s">
        <v>570</v>
      </c>
      <c r="B918" s="135" t="s">
        <v>3241</v>
      </c>
      <c r="C918" s="135"/>
      <c r="D918" s="135" t="s">
        <v>567</v>
      </c>
      <c r="E918" s="19" t="s">
        <v>3234</v>
      </c>
      <c r="F918" s="135">
        <v>42200</v>
      </c>
      <c r="G918" s="19" t="s">
        <v>23</v>
      </c>
      <c r="H918" s="19">
        <v>60212</v>
      </c>
      <c r="I918" s="135" t="s">
        <v>3242</v>
      </c>
      <c r="J918" s="135" t="s">
        <v>3236</v>
      </c>
      <c r="K918" s="19" t="s">
        <v>570</v>
      </c>
      <c r="L918" s="135" t="s">
        <v>570</v>
      </c>
      <c r="M918" s="135" t="s">
        <v>570</v>
      </c>
      <c r="N918" s="135" t="s">
        <v>570</v>
      </c>
      <c r="O918" s="135" t="s">
        <v>570</v>
      </c>
      <c r="P918" s="449"/>
      <c r="Q918" s="179"/>
      <c r="R918" s="179"/>
      <c r="S918" s="179"/>
      <c r="T918" s="500" t="e">
        <f>_xlfn.XLOOKUP(H918,#REF!,#REF!,0,0)</f>
        <v>#REF!</v>
      </c>
    </row>
    <row r="919" spans="1:20" x14ac:dyDescent="0.4">
      <c r="A919" s="135" t="s">
        <v>570</v>
      </c>
      <c r="B919" s="135" t="s">
        <v>3243</v>
      </c>
      <c r="C919" s="135"/>
      <c r="D919" s="135" t="s">
        <v>567</v>
      </c>
      <c r="E919" s="19" t="s">
        <v>3234</v>
      </c>
      <c r="F919" s="20">
        <v>42200</v>
      </c>
      <c r="G919" s="19" t="s">
        <v>24</v>
      </c>
      <c r="H919" s="19">
        <v>60214</v>
      </c>
      <c r="I919" s="135" t="s">
        <v>3244</v>
      </c>
      <c r="J919" s="135" t="s">
        <v>3245</v>
      </c>
      <c r="K919" s="19" t="s">
        <v>570</v>
      </c>
      <c r="L919" s="135" t="s">
        <v>570</v>
      </c>
      <c r="M919" s="135" t="s">
        <v>570</v>
      </c>
      <c r="N919" s="135" t="s">
        <v>570</v>
      </c>
      <c r="O919" s="135" t="s">
        <v>570</v>
      </c>
      <c r="P919" s="449"/>
      <c r="Q919" s="179"/>
      <c r="R919" s="179"/>
      <c r="S919" s="179"/>
      <c r="T919" s="500" t="e">
        <f>_xlfn.XLOOKUP(H919,#REF!,#REF!,0,0)</f>
        <v>#REF!</v>
      </c>
    </row>
    <row r="920" spans="1:20" x14ac:dyDescent="0.4">
      <c r="A920" s="135" t="s">
        <v>570</v>
      </c>
      <c r="B920" s="135" t="s">
        <v>3246</v>
      </c>
      <c r="C920" s="135"/>
      <c r="D920" s="135" t="s">
        <v>567</v>
      </c>
      <c r="E920" s="19" t="s">
        <v>3234</v>
      </c>
      <c r="F920" s="135">
        <v>42200</v>
      </c>
      <c r="G920" s="19" t="s">
        <v>3247</v>
      </c>
      <c r="H920" s="19">
        <v>60213</v>
      </c>
      <c r="I920" s="135" t="s">
        <v>3248</v>
      </c>
      <c r="J920" s="135" t="s">
        <v>3249</v>
      </c>
      <c r="K920" s="19" t="s">
        <v>570</v>
      </c>
      <c r="L920" s="135" t="s">
        <v>570</v>
      </c>
      <c r="M920" s="135" t="s">
        <v>570</v>
      </c>
      <c r="N920" s="135" t="s">
        <v>570</v>
      </c>
      <c r="O920" s="135" t="s">
        <v>570</v>
      </c>
      <c r="P920" s="449"/>
      <c r="Q920" s="179"/>
      <c r="R920" s="179"/>
      <c r="S920" s="179"/>
      <c r="T920" s="500" t="e">
        <f>_xlfn.XLOOKUP(H920,#REF!,#REF!,0,0)</f>
        <v>#REF!</v>
      </c>
    </row>
    <row r="921" spans="1:20" x14ac:dyDescent="0.4">
      <c r="A921" s="135" t="s">
        <v>570</v>
      </c>
      <c r="B921" s="135" t="s">
        <v>3250</v>
      </c>
      <c r="C921" s="135"/>
      <c r="D921" s="135" t="s">
        <v>567</v>
      </c>
      <c r="E921" s="19" t="s">
        <v>3234</v>
      </c>
      <c r="F921" s="20">
        <v>42347</v>
      </c>
      <c r="G921" s="19" t="s">
        <v>3251</v>
      </c>
      <c r="H921" s="19">
        <v>60628</v>
      </c>
      <c r="I921" s="135" t="s">
        <v>3252</v>
      </c>
      <c r="J921" s="135" t="s">
        <v>3253</v>
      </c>
      <c r="K921" s="19" t="s">
        <v>570</v>
      </c>
      <c r="L921" s="135" t="s">
        <v>570</v>
      </c>
      <c r="M921" s="135" t="s">
        <v>570</v>
      </c>
      <c r="N921" s="135" t="s">
        <v>570</v>
      </c>
      <c r="O921" s="135" t="s">
        <v>570</v>
      </c>
      <c r="P921" s="449"/>
      <c r="Q921" s="179"/>
      <c r="R921" s="179"/>
      <c r="S921" s="179"/>
      <c r="T921" s="500" t="e">
        <f>_xlfn.XLOOKUP(H921,#REF!,#REF!,0,0)</f>
        <v>#REF!</v>
      </c>
    </row>
    <row r="922" spans="1:20" x14ac:dyDescent="0.4">
      <c r="A922" s="135" t="s">
        <v>570</v>
      </c>
      <c r="B922" s="135" t="s">
        <v>3254</v>
      </c>
      <c r="C922" s="135"/>
      <c r="D922" s="135" t="s">
        <v>567</v>
      </c>
      <c r="E922" s="19" t="s">
        <v>3234</v>
      </c>
      <c r="F922" s="135">
        <v>42347</v>
      </c>
      <c r="G922" s="19" t="s">
        <v>3255</v>
      </c>
      <c r="H922" s="19">
        <v>60625</v>
      </c>
      <c r="I922" s="135" t="s">
        <v>3256</v>
      </c>
      <c r="J922" s="135" t="s">
        <v>3257</v>
      </c>
      <c r="K922" s="19" t="s">
        <v>570</v>
      </c>
      <c r="L922" s="135" t="s">
        <v>570</v>
      </c>
      <c r="M922" s="135" t="s">
        <v>570</v>
      </c>
      <c r="N922" s="135" t="s">
        <v>570</v>
      </c>
      <c r="O922" s="135" t="s">
        <v>570</v>
      </c>
      <c r="P922" s="449"/>
      <c r="Q922" s="179"/>
      <c r="R922" s="179"/>
      <c r="S922" s="179"/>
      <c r="T922" s="500" t="e">
        <f>_xlfn.XLOOKUP(H922,#REF!,#REF!,0,0)</f>
        <v>#REF!</v>
      </c>
    </row>
    <row r="923" spans="1:20" x14ac:dyDescent="0.4">
      <c r="A923" s="135" t="s">
        <v>570</v>
      </c>
      <c r="B923" s="135" t="s">
        <v>2250</v>
      </c>
      <c r="C923" s="135"/>
      <c r="D923" s="135" t="s">
        <v>567</v>
      </c>
      <c r="E923" s="19" t="s">
        <v>3234</v>
      </c>
      <c r="F923" s="135">
        <v>42347</v>
      </c>
      <c r="G923" s="19" t="s">
        <v>3258</v>
      </c>
      <c r="H923" s="19">
        <v>60621</v>
      </c>
      <c r="I923" s="135" t="s">
        <v>3259</v>
      </c>
      <c r="J923" s="135" t="s">
        <v>3260</v>
      </c>
      <c r="K923" s="19" t="s">
        <v>570</v>
      </c>
      <c r="L923" s="135" t="s">
        <v>570</v>
      </c>
      <c r="M923" s="135" t="s">
        <v>864</v>
      </c>
      <c r="N923" s="135" t="s">
        <v>570</v>
      </c>
      <c r="O923" s="135" t="s">
        <v>864</v>
      </c>
      <c r="P923" s="449"/>
      <c r="Q923" s="179"/>
      <c r="R923" s="179"/>
      <c r="S923" s="179"/>
      <c r="T923" s="500" t="e">
        <f>_xlfn.XLOOKUP(H923,#REF!,#REF!,0,0)</f>
        <v>#REF!</v>
      </c>
    </row>
    <row r="924" spans="1:20" x14ac:dyDescent="0.4">
      <c r="A924" s="135" t="s">
        <v>570</v>
      </c>
      <c r="B924" s="135" t="s">
        <v>3261</v>
      </c>
      <c r="C924" s="135"/>
      <c r="D924" s="135" t="s">
        <v>567</v>
      </c>
      <c r="E924" s="19" t="s">
        <v>3234</v>
      </c>
      <c r="F924" s="20">
        <v>42347</v>
      </c>
      <c r="G924" s="19" t="s">
        <v>3262</v>
      </c>
      <c r="H924" s="19">
        <v>60623</v>
      </c>
      <c r="I924" s="135" t="s">
        <v>3263</v>
      </c>
      <c r="J924" s="135" t="s">
        <v>3264</v>
      </c>
      <c r="K924" s="19" t="s">
        <v>570</v>
      </c>
      <c r="L924" s="135" t="s">
        <v>570</v>
      </c>
      <c r="M924" s="135" t="s">
        <v>570</v>
      </c>
      <c r="N924" s="135" t="s">
        <v>570</v>
      </c>
      <c r="O924" s="135" t="s">
        <v>570</v>
      </c>
      <c r="P924" s="449"/>
      <c r="Q924" s="179"/>
      <c r="R924" s="179"/>
      <c r="S924" s="179"/>
      <c r="T924" s="500" t="e">
        <f>_xlfn.XLOOKUP(H924,#REF!,#REF!,0,0)</f>
        <v>#REF!</v>
      </c>
    </row>
    <row r="925" spans="1:20" x14ac:dyDescent="0.4">
      <c r="A925" s="135" t="s">
        <v>570</v>
      </c>
      <c r="B925" s="135" t="s">
        <v>3265</v>
      </c>
      <c r="C925" s="135"/>
      <c r="D925" s="135" t="s">
        <v>567</v>
      </c>
      <c r="E925" s="19" t="s">
        <v>3234</v>
      </c>
      <c r="F925" s="20">
        <v>42347</v>
      </c>
      <c r="G925" s="19" t="s">
        <v>3266</v>
      </c>
      <c r="H925" s="19">
        <v>60620</v>
      </c>
      <c r="I925" s="135" t="s">
        <v>3267</v>
      </c>
      <c r="J925" s="135" t="s">
        <v>3268</v>
      </c>
      <c r="K925" s="19" t="s">
        <v>570</v>
      </c>
      <c r="L925" s="135" t="s">
        <v>570</v>
      </c>
      <c r="M925" s="135" t="s">
        <v>570</v>
      </c>
      <c r="N925" s="135" t="s">
        <v>570</v>
      </c>
      <c r="O925" s="135" t="s">
        <v>570</v>
      </c>
      <c r="P925" s="449"/>
      <c r="Q925" s="179"/>
      <c r="R925" s="179"/>
      <c r="S925" s="179"/>
      <c r="T925" s="500" t="e">
        <f>_xlfn.XLOOKUP(H925,#REF!,#REF!,0,0)</f>
        <v>#REF!</v>
      </c>
    </row>
    <row r="926" spans="1:20" x14ac:dyDescent="0.4">
      <c r="A926" s="135" t="s">
        <v>570</v>
      </c>
      <c r="B926" s="135" t="s">
        <v>3269</v>
      </c>
      <c r="C926" s="135"/>
      <c r="D926" s="135" t="s">
        <v>567</v>
      </c>
      <c r="E926" s="19" t="s">
        <v>3234</v>
      </c>
      <c r="F926" s="20">
        <v>42347</v>
      </c>
      <c r="G926" s="19" t="s">
        <v>3270</v>
      </c>
      <c r="H926" s="19">
        <v>60622</v>
      </c>
      <c r="I926" s="135" t="s">
        <v>3271</v>
      </c>
      <c r="J926" s="135" t="s">
        <v>3272</v>
      </c>
      <c r="K926" s="19" t="s">
        <v>570</v>
      </c>
      <c r="L926" s="135" t="s">
        <v>570</v>
      </c>
      <c r="M926" s="135" t="s">
        <v>570</v>
      </c>
      <c r="N926" s="135" t="s">
        <v>570</v>
      </c>
      <c r="O926" s="135" t="s">
        <v>570</v>
      </c>
      <c r="P926" s="449"/>
      <c r="Q926" s="179"/>
      <c r="R926" s="179"/>
      <c r="S926" s="179"/>
      <c r="T926" s="500" t="e">
        <f>_xlfn.XLOOKUP(H926,#REF!,#REF!,0,0)</f>
        <v>#REF!</v>
      </c>
    </row>
    <row r="927" spans="1:20" x14ac:dyDescent="0.4">
      <c r="A927" s="135" t="s">
        <v>570</v>
      </c>
      <c r="B927" s="135" t="s">
        <v>3273</v>
      </c>
      <c r="C927" s="135"/>
      <c r="D927" s="135" t="s">
        <v>567</v>
      </c>
      <c r="E927" s="19" t="s">
        <v>3234</v>
      </c>
      <c r="F927" s="20">
        <v>42347</v>
      </c>
      <c r="G927" s="19" t="s">
        <v>3274</v>
      </c>
      <c r="H927" s="19">
        <v>60617</v>
      </c>
      <c r="I927" s="135" t="s">
        <v>3275</v>
      </c>
      <c r="J927" s="135" t="s">
        <v>3276</v>
      </c>
      <c r="K927" s="19" t="s">
        <v>570</v>
      </c>
      <c r="L927" s="135" t="s">
        <v>570</v>
      </c>
      <c r="M927" s="135" t="s">
        <v>570</v>
      </c>
      <c r="N927" s="135" t="s">
        <v>570</v>
      </c>
      <c r="O927" s="135" t="s">
        <v>570</v>
      </c>
      <c r="P927" s="449"/>
      <c r="Q927" s="179"/>
      <c r="R927" s="179"/>
      <c r="S927" s="179"/>
      <c r="T927" s="500" t="e">
        <f>_xlfn.XLOOKUP(H927,#REF!,#REF!,0,0)</f>
        <v>#REF!</v>
      </c>
    </row>
    <row r="928" spans="1:20" x14ac:dyDescent="0.4">
      <c r="A928" s="135" t="s">
        <v>570</v>
      </c>
      <c r="B928" s="135" t="s">
        <v>2129</v>
      </c>
      <c r="C928" s="135"/>
      <c r="D928" s="135" t="s">
        <v>567</v>
      </c>
      <c r="E928" s="19" t="s">
        <v>3234</v>
      </c>
      <c r="F928" s="135">
        <v>42347</v>
      </c>
      <c r="G928" s="19" t="s">
        <v>3277</v>
      </c>
      <c r="H928" s="19">
        <v>60618</v>
      </c>
      <c r="I928" s="135" t="s">
        <v>3278</v>
      </c>
      <c r="J928" s="135" t="s">
        <v>3279</v>
      </c>
      <c r="K928" s="19" t="s">
        <v>570</v>
      </c>
      <c r="L928" s="135" t="s">
        <v>570</v>
      </c>
      <c r="M928" s="135" t="s">
        <v>570</v>
      </c>
      <c r="N928" s="135" t="s">
        <v>570</v>
      </c>
      <c r="O928" s="135" t="s">
        <v>570</v>
      </c>
      <c r="P928" s="449"/>
      <c r="Q928" s="179"/>
      <c r="R928" s="179"/>
      <c r="S928" s="179"/>
      <c r="T928" s="500" t="e">
        <f>_xlfn.XLOOKUP(H928,#REF!,#REF!,0,0)</f>
        <v>#REF!</v>
      </c>
    </row>
    <row r="929" spans="1:20" x14ac:dyDescent="0.4">
      <c r="A929" s="135" t="s">
        <v>570</v>
      </c>
      <c r="B929" s="135" t="s">
        <v>3280</v>
      </c>
      <c r="C929" s="135"/>
      <c r="D929" s="135" t="s">
        <v>567</v>
      </c>
      <c r="E929" s="19" t="s">
        <v>3234</v>
      </c>
      <c r="F929" s="135">
        <v>42347</v>
      </c>
      <c r="G929" s="19" t="s">
        <v>3281</v>
      </c>
      <c r="H929" s="19">
        <v>60619</v>
      </c>
      <c r="I929" s="135" t="s">
        <v>3282</v>
      </c>
      <c r="J929" s="135" t="s">
        <v>3283</v>
      </c>
      <c r="K929" s="19" t="s">
        <v>3284</v>
      </c>
      <c r="L929" s="135" t="s">
        <v>570</v>
      </c>
      <c r="M929" s="135" t="s">
        <v>570</v>
      </c>
      <c r="N929" s="135" t="s">
        <v>570</v>
      </c>
      <c r="O929" s="135" t="s">
        <v>570</v>
      </c>
      <c r="P929" s="449"/>
      <c r="Q929" s="179"/>
      <c r="R929" s="179"/>
      <c r="S929" s="179"/>
      <c r="T929" s="500" t="e">
        <f>_xlfn.XLOOKUP(H929,#REF!,#REF!,0,0)</f>
        <v>#REF!</v>
      </c>
    </row>
    <row r="930" spans="1:20" x14ac:dyDescent="0.4">
      <c r="A930" s="135" t="s">
        <v>570</v>
      </c>
      <c r="B930" s="135" t="s">
        <v>3285</v>
      </c>
      <c r="C930" s="135"/>
      <c r="D930" s="135" t="s">
        <v>567</v>
      </c>
      <c r="E930" s="19" t="s">
        <v>3234</v>
      </c>
      <c r="F930" s="135">
        <v>42347</v>
      </c>
      <c r="G930" s="19" t="s">
        <v>3286</v>
      </c>
      <c r="H930" s="19">
        <v>60626</v>
      </c>
      <c r="I930" s="135" t="s">
        <v>3287</v>
      </c>
      <c r="J930" s="135" t="s">
        <v>3288</v>
      </c>
      <c r="K930" s="19" t="s">
        <v>570</v>
      </c>
      <c r="L930" s="135" t="s">
        <v>570</v>
      </c>
      <c r="M930" s="135" t="s">
        <v>570</v>
      </c>
      <c r="N930" s="135" t="s">
        <v>570</v>
      </c>
      <c r="O930" s="135" t="s">
        <v>570</v>
      </c>
      <c r="P930" s="449"/>
      <c r="Q930" s="179"/>
      <c r="R930" s="179"/>
      <c r="S930" s="179"/>
      <c r="T930" s="500" t="e">
        <f>_xlfn.XLOOKUP(H930,#REF!,#REF!,0,0)</f>
        <v>#REF!</v>
      </c>
    </row>
    <row r="931" spans="1:20" x14ac:dyDescent="0.4">
      <c r="A931" s="135" t="s">
        <v>570</v>
      </c>
      <c r="B931" s="135" t="s">
        <v>3289</v>
      </c>
      <c r="C931" s="135"/>
      <c r="D931" s="135" t="s">
        <v>567</v>
      </c>
      <c r="E931" s="19" t="s">
        <v>3234</v>
      </c>
      <c r="F931" s="20">
        <v>42347</v>
      </c>
      <c r="G931" s="19" t="s">
        <v>3290</v>
      </c>
      <c r="H931" s="19">
        <v>60624</v>
      </c>
      <c r="I931" s="135" t="s">
        <v>3291</v>
      </c>
      <c r="J931" s="135" t="s">
        <v>3292</v>
      </c>
      <c r="K931" s="19" t="s">
        <v>570</v>
      </c>
      <c r="L931" s="135" t="s">
        <v>570</v>
      </c>
      <c r="M931" s="135" t="s">
        <v>570</v>
      </c>
      <c r="N931" s="135" t="s">
        <v>570</v>
      </c>
      <c r="O931" s="135" t="s">
        <v>570</v>
      </c>
      <c r="P931" s="449"/>
      <c r="Q931" s="179"/>
      <c r="R931" s="179"/>
      <c r="S931" s="179"/>
      <c r="T931" s="500" t="e">
        <f>_xlfn.XLOOKUP(H931,#REF!,#REF!,0,0)</f>
        <v>#REF!</v>
      </c>
    </row>
    <row r="932" spans="1:20" x14ac:dyDescent="0.4">
      <c r="A932" s="135" t="s">
        <v>570</v>
      </c>
      <c r="B932" s="135" t="s">
        <v>3293</v>
      </c>
      <c r="C932" s="135"/>
      <c r="D932" s="135" t="s">
        <v>567</v>
      </c>
      <c r="E932" s="19" t="s">
        <v>3234</v>
      </c>
      <c r="F932" s="20">
        <v>42347</v>
      </c>
      <c r="G932" s="19" t="s">
        <v>3294</v>
      </c>
      <c r="H932" s="19">
        <v>60627</v>
      </c>
      <c r="I932" s="135" t="s">
        <v>3295</v>
      </c>
      <c r="J932" s="135" t="s">
        <v>3296</v>
      </c>
      <c r="K932" s="19" t="s">
        <v>3284</v>
      </c>
      <c r="L932" s="135" t="s">
        <v>570</v>
      </c>
      <c r="M932" s="135" t="s">
        <v>570</v>
      </c>
      <c r="N932" s="135" t="s">
        <v>570</v>
      </c>
      <c r="O932" s="135" t="s">
        <v>570</v>
      </c>
      <c r="P932" s="449"/>
      <c r="Q932" s="179"/>
      <c r="R932" s="179"/>
      <c r="S932" s="179"/>
      <c r="T932" s="500" t="e">
        <f>_xlfn.XLOOKUP(H932,#REF!,#REF!,0,0)</f>
        <v>#REF!</v>
      </c>
    </row>
    <row r="933" spans="1:20" x14ac:dyDescent="0.4">
      <c r="A933" s="135"/>
      <c r="B933" s="135" t="s">
        <v>3297</v>
      </c>
      <c r="C933" s="135"/>
      <c r="D933" s="135" t="s">
        <v>567</v>
      </c>
      <c r="E933" s="19" t="s">
        <v>3234</v>
      </c>
      <c r="F933" s="20">
        <v>42481</v>
      </c>
      <c r="G933" s="19" t="s">
        <v>3298</v>
      </c>
      <c r="H933" s="19">
        <v>60643</v>
      </c>
      <c r="I933" s="135" t="s">
        <v>3299</v>
      </c>
      <c r="J933" s="135"/>
      <c r="K933" s="19"/>
      <c r="L933" s="135"/>
      <c r="M933" s="135"/>
      <c r="N933" s="135"/>
      <c r="O933" s="135"/>
      <c r="P933" s="449"/>
      <c r="Q933" s="179"/>
      <c r="R933" s="179"/>
      <c r="S933" s="179"/>
      <c r="T933" s="500" t="e">
        <f>_xlfn.XLOOKUP(H933,#REF!,#REF!,0,0)</f>
        <v>#REF!</v>
      </c>
    </row>
    <row r="934" spans="1:20" x14ac:dyDescent="0.4">
      <c r="A934" s="135" t="s">
        <v>570</v>
      </c>
      <c r="B934" s="134" t="s">
        <v>3300</v>
      </c>
      <c r="C934" s="134"/>
      <c r="D934" s="135" t="s">
        <v>567</v>
      </c>
      <c r="E934" s="19" t="s">
        <v>3234</v>
      </c>
      <c r="F934" s="20"/>
      <c r="G934" s="19" t="s">
        <v>3281</v>
      </c>
      <c r="H934" s="19">
        <v>60619</v>
      </c>
      <c r="I934" s="135"/>
      <c r="J934" s="135"/>
      <c r="K934" s="19" t="s">
        <v>332</v>
      </c>
      <c r="L934" s="135" t="s">
        <v>332</v>
      </c>
      <c r="M934" s="135" t="s">
        <v>332</v>
      </c>
      <c r="N934" s="135" t="s">
        <v>332</v>
      </c>
      <c r="O934" s="135" t="s">
        <v>332</v>
      </c>
      <c r="P934" s="449"/>
      <c r="Q934" s="179"/>
      <c r="R934" s="179"/>
      <c r="S934" s="179"/>
      <c r="T934" s="500" t="e">
        <f>_xlfn.XLOOKUP(H934,#REF!,#REF!,0,0)</f>
        <v>#REF!</v>
      </c>
    </row>
    <row r="935" spans="1:20" x14ac:dyDescent="0.4">
      <c r="A935" s="251" t="s">
        <v>570</v>
      </c>
      <c r="B935" s="251" t="s">
        <v>2385</v>
      </c>
      <c r="C935" s="518"/>
      <c r="D935" s="135" t="s">
        <v>567</v>
      </c>
      <c r="E935" s="19" t="s">
        <v>3234</v>
      </c>
      <c r="F935" s="251">
        <v>42347</v>
      </c>
      <c r="G935" s="252" t="s">
        <v>3294</v>
      </c>
      <c r="H935" s="252">
        <v>60627</v>
      </c>
      <c r="I935" s="518" t="s">
        <v>3295</v>
      </c>
      <c r="J935" s="251" t="s">
        <v>3296</v>
      </c>
      <c r="K935" s="252" t="s">
        <v>570</v>
      </c>
      <c r="L935" s="251" t="s">
        <v>570</v>
      </c>
      <c r="M935" s="251" t="s">
        <v>570</v>
      </c>
      <c r="N935" s="251" t="s">
        <v>570</v>
      </c>
      <c r="O935" s="251" t="s">
        <v>570</v>
      </c>
      <c r="P935" s="449"/>
      <c r="Q935" s="179"/>
      <c r="R935" s="179"/>
      <c r="S935" s="179"/>
      <c r="T935" s="500" t="e">
        <f>_xlfn.XLOOKUP(H935,#REF!,#REF!,0,0)</f>
        <v>#REF!</v>
      </c>
    </row>
    <row r="936" spans="1:20" x14ac:dyDescent="0.4">
      <c r="A936" s="253" t="s">
        <v>570</v>
      </c>
      <c r="B936" s="253" t="s">
        <v>3301</v>
      </c>
      <c r="C936" s="253"/>
      <c r="D936" s="135" t="s">
        <v>567</v>
      </c>
      <c r="E936" s="19" t="s">
        <v>3302</v>
      </c>
      <c r="F936" s="254"/>
      <c r="G936" s="255" t="s">
        <v>3199</v>
      </c>
      <c r="H936" s="255">
        <v>59351</v>
      </c>
      <c r="I936" s="253" t="s">
        <v>3200</v>
      </c>
      <c r="J936" s="253" t="s">
        <v>3217</v>
      </c>
      <c r="K936" s="255" t="s">
        <v>570</v>
      </c>
      <c r="L936" s="253" t="s">
        <v>570</v>
      </c>
      <c r="M936" s="253" t="s">
        <v>570</v>
      </c>
      <c r="N936" s="253" t="s">
        <v>570</v>
      </c>
      <c r="O936" s="253" t="s">
        <v>570</v>
      </c>
      <c r="P936" s="449"/>
      <c r="Q936" s="179"/>
      <c r="R936" s="179"/>
      <c r="S936" s="179"/>
      <c r="T936" s="500" t="e">
        <f>_xlfn.XLOOKUP(H936,#REF!,#REF!,0,0)</f>
        <v>#REF!</v>
      </c>
    </row>
    <row r="937" spans="1:20" x14ac:dyDescent="0.4">
      <c r="A937" s="253" t="s">
        <v>570</v>
      </c>
      <c r="B937" s="253" t="s">
        <v>3301</v>
      </c>
      <c r="C937" s="253"/>
      <c r="D937" s="135" t="s">
        <v>567</v>
      </c>
      <c r="E937" s="19" t="s">
        <v>3234</v>
      </c>
      <c r="F937" s="253">
        <v>42200</v>
      </c>
      <c r="G937" s="255" t="s">
        <v>3247</v>
      </c>
      <c r="H937" s="255">
        <v>60213</v>
      </c>
      <c r="I937" s="253" t="s">
        <v>3248</v>
      </c>
      <c r="J937" s="253" t="s">
        <v>3249</v>
      </c>
      <c r="K937" s="255" t="s">
        <v>570</v>
      </c>
      <c r="L937" s="253" t="s">
        <v>570</v>
      </c>
      <c r="M937" s="253" t="s">
        <v>570</v>
      </c>
      <c r="N937" s="253" t="s">
        <v>570</v>
      </c>
      <c r="O937" s="253" t="s">
        <v>570</v>
      </c>
      <c r="P937" s="449"/>
      <c r="Q937" s="179"/>
      <c r="R937" s="179"/>
      <c r="S937" s="179"/>
      <c r="T937" s="500" t="e">
        <f>_xlfn.XLOOKUP(H937,#REF!,#REF!,0,0)</f>
        <v>#REF!</v>
      </c>
    </row>
    <row r="938" spans="1:20" x14ac:dyDescent="0.4">
      <c r="A938" s="20" t="s">
        <v>570</v>
      </c>
      <c r="B938" s="20" t="s">
        <v>3303</v>
      </c>
      <c r="C938" s="135"/>
      <c r="D938" s="135" t="s">
        <v>567</v>
      </c>
      <c r="E938" s="19" t="s">
        <v>3234</v>
      </c>
      <c r="F938" s="20">
        <v>42200</v>
      </c>
      <c r="G938" s="19" t="s">
        <v>3290</v>
      </c>
      <c r="H938" s="19">
        <v>60624</v>
      </c>
      <c r="I938" s="135" t="s">
        <v>3291</v>
      </c>
      <c r="J938" s="20" t="s">
        <v>3249</v>
      </c>
      <c r="K938" s="19" t="s">
        <v>570</v>
      </c>
      <c r="L938" s="20" t="s">
        <v>570</v>
      </c>
      <c r="M938" s="20" t="s">
        <v>570</v>
      </c>
      <c r="N938" s="20" t="s">
        <v>570</v>
      </c>
      <c r="O938" s="20" t="s">
        <v>570</v>
      </c>
      <c r="P938" s="449"/>
      <c r="Q938" s="179"/>
      <c r="R938" s="179"/>
      <c r="S938" s="179"/>
      <c r="T938" s="500" t="e">
        <f>_xlfn.XLOOKUP(H938,#REF!,#REF!,0,0)</f>
        <v>#REF!</v>
      </c>
    </row>
    <row r="939" spans="1:20" x14ac:dyDescent="0.4">
      <c r="A939" s="129" t="s">
        <v>753</v>
      </c>
      <c r="B939" s="129" t="s">
        <v>3304</v>
      </c>
      <c r="C939" s="129"/>
      <c r="D939" s="135" t="s">
        <v>567</v>
      </c>
      <c r="E939" s="130" t="s">
        <v>3305</v>
      </c>
      <c r="F939" s="129">
        <v>43356</v>
      </c>
      <c r="G939" s="130" t="s">
        <v>30</v>
      </c>
      <c r="H939" s="130">
        <v>68597</v>
      </c>
      <c r="I939" s="129" t="s">
        <v>3306</v>
      </c>
      <c r="J939" s="129" t="s">
        <v>3307</v>
      </c>
      <c r="K939" s="130" t="s">
        <v>570</v>
      </c>
      <c r="L939" s="129" t="s">
        <v>570</v>
      </c>
      <c r="M939" s="129" t="s">
        <v>570</v>
      </c>
      <c r="N939" s="129" t="s">
        <v>570</v>
      </c>
      <c r="O939" s="129" t="s">
        <v>570</v>
      </c>
      <c r="P939" s="449"/>
      <c r="Q939" s="179"/>
      <c r="R939" s="179"/>
      <c r="S939" s="179"/>
      <c r="T939" s="500" t="e">
        <f>_xlfn.XLOOKUP(H939,#REF!,#REF!,0,0)</f>
        <v>#REF!</v>
      </c>
    </row>
    <row r="940" spans="1:20" x14ac:dyDescent="0.4">
      <c r="A940" s="129" t="s">
        <v>753</v>
      </c>
      <c r="B940" s="129" t="s">
        <v>3308</v>
      </c>
      <c r="C940" s="129"/>
      <c r="D940" s="129" t="s">
        <v>567</v>
      </c>
      <c r="E940" s="130" t="s">
        <v>3305</v>
      </c>
      <c r="F940" s="129">
        <v>43356</v>
      </c>
      <c r="G940" s="130" t="s">
        <v>27</v>
      </c>
      <c r="H940" s="130">
        <v>68594</v>
      </c>
      <c r="I940" s="129" t="s">
        <v>3309</v>
      </c>
      <c r="J940" s="129" t="s">
        <v>3310</v>
      </c>
      <c r="K940" s="130" t="s">
        <v>570</v>
      </c>
      <c r="L940" s="129" t="s">
        <v>570</v>
      </c>
      <c r="M940" s="129" t="s">
        <v>570</v>
      </c>
      <c r="N940" s="129" t="s">
        <v>570</v>
      </c>
      <c r="O940" s="129" t="s">
        <v>570</v>
      </c>
      <c r="P940" s="449"/>
      <c r="Q940" s="179"/>
      <c r="R940" s="179"/>
      <c r="S940" s="179"/>
      <c r="T940" s="500" t="e">
        <f>_xlfn.XLOOKUP(H940,#REF!,#REF!,0,0)</f>
        <v>#REF!</v>
      </c>
    </row>
    <row r="941" spans="1:20" x14ac:dyDescent="0.4">
      <c r="A941" s="129" t="s">
        <v>753</v>
      </c>
      <c r="B941" s="129" t="s">
        <v>3311</v>
      </c>
      <c r="C941" s="129"/>
      <c r="D941" s="129" t="s">
        <v>567</v>
      </c>
      <c r="E941" s="130" t="s">
        <v>3305</v>
      </c>
      <c r="F941" s="129">
        <v>43356</v>
      </c>
      <c r="G941" s="130" t="s">
        <v>31</v>
      </c>
      <c r="H941" s="130">
        <v>68598</v>
      </c>
      <c r="I941" s="129" t="s">
        <v>3312</v>
      </c>
      <c r="J941" s="129"/>
      <c r="K941" s="130" t="s">
        <v>570</v>
      </c>
      <c r="L941" s="129" t="s">
        <v>570</v>
      </c>
      <c r="M941" s="129" t="s">
        <v>570</v>
      </c>
      <c r="N941" s="129" t="s">
        <v>570</v>
      </c>
      <c r="O941" s="129" t="s">
        <v>570</v>
      </c>
      <c r="P941" s="449"/>
      <c r="Q941" s="179"/>
      <c r="R941" s="179"/>
      <c r="S941" s="179"/>
      <c r="T941" s="500" t="e">
        <f>_xlfn.XLOOKUP(H941,#REF!,#REF!,0,0)</f>
        <v>#REF!</v>
      </c>
    </row>
    <row r="942" spans="1:20" x14ac:dyDescent="0.4">
      <c r="A942" s="129" t="s">
        <v>753</v>
      </c>
      <c r="B942" s="129" t="s">
        <v>3313</v>
      </c>
      <c r="C942" s="129"/>
      <c r="D942" s="129" t="s">
        <v>567</v>
      </c>
      <c r="E942" s="130" t="s">
        <v>3305</v>
      </c>
      <c r="F942" s="129">
        <v>43356</v>
      </c>
      <c r="G942" s="130" t="s">
        <v>28</v>
      </c>
      <c r="H942" s="130">
        <v>68595</v>
      </c>
      <c r="I942" s="129" t="s">
        <v>3314</v>
      </c>
      <c r="J942" s="129" t="s">
        <v>3315</v>
      </c>
      <c r="K942" s="130" t="s">
        <v>570</v>
      </c>
      <c r="L942" s="129" t="s">
        <v>570</v>
      </c>
      <c r="M942" s="129" t="s">
        <v>570</v>
      </c>
      <c r="N942" s="129" t="s">
        <v>570</v>
      </c>
      <c r="O942" s="129" t="s">
        <v>570</v>
      </c>
      <c r="P942" s="449"/>
      <c r="Q942" s="179"/>
      <c r="R942" s="179"/>
      <c r="S942" s="179"/>
      <c r="T942" s="500" t="e">
        <f>_xlfn.XLOOKUP(H942,#REF!,#REF!,0,0)</f>
        <v>#REF!</v>
      </c>
    </row>
    <row r="943" spans="1:20" x14ac:dyDescent="0.4">
      <c r="A943" s="129" t="s">
        <v>753</v>
      </c>
      <c r="B943" s="129" t="s">
        <v>3316</v>
      </c>
      <c r="C943" s="129"/>
      <c r="D943" s="129" t="s">
        <v>567</v>
      </c>
      <c r="E943" s="130" t="s">
        <v>3305</v>
      </c>
      <c r="F943" s="129">
        <v>43356</v>
      </c>
      <c r="G943" s="130" t="s">
        <v>29</v>
      </c>
      <c r="H943" s="130">
        <v>68596</v>
      </c>
      <c r="I943" s="129" t="s">
        <v>3317</v>
      </c>
      <c r="J943" s="129"/>
      <c r="K943" s="130" t="s">
        <v>570</v>
      </c>
      <c r="L943" s="129" t="s">
        <v>570</v>
      </c>
      <c r="M943" s="129" t="s">
        <v>570</v>
      </c>
      <c r="N943" s="129" t="s">
        <v>570</v>
      </c>
      <c r="O943" s="129" t="s">
        <v>570</v>
      </c>
      <c r="P943" s="449"/>
      <c r="Q943" s="179"/>
      <c r="R943" s="179"/>
      <c r="S943" s="179"/>
      <c r="T943" s="500" t="e">
        <f>_xlfn.XLOOKUP(H943,#REF!,#REF!,0,0)</f>
        <v>#REF!</v>
      </c>
    </row>
    <row r="944" spans="1:20" x14ac:dyDescent="0.4">
      <c r="A944" s="129" t="s">
        <v>753</v>
      </c>
      <c r="B944" s="129" t="s">
        <v>3318</v>
      </c>
      <c r="C944" s="129"/>
      <c r="D944" s="129" t="s">
        <v>567</v>
      </c>
      <c r="E944" s="130" t="s">
        <v>3305</v>
      </c>
      <c r="F944" s="129">
        <v>43376</v>
      </c>
      <c r="G944" s="130" t="s">
        <v>32</v>
      </c>
      <c r="H944" s="130">
        <v>68772</v>
      </c>
      <c r="I944" s="129" t="s">
        <v>3319</v>
      </c>
      <c r="J944" s="129" t="s">
        <v>3320</v>
      </c>
      <c r="K944" s="130" t="s">
        <v>570</v>
      </c>
      <c r="L944" s="129" t="s">
        <v>570</v>
      </c>
      <c r="M944" s="129" t="s">
        <v>570</v>
      </c>
      <c r="N944" s="129" t="s">
        <v>570</v>
      </c>
      <c r="O944" s="129" t="s">
        <v>570</v>
      </c>
      <c r="P944" s="449"/>
      <c r="Q944" s="179"/>
      <c r="R944" s="179"/>
      <c r="S944" s="179"/>
      <c r="T944" s="500" t="e">
        <f>_xlfn.XLOOKUP(H944,#REF!,#REF!,0,0)</f>
        <v>#REF!</v>
      </c>
    </row>
    <row r="945" spans="1:20" x14ac:dyDescent="0.4">
      <c r="A945" s="518" t="s">
        <v>570</v>
      </c>
      <c r="B945" s="251" t="s">
        <v>3321</v>
      </c>
      <c r="C945" s="518"/>
      <c r="D945" s="129" t="s">
        <v>567</v>
      </c>
      <c r="E945" s="252" t="s">
        <v>3322</v>
      </c>
      <c r="F945" s="518">
        <v>42789</v>
      </c>
      <c r="G945" s="252" t="s">
        <v>3323</v>
      </c>
      <c r="H945" s="252">
        <v>64602</v>
      </c>
      <c r="I945" s="518" t="s">
        <v>3324</v>
      </c>
      <c r="J945" s="518" t="s">
        <v>3325</v>
      </c>
      <c r="K945" s="252"/>
      <c r="L945" s="251" t="s">
        <v>570</v>
      </c>
      <c r="M945" s="251" t="s">
        <v>570</v>
      </c>
      <c r="N945" s="251" t="s">
        <v>570</v>
      </c>
      <c r="O945" s="251" t="s">
        <v>570</v>
      </c>
      <c r="P945" s="449"/>
      <c r="Q945" s="179"/>
      <c r="R945" s="179"/>
      <c r="S945" s="179"/>
      <c r="T945" s="500" t="e">
        <f>_xlfn.XLOOKUP(H945,#REF!,#REF!,0,0)</f>
        <v>#REF!</v>
      </c>
    </row>
    <row r="946" spans="1:20" x14ac:dyDescent="0.4">
      <c r="A946" s="129" t="s">
        <v>753</v>
      </c>
      <c r="B946" s="142" t="s">
        <v>3326</v>
      </c>
      <c r="C946" s="142"/>
      <c r="D946" s="129" t="s">
        <v>567</v>
      </c>
      <c r="E946" s="130" t="s">
        <v>3305</v>
      </c>
      <c r="F946" s="129">
        <v>43356</v>
      </c>
      <c r="G946" s="130" t="s">
        <v>3327</v>
      </c>
      <c r="H946" s="130">
        <v>68599</v>
      </c>
      <c r="I946" s="129" t="s">
        <v>3328</v>
      </c>
      <c r="J946" s="129" t="s">
        <v>3329</v>
      </c>
      <c r="K946" s="130" t="s">
        <v>570</v>
      </c>
      <c r="L946" s="129" t="s">
        <v>570</v>
      </c>
      <c r="M946" s="129" t="s">
        <v>570</v>
      </c>
      <c r="N946" s="129" t="s">
        <v>570</v>
      </c>
      <c r="O946" s="129" t="s">
        <v>570</v>
      </c>
      <c r="P946" s="449"/>
      <c r="Q946" s="179"/>
      <c r="R946" s="179"/>
      <c r="S946" s="179"/>
      <c r="T946" s="500" t="e">
        <f>_xlfn.XLOOKUP(H946,#REF!,#REF!,0,0)</f>
        <v>#REF!</v>
      </c>
    </row>
    <row r="947" spans="1:20" x14ac:dyDescent="0.4">
      <c r="A947" s="129" t="s">
        <v>753</v>
      </c>
      <c r="B947" s="129" t="s">
        <v>3330</v>
      </c>
      <c r="C947" s="129"/>
      <c r="D947" s="129" t="s">
        <v>567</v>
      </c>
      <c r="E947" s="130" t="s">
        <v>3305</v>
      </c>
      <c r="F947" s="129">
        <v>43376</v>
      </c>
      <c r="G947" s="130" t="s">
        <v>3331</v>
      </c>
      <c r="H947" s="130">
        <v>68771</v>
      </c>
      <c r="I947" s="129" t="s">
        <v>3332</v>
      </c>
      <c r="J947" s="129" t="s">
        <v>3333</v>
      </c>
      <c r="K947" s="130" t="s">
        <v>570</v>
      </c>
      <c r="L947" s="129" t="s">
        <v>570</v>
      </c>
      <c r="M947" s="129" t="s">
        <v>570</v>
      </c>
      <c r="N947" s="129" t="s">
        <v>570</v>
      </c>
      <c r="O947" s="129" t="s">
        <v>570</v>
      </c>
      <c r="P947" s="449"/>
      <c r="Q947" s="179"/>
      <c r="R947" s="179"/>
      <c r="S947" s="179"/>
      <c r="T947" s="500" t="e">
        <f>_xlfn.XLOOKUP(H947,#REF!,#REF!,0,0)</f>
        <v>#REF!</v>
      </c>
    </row>
    <row r="948" spans="1:20" x14ac:dyDescent="0.4">
      <c r="A948" s="129" t="s">
        <v>753</v>
      </c>
      <c r="B948" s="129" t="s">
        <v>3334</v>
      </c>
      <c r="C948" s="129"/>
      <c r="D948" s="129" t="s">
        <v>567</v>
      </c>
      <c r="E948" s="130" t="s">
        <v>3305</v>
      </c>
      <c r="F948" s="129">
        <v>43376</v>
      </c>
      <c r="G948" s="130" t="s">
        <v>3335</v>
      </c>
      <c r="H948" s="130">
        <v>68774</v>
      </c>
      <c r="I948" s="129" t="s">
        <v>3336</v>
      </c>
      <c r="J948" s="129" t="s">
        <v>3337</v>
      </c>
      <c r="K948" s="130" t="s">
        <v>570</v>
      </c>
      <c r="L948" s="129" t="s">
        <v>570</v>
      </c>
      <c r="M948" s="129" t="s">
        <v>570</v>
      </c>
      <c r="N948" s="129" t="s">
        <v>570</v>
      </c>
      <c r="O948" s="129" t="s">
        <v>570</v>
      </c>
      <c r="P948" s="449"/>
      <c r="Q948" s="179"/>
      <c r="R948" s="179"/>
      <c r="S948" s="179"/>
      <c r="T948" s="500" t="e">
        <f>_xlfn.XLOOKUP(H948,#REF!,#REF!,0,0)</f>
        <v>#REF!</v>
      </c>
    </row>
    <row r="949" spans="1:20" x14ac:dyDescent="0.4">
      <c r="A949" s="129" t="s">
        <v>753</v>
      </c>
      <c r="B949" s="129" t="s">
        <v>3338</v>
      </c>
      <c r="C949" s="129"/>
      <c r="D949" s="129" t="s">
        <v>567</v>
      </c>
      <c r="E949" s="130" t="s">
        <v>3305</v>
      </c>
      <c r="F949" s="129">
        <v>43376</v>
      </c>
      <c r="G949" s="130" t="s">
        <v>3339</v>
      </c>
      <c r="H949" s="130">
        <v>68775</v>
      </c>
      <c r="I949" s="129" t="s">
        <v>3340</v>
      </c>
      <c r="J949" s="129" t="s">
        <v>3341</v>
      </c>
      <c r="K949" s="130" t="s">
        <v>570</v>
      </c>
      <c r="L949" s="129" t="s">
        <v>570</v>
      </c>
      <c r="M949" s="129" t="s">
        <v>570</v>
      </c>
      <c r="N949" s="129" t="s">
        <v>570</v>
      </c>
      <c r="O949" s="129" t="s">
        <v>570</v>
      </c>
      <c r="P949" s="449"/>
      <c r="Q949" s="179"/>
      <c r="R949" s="179"/>
      <c r="S949" s="179"/>
      <c r="T949" s="500" t="e">
        <f>_xlfn.XLOOKUP(H949,#REF!,#REF!,0,0)</f>
        <v>#REF!</v>
      </c>
    </row>
    <row r="950" spans="1:20" x14ac:dyDescent="0.4">
      <c r="A950" s="129" t="s">
        <v>570</v>
      </c>
      <c r="B950" s="129" t="s">
        <v>3342</v>
      </c>
      <c r="C950" s="129"/>
      <c r="D950" s="129" t="s">
        <v>567</v>
      </c>
      <c r="E950" s="130" t="s">
        <v>22</v>
      </c>
      <c r="F950" s="129">
        <v>42200</v>
      </c>
      <c r="G950" s="130" t="s">
        <v>24</v>
      </c>
      <c r="H950" s="130">
        <v>60214</v>
      </c>
      <c r="I950" s="129" t="s">
        <v>3244</v>
      </c>
      <c r="J950" s="129" t="s">
        <v>3245</v>
      </c>
      <c r="K950" s="130" t="s">
        <v>570</v>
      </c>
      <c r="L950" s="129" t="s">
        <v>570</v>
      </c>
      <c r="M950" s="129" t="s">
        <v>570</v>
      </c>
      <c r="N950" s="129" t="s">
        <v>570</v>
      </c>
      <c r="O950" s="129" t="s">
        <v>570</v>
      </c>
      <c r="P950" s="449"/>
      <c r="Q950" s="179"/>
      <c r="R950" s="179"/>
      <c r="S950" s="179"/>
      <c r="T950" s="500" t="e">
        <f>_xlfn.XLOOKUP(H950,#REF!,#REF!,0,0)</f>
        <v>#REF!</v>
      </c>
    </row>
    <row r="951" spans="1:20" x14ac:dyDescent="0.4">
      <c r="A951" s="156" t="s">
        <v>570</v>
      </c>
      <c r="B951" s="156" t="s">
        <v>3343</v>
      </c>
      <c r="C951" s="156"/>
      <c r="D951" s="156" t="s">
        <v>567</v>
      </c>
      <c r="E951" s="158" t="s">
        <v>22</v>
      </c>
      <c r="F951" s="156"/>
      <c r="G951" s="158" t="s">
        <v>3281</v>
      </c>
      <c r="H951" s="158">
        <v>60619</v>
      </c>
      <c r="I951" s="156" t="s">
        <v>3282</v>
      </c>
      <c r="J951" s="156" t="s">
        <v>3283</v>
      </c>
      <c r="K951" s="158" t="s">
        <v>570</v>
      </c>
      <c r="L951" s="156" t="s">
        <v>570</v>
      </c>
      <c r="M951" s="156" t="s">
        <v>570</v>
      </c>
      <c r="N951" s="156" t="s">
        <v>570</v>
      </c>
      <c r="O951" s="156"/>
      <c r="P951" s="449"/>
      <c r="Q951" s="179"/>
      <c r="R951" s="179"/>
      <c r="S951" s="179"/>
      <c r="T951" s="500" t="e">
        <f>_xlfn.XLOOKUP(H951,#REF!,#REF!,0,0)</f>
        <v>#REF!</v>
      </c>
    </row>
    <row r="952" spans="1:20" x14ac:dyDescent="0.4">
      <c r="A952" s="156" t="s">
        <v>570</v>
      </c>
      <c r="B952" s="156" t="s">
        <v>3344</v>
      </c>
      <c r="C952" s="156"/>
      <c r="D952" s="156" t="s">
        <v>567</v>
      </c>
      <c r="E952" s="158" t="s">
        <v>3305</v>
      </c>
      <c r="F952" s="156">
        <v>43376</v>
      </c>
      <c r="G952" s="158" t="s">
        <v>3345</v>
      </c>
      <c r="H952" s="158">
        <v>68773</v>
      </c>
      <c r="I952" s="156" t="s">
        <v>3346</v>
      </c>
      <c r="J952" s="156" t="s">
        <v>3347</v>
      </c>
      <c r="K952" s="158" t="s">
        <v>570</v>
      </c>
      <c r="L952" s="156" t="s">
        <v>570</v>
      </c>
      <c r="M952" s="156" t="s">
        <v>570</v>
      </c>
      <c r="N952" s="156" t="s">
        <v>570</v>
      </c>
      <c r="O952" s="156"/>
      <c r="P952" s="449"/>
      <c r="Q952" s="179"/>
      <c r="R952" s="179"/>
      <c r="S952" s="179"/>
      <c r="T952" s="500" t="e">
        <f>_xlfn.XLOOKUP(H952,#REF!,#REF!,0,0)</f>
        <v>#REF!</v>
      </c>
    </row>
    <row r="953" spans="1:20" x14ac:dyDescent="0.4">
      <c r="A953" s="135" t="s">
        <v>570</v>
      </c>
      <c r="B953" s="134"/>
      <c r="C953" s="134"/>
      <c r="D953" s="134" t="s">
        <v>567</v>
      </c>
      <c r="E953" s="18" t="s">
        <v>3348</v>
      </c>
      <c r="F953" s="10">
        <v>41753</v>
      </c>
      <c r="G953" s="18" t="s">
        <v>3349</v>
      </c>
      <c r="H953" s="18">
        <v>58847</v>
      </c>
      <c r="I953" s="134" t="s">
        <v>3350</v>
      </c>
      <c r="J953" s="134" t="s">
        <v>3351</v>
      </c>
      <c r="K953" s="18" t="s">
        <v>570</v>
      </c>
      <c r="L953" s="134" t="s">
        <v>570</v>
      </c>
      <c r="M953" s="134" t="s">
        <v>570</v>
      </c>
      <c r="N953" s="135" t="s">
        <v>570</v>
      </c>
      <c r="O953" s="134" t="s">
        <v>570</v>
      </c>
      <c r="P953" s="449"/>
      <c r="Q953" s="179"/>
      <c r="R953" s="179"/>
      <c r="S953" s="179"/>
      <c r="T953" s="500" t="e">
        <f>_xlfn.XLOOKUP(H953,#REF!,#REF!,0,0)</f>
        <v>#REF!</v>
      </c>
    </row>
    <row r="954" spans="1:20" x14ac:dyDescent="0.4">
      <c r="A954" s="135" t="s">
        <v>570</v>
      </c>
      <c r="B954" s="134" t="s">
        <v>2898</v>
      </c>
      <c r="C954" s="134"/>
      <c r="D954" s="134" t="s">
        <v>567</v>
      </c>
      <c r="E954" s="18" t="s">
        <v>3352</v>
      </c>
      <c r="F954" s="134">
        <v>41753</v>
      </c>
      <c r="G954" s="18" t="s">
        <v>3349</v>
      </c>
      <c r="H954" s="18">
        <v>58847</v>
      </c>
      <c r="I954" s="134" t="s">
        <v>3353</v>
      </c>
      <c r="J954" s="134" t="s">
        <v>3351</v>
      </c>
      <c r="K954" s="18" t="s">
        <v>570</v>
      </c>
      <c r="L954" s="134" t="s">
        <v>570</v>
      </c>
      <c r="M954" s="134" t="s">
        <v>570</v>
      </c>
      <c r="N954" s="135" t="s">
        <v>570</v>
      </c>
      <c r="O954" s="134" t="s">
        <v>570</v>
      </c>
      <c r="P954" s="449"/>
      <c r="Q954" s="179"/>
      <c r="R954" s="179"/>
      <c r="S954" s="179"/>
      <c r="T954" s="500" t="e">
        <f>_xlfn.XLOOKUP(H954,#REF!,#REF!,0,0)</f>
        <v>#REF!</v>
      </c>
    </row>
    <row r="955" spans="1:20" x14ac:dyDescent="0.4">
      <c r="A955" s="135" t="s">
        <v>570</v>
      </c>
      <c r="B955" s="134" t="s">
        <v>2898</v>
      </c>
      <c r="C955" s="134"/>
      <c r="D955" s="134" t="s">
        <v>567</v>
      </c>
      <c r="E955" s="18" t="s">
        <v>3348</v>
      </c>
      <c r="F955" s="10">
        <v>41753</v>
      </c>
      <c r="G955" s="18" t="s">
        <v>3354</v>
      </c>
      <c r="H955" s="18">
        <v>58848</v>
      </c>
      <c r="I955" s="134" t="s">
        <v>3355</v>
      </c>
      <c r="J955" s="134" t="s">
        <v>3356</v>
      </c>
      <c r="K955" s="18" t="s">
        <v>570</v>
      </c>
      <c r="L955" s="134" t="s">
        <v>570</v>
      </c>
      <c r="M955" s="134" t="s">
        <v>570</v>
      </c>
      <c r="N955" s="135" t="s">
        <v>570</v>
      </c>
      <c r="O955" s="134" t="s">
        <v>570</v>
      </c>
      <c r="P955" s="449"/>
      <c r="Q955" s="179"/>
      <c r="R955" s="179"/>
      <c r="S955" s="179"/>
      <c r="T955" s="500" t="e">
        <f>_xlfn.XLOOKUP(H955,#REF!,#REF!,0,0)</f>
        <v>#REF!</v>
      </c>
    </row>
    <row r="956" spans="1:20" x14ac:dyDescent="0.4">
      <c r="A956" s="135" t="s">
        <v>570</v>
      </c>
      <c r="B956" s="134" t="s">
        <v>2898</v>
      </c>
      <c r="C956" s="134"/>
      <c r="D956" s="134" t="s">
        <v>567</v>
      </c>
      <c r="E956" s="18" t="s">
        <v>3352</v>
      </c>
      <c r="F956" s="10">
        <v>41753</v>
      </c>
      <c r="G956" s="18" t="s">
        <v>3354</v>
      </c>
      <c r="H956" s="18">
        <v>58848</v>
      </c>
      <c r="I956" s="134" t="s">
        <v>3355</v>
      </c>
      <c r="J956" s="134" t="s">
        <v>3356</v>
      </c>
      <c r="K956" s="18" t="s">
        <v>570</v>
      </c>
      <c r="L956" s="134" t="s">
        <v>570</v>
      </c>
      <c r="M956" s="134" t="s">
        <v>570</v>
      </c>
      <c r="N956" s="135" t="s">
        <v>570</v>
      </c>
      <c r="O956" s="134" t="s">
        <v>570</v>
      </c>
      <c r="P956" s="449"/>
      <c r="Q956" s="179"/>
      <c r="R956" s="179"/>
      <c r="S956" s="179"/>
      <c r="T956" s="500" t="e">
        <f>_xlfn.XLOOKUP(H956,#REF!,#REF!,0,0)</f>
        <v>#REF!</v>
      </c>
    </row>
    <row r="957" spans="1:20" x14ac:dyDescent="0.4">
      <c r="A957" s="135" t="s">
        <v>570</v>
      </c>
      <c r="B957" s="134"/>
      <c r="C957" s="134"/>
      <c r="D957" s="134" t="s">
        <v>567</v>
      </c>
      <c r="E957" s="18" t="s">
        <v>3348</v>
      </c>
      <c r="F957" s="10">
        <v>41753</v>
      </c>
      <c r="G957" s="18" t="s">
        <v>3357</v>
      </c>
      <c r="H957" s="18">
        <v>58849</v>
      </c>
      <c r="I957" s="134" t="s">
        <v>3358</v>
      </c>
      <c r="J957" s="134" t="s">
        <v>3359</v>
      </c>
      <c r="K957" s="18" t="s">
        <v>570</v>
      </c>
      <c r="L957" s="134" t="s">
        <v>570</v>
      </c>
      <c r="M957" s="134" t="s">
        <v>570</v>
      </c>
      <c r="N957" s="135" t="s">
        <v>570</v>
      </c>
      <c r="O957" s="134" t="s">
        <v>570</v>
      </c>
      <c r="P957" s="449"/>
      <c r="Q957" s="179"/>
      <c r="R957" s="179"/>
      <c r="S957" s="179"/>
      <c r="T957" s="500" t="e">
        <f>_xlfn.XLOOKUP(H957,#REF!,#REF!,0,0)</f>
        <v>#REF!</v>
      </c>
    </row>
    <row r="958" spans="1:20" x14ac:dyDescent="0.4">
      <c r="A958" s="135" t="s">
        <v>570</v>
      </c>
      <c r="B958" s="134"/>
      <c r="C958" s="134"/>
      <c r="D958" s="134" t="s">
        <v>567</v>
      </c>
      <c r="E958" s="18" t="s">
        <v>3352</v>
      </c>
      <c r="F958" s="10">
        <v>41753</v>
      </c>
      <c r="G958" s="18" t="s">
        <v>3357</v>
      </c>
      <c r="H958" s="18">
        <v>58849</v>
      </c>
      <c r="I958" s="134"/>
      <c r="J958" s="134" t="s">
        <v>3359</v>
      </c>
      <c r="K958" s="18" t="s">
        <v>570</v>
      </c>
      <c r="L958" s="134" t="s">
        <v>570</v>
      </c>
      <c r="M958" s="134" t="s">
        <v>570</v>
      </c>
      <c r="N958" s="135" t="s">
        <v>570</v>
      </c>
      <c r="O958" s="134" t="s">
        <v>570</v>
      </c>
      <c r="P958" s="449"/>
      <c r="Q958" s="179"/>
      <c r="R958" s="179"/>
      <c r="S958" s="179"/>
      <c r="T958" s="500" t="e">
        <f>_xlfn.XLOOKUP(H958,#REF!,#REF!,0,0)</f>
        <v>#REF!</v>
      </c>
    </row>
    <row r="959" spans="1:20" x14ac:dyDescent="0.4">
      <c r="A959" s="135" t="s">
        <v>570</v>
      </c>
      <c r="B959" s="134"/>
      <c r="C959" s="134"/>
      <c r="D959" s="134" t="s">
        <v>567</v>
      </c>
      <c r="E959" s="18" t="s">
        <v>3348</v>
      </c>
      <c r="F959" s="134">
        <v>41753</v>
      </c>
      <c r="G959" s="18" t="s">
        <v>3360</v>
      </c>
      <c r="H959" s="18">
        <v>58850</v>
      </c>
      <c r="I959" s="134" t="s">
        <v>3361</v>
      </c>
      <c r="J959" s="134" t="s">
        <v>3362</v>
      </c>
      <c r="K959" s="18" t="s">
        <v>570</v>
      </c>
      <c r="L959" s="134" t="s">
        <v>570</v>
      </c>
      <c r="M959" s="134" t="s">
        <v>570</v>
      </c>
      <c r="N959" s="135" t="s">
        <v>570</v>
      </c>
      <c r="O959" s="134" t="s">
        <v>570</v>
      </c>
      <c r="P959" s="449"/>
      <c r="Q959" s="179"/>
      <c r="R959" s="179"/>
      <c r="S959" s="179"/>
      <c r="T959" s="500" t="e">
        <f>_xlfn.XLOOKUP(H959,#REF!,#REF!,0,0)</f>
        <v>#REF!</v>
      </c>
    </row>
    <row r="960" spans="1:20" x14ac:dyDescent="0.4">
      <c r="A960" s="135" t="s">
        <v>570</v>
      </c>
      <c r="B960" s="134"/>
      <c r="C960" s="134"/>
      <c r="D960" s="134" t="s">
        <v>567</v>
      </c>
      <c r="E960" s="18" t="s">
        <v>3352</v>
      </c>
      <c r="F960" s="10">
        <v>41753</v>
      </c>
      <c r="G960" s="18" t="s">
        <v>3360</v>
      </c>
      <c r="H960" s="18">
        <v>58850</v>
      </c>
      <c r="I960" s="134"/>
      <c r="J960" s="134" t="s">
        <v>3362</v>
      </c>
      <c r="K960" s="18" t="s">
        <v>570</v>
      </c>
      <c r="L960" s="134" t="s">
        <v>570</v>
      </c>
      <c r="M960" s="134" t="s">
        <v>570</v>
      </c>
      <c r="N960" s="135" t="s">
        <v>570</v>
      </c>
      <c r="O960" s="134" t="s">
        <v>570</v>
      </c>
      <c r="P960" s="449"/>
      <c r="Q960" s="179"/>
      <c r="R960" s="179"/>
      <c r="S960" s="179"/>
      <c r="T960" s="500" t="e">
        <f>_xlfn.XLOOKUP(H960,#REF!,#REF!,0,0)</f>
        <v>#REF!</v>
      </c>
    </row>
    <row r="961" spans="1:20" x14ac:dyDescent="0.4">
      <c r="A961" s="135" t="s">
        <v>570</v>
      </c>
      <c r="B961" s="134"/>
      <c r="C961" s="134"/>
      <c r="D961" s="134" t="s">
        <v>567</v>
      </c>
      <c r="E961" s="18" t="s">
        <v>3348</v>
      </c>
      <c r="F961" s="10">
        <v>41787</v>
      </c>
      <c r="G961" s="18" t="s">
        <v>3363</v>
      </c>
      <c r="H961" s="18">
        <v>58934</v>
      </c>
      <c r="I961" s="134"/>
      <c r="J961" s="134" t="s">
        <v>3364</v>
      </c>
      <c r="K961" s="18" t="s">
        <v>570</v>
      </c>
      <c r="L961" s="134" t="s">
        <v>570</v>
      </c>
      <c r="M961" s="134" t="s">
        <v>570</v>
      </c>
      <c r="N961" s="135" t="s">
        <v>570</v>
      </c>
      <c r="O961" s="134" t="s">
        <v>570</v>
      </c>
      <c r="P961" s="449"/>
      <c r="Q961" s="179"/>
      <c r="R961" s="179"/>
      <c r="S961" s="179"/>
      <c r="T961" s="500" t="e">
        <f>_xlfn.XLOOKUP(H961,#REF!,#REF!,0,0)</f>
        <v>#REF!</v>
      </c>
    </row>
    <row r="962" spans="1:20" x14ac:dyDescent="0.4">
      <c r="A962" s="135" t="s">
        <v>570</v>
      </c>
      <c r="B962" s="134"/>
      <c r="C962" s="134"/>
      <c r="D962" s="134" t="s">
        <v>567</v>
      </c>
      <c r="E962" s="18" t="s">
        <v>3348</v>
      </c>
      <c r="F962" s="10">
        <v>41787</v>
      </c>
      <c r="G962" s="18" t="s">
        <v>3365</v>
      </c>
      <c r="H962" s="18">
        <v>58935</v>
      </c>
      <c r="I962" s="134"/>
      <c r="J962" s="134" t="s">
        <v>3366</v>
      </c>
      <c r="K962" s="18" t="s">
        <v>570</v>
      </c>
      <c r="L962" s="134" t="s">
        <v>570</v>
      </c>
      <c r="M962" s="134" t="s">
        <v>570</v>
      </c>
      <c r="N962" s="135" t="s">
        <v>570</v>
      </c>
      <c r="O962" s="134" t="s">
        <v>570</v>
      </c>
      <c r="P962" s="449"/>
      <c r="Q962" s="179"/>
      <c r="R962" s="179"/>
      <c r="S962" s="179"/>
      <c r="T962" s="500" t="e">
        <f>_xlfn.XLOOKUP(H962,#REF!,#REF!,0,0)</f>
        <v>#REF!</v>
      </c>
    </row>
    <row r="963" spans="1:20" x14ac:dyDescent="0.4">
      <c r="A963" s="135" t="s">
        <v>570</v>
      </c>
      <c r="B963" s="134"/>
      <c r="C963" s="134"/>
      <c r="D963" s="134" t="s">
        <v>567</v>
      </c>
      <c r="E963" s="18" t="s">
        <v>3348</v>
      </c>
      <c r="F963" s="10">
        <v>41787</v>
      </c>
      <c r="G963" s="18" t="s">
        <v>3367</v>
      </c>
      <c r="H963" s="18">
        <v>58936</v>
      </c>
      <c r="I963" s="134"/>
      <c r="J963" s="134" t="s">
        <v>3368</v>
      </c>
      <c r="K963" s="18" t="s">
        <v>570</v>
      </c>
      <c r="L963" s="134" t="s">
        <v>570</v>
      </c>
      <c r="M963" s="134" t="s">
        <v>570</v>
      </c>
      <c r="N963" s="135" t="s">
        <v>570</v>
      </c>
      <c r="O963" s="134" t="s">
        <v>570</v>
      </c>
      <c r="P963" s="449"/>
      <c r="Q963" s="179"/>
      <c r="R963" s="179"/>
      <c r="S963" s="179"/>
      <c r="T963" s="500" t="e">
        <f>_xlfn.XLOOKUP(H963,#REF!,#REF!,0,0)</f>
        <v>#REF!</v>
      </c>
    </row>
    <row r="964" spans="1:20" x14ac:dyDescent="0.4">
      <c r="A964" s="135" t="s">
        <v>570</v>
      </c>
      <c r="B964" s="134" t="s">
        <v>3369</v>
      </c>
      <c r="C964" s="134"/>
      <c r="D964" s="134" t="s">
        <v>567</v>
      </c>
      <c r="E964" s="18" t="s">
        <v>3352</v>
      </c>
      <c r="F964" s="10">
        <v>41892</v>
      </c>
      <c r="G964" s="18" t="s">
        <v>3370</v>
      </c>
      <c r="H964" s="18">
        <v>59177</v>
      </c>
      <c r="I964" s="134" t="s">
        <v>3371</v>
      </c>
      <c r="J964" s="134" t="s">
        <v>3372</v>
      </c>
      <c r="K964" s="18" t="s">
        <v>570</v>
      </c>
      <c r="L964" s="134" t="s">
        <v>570</v>
      </c>
      <c r="M964" s="134" t="s">
        <v>570</v>
      </c>
      <c r="N964" s="135" t="s">
        <v>570</v>
      </c>
      <c r="O964" s="134" t="s">
        <v>570</v>
      </c>
      <c r="P964" s="449"/>
      <c r="Q964" s="179"/>
      <c r="R964" s="179"/>
      <c r="S964" s="179"/>
      <c r="T964" s="500" t="e">
        <f>_xlfn.XLOOKUP(H964,#REF!,#REF!,0,0)</f>
        <v>#REF!</v>
      </c>
    </row>
    <row r="965" spans="1:20" x14ac:dyDescent="0.4">
      <c r="A965" s="135" t="s">
        <v>570</v>
      </c>
      <c r="B965" s="134" t="s">
        <v>3373</v>
      </c>
      <c r="C965" s="134"/>
      <c r="D965" s="134" t="s">
        <v>567</v>
      </c>
      <c r="E965" s="18" t="s">
        <v>3352</v>
      </c>
      <c r="F965" s="10">
        <v>41892</v>
      </c>
      <c r="G965" s="18" t="s">
        <v>3374</v>
      </c>
      <c r="H965" s="18">
        <v>59178</v>
      </c>
      <c r="I965" s="134" t="s">
        <v>3375</v>
      </c>
      <c r="J965" s="134" t="s">
        <v>3376</v>
      </c>
      <c r="K965" s="18" t="s">
        <v>570</v>
      </c>
      <c r="L965" s="134" t="s">
        <v>570</v>
      </c>
      <c r="M965" s="134" t="s">
        <v>570</v>
      </c>
      <c r="N965" s="135" t="s">
        <v>570</v>
      </c>
      <c r="O965" s="134" t="s">
        <v>570</v>
      </c>
      <c r="P965" s="449"/>
      <c r="Q965" s="179"/>
      <c r="R965" s="179"/>
      <c r="S965" s="179"/>
      <c r="T965" s="500" t="e">
        <f>_xlfn.XLOOKUP(H965,#REF!,#REF!,0,0)</f>
        <v>#REF!</v>
      </c>
    </row>
    <row r="966" spans="1:20" x14ac:dyDescent="0.4">
      <c r="A966" s="135" t="s">
        <v>570</v>
      </c>
      <c r="B966" s="134" t="s">
        <v>3377</v>
      </c>
      <c r="C966" s="134"/>
      <c r="D966" s="134" t="s">
        <v>567</v>
      </c>
      <c r="E966" s="18" t="s">
        <v>3352</v>
      </c>
      <c r="F966" s="10">
        <v>41908</v>
      </c>
      <c r="G966" s="18" t="s">
        <v>3378</v>
      </c>
      <c r="H966" s="18">
        <v>59273</v>
      </c>
      <c r="I966" s="134" t="s">
        <v>3379</v>
      </c>
      <c r="J966" s="134" t="s">
        <v>3380</v>
      </c>
      <c r="K966" s="18" t="s">
        <v>570</v>
      </c>
      <c r="L966" s="134" t="s">
        <v>570</v>
      </c>
      <c r="M966" s="134" t="s">
        <v>570</v>
      </c>
      <c r="N966" s="135" t="s">
        <v>570</v>
      </c>
      <c r="O966" s="134" t="s">
        <v>570</v>
      </c>
      <c r="P966" s="449"/>
      <c r="Q966" s="179"/>
      <c r="R966" s="179"/>
      <c r="S966" s="179"/>
      <c r="T966" s="500" t="e">
        <f>_xlfn.XLOOKUP(H966,#REF!,#REF!,0,0)</f>
        <v>#REF!</v>
      </c>
    </row>
    <row r="967" spans="1:20" x14ac:dyDescent="0.4">
      <c r="A967" s="135" t="s">
        <v>570</v>
      </c>
      <c r="B967" s="134" t="s">
        <v>3381</v>
      </c>
      <c r="C967" s="134"/>
      <c r="D967" s="134" t="s">
        <v>567</v>
      </c>
      <c r="E967" s="18" t="s">
        <v>3352</v>
      </c>
      <c r="F967" s="10">
        <v>41908</v>
      </c>
      <c r="G967" s="18" t="s">
        <v>3382</v>
      </c>
      <c r="H967" s="18">
        <v>59274</v>
      </c>
      <c r="I967" s="134" t="s">
        <v>3383</v>
      </c>
      <c r="J967" s="134" t="s">
        <v>3384</v>
      </c>
      <c r="K967" s="18" t="s">
        <v>570</v>
      </c>
      <c r="L967" s="134" t="s">
        <v>570</v>
      </c>
      <c r="M967" s="134" t="s">
        <v>570</v>
      </c>
      <c r="N967" s="135" t="s">
        <v>570</v>
      </c>
      <c r="O967" s="134" t="s">
        <v>570</v>
      </c>
      <c r="P967" s="449"/>
      <c r="Q967" s="179"/>
      <c r="R967" s="179"/>
      <c r="S967" s="179"/>
      <c r="T967" s="500" t="e">
        <f>_xlfn.XLOOKUP(H967,#REF!,#REF!,0,0)</f>
        <v>#REF!</v>
      </c>
    </row>
    <row r="968" spans="1:20" x14ac:dyDescent="0.4">
      <c r="A968" s="135" t="s">
        <v>570</v>
      </c>
      <c r="B968" s="134" t="s">
        <v>3385</v>
      </c>
      <c r="C968" s="134"/>
      <c r="D968" s="134" t="s">
        <v>567</v>
      </c>
      <c r="E968" s="18" t="s">
        <v>3352</v>
      </c>
      <c r="F968" s="10">
        <v>41932</v>
      </c>
      <c r="G968" s="18" t="s">
        <v>3386</v>
      </c>
      <c r="H968" s="18">
        <v>59402</v>
      </c>
      <c r="I968" s="134" t="s">
        <v>3387</v>
      </c>
      <c r="J968" s="134" t="s">
        <v>3388</v>
      </c>
      <c r="K968" s="18" t="s">
        <v>570</v>
      </c>
      <c r="L968" s="134" t="s">
        <v>570</v>
      </c>
      <c r="M968" s="134" t="s">
        <v>570</v>
      </c>
      <c r="N968" s="135" t="s">
        <v>570</v>
      </c>
      <c r="O968" s="134" t="s">
        <v>570</v>
      </c>
      <c r="P968" s="449"/>
      <c r="Q968" s="179"/>
      <c r="R968" s="179"/>
      <c r="S968" s="179"/>
      <c r="T968" s="500" t="e">
        <f>_xlfn.XLOOKUP(H968,#REF!,#REF!,0,0)</f>
        <v>#REF!</v>
      </c>
    </row>
    <row r="969" spans="1:20" x14ac:dyDescent="0.4">
      <c r="A969" s="135" t="s">
        <v>570</v>
      </c>
      <c r="B969" s="134" t="s">
        <v>3389</v>
      </c>
      <c r="C969" s="134"/>
      <c r="D969" s="134" t="s">
        <v>567</v>
      </c>
      <c r="E969" s="18" t="s">
        <v>3352</v>
      </c>
      <c r="F969" s="10">
        <v>41932</v>
      </c>
      <c r="G969" s="18" t="s">
        <v>3390</v>
      </c>
      <c r="H969" s="18">
        <v>59403</v>
      </c>
      <c r="I969" s="134" t="s">
        <v>3391</v>
      </c>
      <c r="J969" s="134" t="s">
        <v>3392</v>
      </c>
      <c r="K969" s="18" t="s">
        <v>570</v>
      </c>
      <c r="L969" s="134" t="s">
        <v>570</v>
      </c>
      <c r="M969" s="134" t="s">
        <v>570</v>
      </c>
      <c r="N969" s="135" t="s">
        <v>570</v>
      </c>
      <c r="O969" s="134" t="s">
        <v>570</v>
      </c>
      <c r="P969" s="449"/>
      <c r="Q969" s="179"/>
      <c r="R969" s="179"/>
      <c r="S969" s="179"/>
      <c r="T969" s="500" t="e">
        <f>_xlfn.XLOOKUP(H969,#REF!,#REF!,0,0)</f>
        <v>#REF!</v>
      </c>
    </row>
    <row r="970" spans="1:20" x14ac:dyDescent="0.4">
      <c r="A970" s="135" t="s">
        <v>570</v>
      </c>
      <c r="B970" s="18" t="s">
        <v>3393</v>
      </c>
      <c r="C970" s="18"/>
      <c r="D970" s="134" t="s">
        <v>567</v>
      </c>
      <c r="E970" s="18" t="s">
        <v>3352</v>
      </c>
      <c r="F970" s="10">
        <v>41935</v>
      </c>
      <c r="G970" s="18" t="s">
        <v>3394</v>
      </c>
      <c r="H970" s="18">
        <v>59408</v>
      </c>
      <c r="I970" s="134" t="s">
        <v>3395</v>
      </c>
      <c r="J970" s="18" t="s">
        <v>3396</v>
      </c>
      <c r="K970" s="18" t="s">
        <v>570</v>
      </c>
      <c r="L970" s="134" t="s">
        <v>570</v>
      </c>
      <c r="M970" s="134" t="s">
        <v>570</v>
      </c>
      <c r="N970" s="135" t="s">
        <v>570</v>
      </c>
      <c r="O970" s="134" t="s">
        <v>570</v>
      </c>
      <c r="P970" s="449"/>
      <c r="Q970" s="179"/>
      <c r="R970" s="179"/>
      <c r="S970" s="179"/>
      <c r="T970" s="500" t="e">
        <f>_xlfn.XLOOKUP(H970,#REF!,#REF!,0,0)</f>
        <v>#REF!</v>
      </c>
    </row>
    <row r="971" spans="1:20" x14ac:dyDescent="0.4">
      <c r="A971" s="135" t="s">
        <v>570</v>
      </c>
      <c r="B971" s="18" t="s">
        <v>3397</v>
      </c>
      <c r="C971" s="18"/>
      <c r="D971" s="134" t="s">
        <v>567</v>
      </c>
      <c r="E971" s="18" t="s">
        <v>3352</v>
      </c>
      <c r="F971" s="10">
        <v>41935</v>
      </c>
      <c r="G971" s="18" t="s">
        <v>3398</v>
      </c>
      <c r="H971" s="18">
        <v>59409</v>
      </c>
      <c r="I971" s="134" t="s">
        <v>3399</v>
      </c>
      <c r="J971" s="18" t="s">
        <v>3400</v>
      </c>
      <c r="K971" s="18" t="s">
        <v>570</v>
      </c>
      <c r="L971" s="134" t="s">
        <v>570</v>
      </c>
      <c r="M971" s="134" t="s">
        <v>570</v>
      </c>
      <c r="N971" s="135" t="s">
        <v>570</v>
      </c>
      <c r="O971" s="134" t="s">
        <v>570</v>
      </c>
      <c r="P971" s="449"/>
      <c r="Q971" s="179"/>
      <c r="R971" s="179"/>
      <c r="S971" s="179"/>
      <c r="T971" s="500" t="e">
        <f>_xlfn.XLOOKUP(H971,#REF!,#REF!,0,0)</f>
        <v>#REF!</v>
      </c>
    </row>
    <row r="972" spans="1:20" x14ac:dyDescent="0.4">
      <c r="A972" s="135" t="s">
        <v>570</v>
      </c>
      <c r="B972" s="18" t="s">
        <v>3401</v>
      </c>
      <c r="C972" s="18"/>
      <c r="D972" s="134" t="s">
        <v>567</v>
      </c>
      <c r="E972" s="18" t="s">
        <v>3352</v>
      </c>
      <c r="F972" s="134">
        <v>41935</v>
      </c>
      <c r="G972" s="18" t="s">
        <v>3402</v>
      </c>
      <c r="H972" s="18">
        <v>59410</v>
      </c>
      <c r="I972" s="134" t="s">
        <v>3403</v>
      </c>
      <c r="J972" s="18" t="s">
        <v>3404</v>
      </c>
      <c r="K972" s="18" t="s">
        <v>570</v>
      </c>
      <c r="L972" s="134" t="s">
        <v>570</v>
      </c>
      <c r="M972" s="134" t="s">
        <v>570</v>
      </c>
      <c r="N972" s="135" t="s">
        <v>570</v>
      </c>
      <c r="O972" s="134" t="s">
        <v>570</v>
      </c>
      <c r="P972" s="449"/>
      <c r="Q972" s="179"/>
      <c r="R972" s="179"/>
      <c r="S972" s="179"/>
      <c r="T972" s="500" t="e">
        <f>_xlfn.XLOOKUP(H972,#REF!,#REF!,0,0)</f>
        <v>#REF!</v>
      </c>
    </row>
    <row r="973" spans="1:20" x14ac:dyDescent="0.4">
      <c r="A973" s="135" t="s">
        <v>570</v>
      </c>
      <c r="B973" s="18" t="s">
        <v>3405</v>
      </c>
      <c r="C973" s="18"/>
      <c r="D973" s="134" t="s">
        <v>567</v>
      </c>
      <c r="E973" s="18" t="s">
        <v>3352</v>
      </c>
      <c r="F973" s="10">
        <v>41935</v>
      </c>
      <c r="G973" s="18" t="s">
        <v>3406</v>
      </c>
      <c r="H973" s="18">
        <v>59411</v>
      </c>
      <c r="I973" s="134" t="s">
        <v>3407</v>
      </c>
      <c r="J973" s="18" t="s">
        <v>3408</v>
      </c>
      <c r="K973" s="18" t="s">
        <v>570</v>
      </c>
      <c r="L973" s="134" t="s">
        <v>570</v>
      </c>
      <c r="M973" s="134" t="s">
        <v>570</v>
      </c>
      <c r="N973" s="135" t="s">
        <v>570</v>
      </c>
      <c r="O973" s="134" t="s">
        <v>570</v>
      </c>
      <c r="P973" s="449"/>
      <c r="Q973" s="179"/>
      <c r="R973" s="179"/>
      <c r="S973" s="179"/>
      <c r="T973" s="500" t="e">
        <f>_xlfn.XLOOKUP(H973,#REF!,#REF!,0,0)</f>
        <v>#REF!</v>
      </c>
    </row>
    <row r="974" spans="1:20" x14ac:dyDescent="0.4">
      <c r="A974" s="135" t="s">
        <v>570</v>
      </c>
      <c r="B974" s="18" t="s">
        <v>3409</v>
      </c>
      <c r="C974" s="18"/>
      <c r="D974" s="134" t="s">
        <v>567</v>
      </c>
      <c r="E974" s="18" t="s">
        <v>3352</v>
      </c>
      <c r="F974" s="10">
        <v>41935</v>
      </c>
      <c r="G974" s="18" t="s">
        <v>3410</v>
      </c>
      <c r="H974" s="18">
        <v>59412</v>
      </c>
      <c r="I974" s="134" t="s">
        <v>3411</v>
      </c>
      <c r="J974" s="18" t="s">
        <v>3412</v>
      </c>
      <c r="K974" s="18" t="s">
        <v>570</v>
      </c>
      <c r="L974" s="134" t="s">
        <v>570</v>
      </c>
      <c r="M974" s="134" t="s">
        <v>570</v>
      </c>
      <c r="N974" s="135" t="s">
        <v>570</v>
      </c>
      <c r="O974" s="134" t="s">
        <v>570</v>
      </c>
      <c r="P974" s="449"/>
      <c r="Q974" s="179"/>
      <c r="R974" s="179"/>
      <c r="S974" s="179"/>
      <c r="T974" s="500" t="e">
        <f>_xlfn.XLOOKUP(H974,#REF!,#REF!,0,0)</f>
        <v>#REF!</v>
      </c>
    </row>
    <row r="975" spans="1:20" x14ac:dyDescent="0.4">
      <c r="A975" s="135" t="s">
        <v>570</v>
      </c>
      <c r="B975" s="135" t="s">
        <v>3413</v>
      </c>
      <c r="C975" s="135"/>
      <c r="D975" s="135" t="s">
        <v>567</v>
      </c>
      <c r="E975" s="19" t="s">
        <v>3352</v>
      </c>
      <c r="F975" s="20">
        <v>42037</v>
      </c>
      <c r="G975" s="19" t="s">
        <v>3414</v>
      </c>
      <c r="H975" s="19">
        <v>59743</v>
      </c>
      <c r="I975" s="135"/>
      <c r="J975" s="135" t="s">
        <v>3415</v>
      </c>
      <c r="K975" s="18" t="s">
        <v>570</v>
      </c>
      <c r="L975" s="134" t="s">
        <v>570</v>
      </c>
      <c r="M975" s="134" t="s">
        <v>570</v>
      </c>
      <c r="N975" s="135" t="s">
        <v>570</v>
      </c>
      <c r="O975" s="134" t="s">
        <v>570</v>
      </c>
      <c r="P975" s="449"/>
      <c r="Q975" s="179"/>
      <c r="R975" s="179"/>
      <c r="S975" s="179"/>
      <c r="T975" s="500" t="e">
        <f>_xlfn.XLOOKUP(H975,#REF!,#REF!,0,0)</f>
        <v>#REF!</v>
      </c>
    </row>
    <row r="976" spans="1:20" x14ac:dyDescent="0.4">
      <c r="A976" s="135" t="s">
        <v>570</v>
      </c>
      <c r="B976" s="135" t="s">
        <v>3413</v>
      </c>
      <c r="C976" s="135"/>
      <c r="D976" s="135" t="s">
        <v>567</v>
      </c>
      <c r="E976" s="19" t="s">
        <v>3352</v>
      </c>
      <c r="F976" s="20">
        <v>42037</v>
      </c>
      <c r="G976" s="19" t="s">
        <v>3416</v>
      </c>
      <c r="H976" s="19">
        <v>59744</v>
      </c>
      <c r="I976" s="135"/>
      <c r="J976" s="135" t="s">
        <v>3417</v>
      </c>
      <c r="K976" s="18" t="s">
        <v>570</v>
      </c>
      <c r="L976" s="134" t="s">
        <v>570</v>
      </c>
      <c r="M976" s="134" t="s">
        <v>570</v>
      </c>
      <c r="N976" s="135" t="s">
        <v>570</v>
      </c>
      <c r="O976" s="134" t="s">
        <v>570</v>
      </c>
      <c r="P976" s="449"/>
      <c r="Q976" s="179"/>
      <c r="R976" s="179"/>
      <c r="S976" s="179"/>
      <c r="T976" s="500" t="e">
        <f>_xlfn.XLOOKUP(H976,#REF!,#REF!,0,0)</f>
        <v>#REF!</v>
      </c>
    </row>
    <row r="977" spans="1:20" x14ac:dyDescent="0.4">
      <c r="A977" s="135" t="s">
        <v>570</v>
      </c>
      <c r="B977" s="135" t="s">
        <v>3413</v>
      </c>
      <c r="C977" s="135"/>
      <c r="D977" s="135" t="s">
        <v>567</v>
      </c>
      <c r="E977" s="19" t="s">
        <v>3352</v>
      </c>
      <c r="F977" s="20">
        <v>42037</v>
      </c>
      <c r="G977" s="19" t="s">
        <v>3418</v>
      </c>
      <c r="H977" s="19">
        <v>59745</v>
      </c>
      <c r="I977" s="135"/>
      <c r="J977" s="135" t="s">
        <v>3419</v>
      </c>
      <c r="K977" s="18" t="s">
        <v>570</v>
      </c>
      <c r="L977" s="134" t="s">
        <v>570</v>
      </c>
      <c r="M977" s="134" t="s">
        <v>570</v>
      </c>
      <c r="N977" s="135" t="s">
        <v>570</v>
      </c>
      <c r="O977" s="134" t="s">
        <v>570</v>
      </c>
      <c r="P977" s="449"/>
      <c r="Q977" s="179"/>
      <c r="R977" s="179"/>
      <c r="S977" s="179"/>
      <c r="T977" s="500" t="e">
        <f>_xlfn.XLOOKUP(H977,#REF!,#REF!,0,0)</f>
        <v>#REF!</v>
      </c>
    </row>
    <row r="978" spans="1:20" x14ac:dyDescent="0.4">
      <c r="A978" s="135" t="s">
        <v>570</v>
      </c>
      <c r="B978" s="135" t="s">
        <v>3413</v>
      </c>
      <c r="C978" s="135"/>
      <c r="D978" s="135" t="s">
        <v>567</v>
      </c>
      <c r="E978" s="19" t="s">
        <v>3352</v>
      </c>
      <c r="F978" s="20">
        <v>42037</v>
      </c>
      <c r="G978" s="19" t="s">
        <v>3420</v>
      </c>
      <c r="H978" s="19">
        <v>59746</v>
      </c>
      <c r="I978" s="135"/>
      <c r="J978" s="135" t="s">
        <v>3421</v>
      </c>
      <c r="K978" s="18" t="s">
        <v>570</v>
      </c>
      <c r="L978" s="134" t="s">
        <v>570</v>
      </c>
      <c r="M978" s="134" t="s">
        <v>570</v>
      </c>
      <c r="N978" s="135" t="s">
        <v>570</v>
      </c>
      <c r="O978" s="134" t="s">
        <v>570</v>
      </c>
      <c r="P978" s="449"/>
      <c r="Q978" s="179"/>
      <c r="R978" s="179"/>
      <c r="S978" s="179"/>
      <c r="T978" s="500" t="e">
        <f>_xlfn.XLOOKUP(H978,#REF!,#REF!,0,0)</f>
        <v>#REF!</v>
      </c>
    </row>
    <row r="979" spans="1:20" x14ac:dyDescent="0.4">
      <c r="A979" s="135" t="s">
        <v>570</v>
      </c>
      <c r="B979" s="135" t="s">
        <v>3413</v>
      </c>
      <c r="C979" s="135"/>
      <c r="D979" s="135" t="s">
        <v>567</v>
      </c>
      <c r="E979" s="19" t="s">
        <v>3352</v>
      </c>
      <c r="F979" s="20">
        <v>42037</v>
      </c>
      <c r="G979" s="19" t="s">
        <v>3422</v>
      </c>
      <c r="H979" s="19">
        <v>59747</v>
      </c>
      <c r="I979" s="135"/>
      <c r="J979" s="135" t="s">
        <v>3423</v>
      </c>
      <c r="K979" s="18" t="s">
        <v>570</v>
      </c>
      <c r="L979" s="134" t="s">
        <v>570</v>
      </c>
      <c r="M979" s="134" t="s">
        <v>570</v>
      </c>
      <c r="N979" s="135" t="s">
        <v>570</v>
      </c>
      <c r="O979" s="134" t="s">
        <v>570</v>
      </c>
      <c r="P979" s="449"/>
      <c r="Q979" s="179"/>
      <c r="R979" s="179"/>
      <c r="S979" s="179"/>
      <c r="T979" s="500" t="e">
        <f>_xlfn.XLOOKUP(H979,#REF!,#REF!,0,0)</f>
        <v>#REF!</v>
      </c>
    </row>
    <row r="980" spans="1:20" x14ac:dyDescent="0.4">
      <c r="A980" s="135" t="s">
        <v>570</v>
      </c>
      <c r="B980" s="135" t="s">
        <v>3413</v>
      </c>
      <c r="C980" s="135"/>
      <c r="D980" s="135" t="s">
        <v>567</v>
      </c>
      <c r="E980" s="19" t="s">
        <v>3352</v>
      </c>
      <c r="F980" s="20">
        <v>42037</v>
      </c>
      <c r="G980" s="19" t="s">
        <v>3424</v>
      </c>
      <c r="H980" s="19">
        <v>59882</v>
      </c>
      <c r="I980" s="135"/>
      <c r="J980" s="135"/>
      <c r="K980" s="18" t="s">
        <v>570</v>
      </c>
      <c r="L980" s="134" t="s">
        <v>570</v>
      </c>
      <c r="M980" s="134" t="s">
        <v>570</v>
      </c>
      <c r="N980" s="135" t="s">
        <v>570</v>
      </c>
      <c r="O980" s="134" t="s">
        <v>570</v>
      </c>
      <c r="P980" s="449"/>
      <c r="Q980" s="179"/>
      <c r="R980" s="179"/>
      <c r="S980" s="179"/>
      <c r="T980" s="500" t="e">
        <f>_xlfn.XLOOKUP(H980,#REF!,#REF!,0,0)</f>
        <v>#REF!</v>
      </c>
    </row>
    <row r="981" spans="1:20" x14ac:dyDescent="0.4">
      <c r="A981" s="135" t="s">
        <v>570</v>
      </c>
      <c r="B981" s="135" t="s">
        <v>3425</v>
      </c>
      <c r="C981" s="135"/>
      <c r="D981" s="135" t="s">
        <v>567</v>
      </c>
      <c r="E981" s="19" t="s">
        <v>3352</v>
      </c>
      <c r="F981" s="20">
        <v>42136</v>
      </c>
      <c r="G981" s="19" t="s">
        <v>3426</v>
      </c>
      <c r="H981" s="19">
        <v>60012</v>
      </c>
      <c r="I981" s="135" t="s">
        <v>3427</v>
      </c>
      <c r="J981" s="135" t="s">
        <v>3428</v>
      </c>
      <c r="K981" s="18" t="s">
        <v>570</v>
      </c>
      <c r="L981" s="134" t="s">
        <v>570</v>
      </c>
      <c r="M981" s="134" t="s">
        <v>570</v>
      </c>
      <c r="N981" s="135" t="s">
        <v>570</v>
      </c>
      <c r="O981" s="134" t="s">
        <v>570</v>
      </c>
      <c r="P981" s="449"/>
      <c r="Q981" s="179"/>
      <c r="R981" s="179"/>
      <c r="S981" s="179"/>
      <c r="T981" s="500" t="e">
        <f>_xlfn.XLOOKUP(H981,#REF!,#REF!,0,0)</f>
        <v>#REF!</v>
      </c>
    </row>
    <row r="982" spans="1:20" x14ac:dyDescent="0.4">
      <c r="A982" s="135" t="s">
        <v>570</v>
      </c>
      <c r="B982" s="135" t="s">
        <v>3429</v>
      </c>
      <c r="C982" s="135"/>
      <c r="D982" s="135" t="s">
        <v>567</v>
      </c>
      <c r="E982" s="19" t="s">
        <v>13</v>
      </c>
      <c r="F982" s="20">
        <v>42173</v>
      </c>
      <c r="G982" s="19" t="s">
        <v>3430</v>
      </c>
      <c r="H982" s="19">
        <v>60162</v>
      </c>
      <c r="I982" s="134" t="s">
        <v>3431</v>
      </c>
      <c r="J982" s="135" t="s">
        <v>3432</v>
      </c>
      <c r="K982" s="18" t="s">
        <v>570</v>
      </c>
      <c r="L982" s="134" t="s">
        <v>570</v>
      </c>
      <c r="M982" s="134" t="s">
        <v>570</v>
      </c>
      <c r="N982" s="135" t="s">
        <v>570</v>
      </c>
      <c r="O982" s="134" t="s">
        <v>570</v>
      </c>
      <c r="P982" s="449"/>
      <c r="Q982" s="179"/>
      <c r="R982" s="179"/>
      <c r="S982" s="179"/>
      <c r="T982" s="500" t="e">
        <f>_xlfn.XLOOKUP(H982,#REF!,#REF!,0,0)</f>
        <v>#REF!</v>
      </c>
    </row>
    <row r="983" spans="1:20" x14ac:dyDescent="0.4">
      <c r="A983" s="135" t="s">
        <v>570</v>
      </c>
      <c r="B983" s="135" t="s">
        <v>3433</v>
      </c>
      <c r="C983" s="135"/>
      <c r="D983" s="135" t="s">
        <v>567</v>
      </c>
      <c r="E983" s="19" t="s">
        <v>13</v>
      </c>
      <c r="F983" s="20">
        <v>42173</v>
      </c>
      <c r="G983" s="19" t="s">
        <v>3434</v>
      </c>
      <c r="H983" s="19">
        <v>60161</v>
      </c>
      <c r="I983" s="135" t="s">
        <v>3435</v>
      </c>
      <c r="J983" s="135" t="s">
        <v>3436</v>
      </c>
      <c r="K983" s="18" t="s">
        <v>570</v>
      </c>
      <c r="L983" s="134" t="s">
        <v>570</v>
      </c>
      <c r="M983" s="134" t="s">
        <v>570</v>
      </c>
      <c r="N983" s="135" t="s">
        <v>570</v>
      </c>
      <c r="O983" s="134" t="s">
        <v>570</v>
      </c>
      <c r="P983" s="449"/>
      <c r="Q983" s="179"/>
      <c r="R983" s="179"/>
      <c r="S983" s="179"/>
      <c r="T983" s="500" t="e">
        <f>_xlfn.XLOOKUP(H983,#REF!,#REF!,0,0)</f>
        <v>#REF!</v>
      </c>
    </row>
    <row r="984" spans="1:20" x14ac:dyDescent="0.4">
      <c r="A984" s="135" t="s">
        <v>570</v>
      </c>
      <c r="B984" s="135" t="s">
        <v>3437</v>
      </c>
      <c r="C984" s="135"/>
      <c r="D984" s="135" t="s">
        <v>567</v>
      </c>
      <c r="E984" s="19" t="s">
        <v>13</v>
      </c>
      <c r="F984" s="135">
        <v>42173</v>
      </c>
      <c r="G984" s="19" t="s">
        <v>14</v>
      </c>
      <c r="H984" s="19">
        <v>60160</v>
      </c>
      <c r="I984" s="135" t="s">
        <v>3438</v>
      </c>
      <c r="J984" s="135" t="s">
        <v>3439</v>
      </c>
      <c r="K984" s="18" t="s">
        <v>570</v>
      </c>
      <c r="L984" s="134" t="s">
        <v>570</v>
      </c>
      <c r="M984" s="134" t="s">
        <v>570</v>
      </c>
      <c r="N984" s="135" t="s">
        <v>570</v>
      </c>
      <c r="O984" s="134" t="s">
        <v>570</v>
      </c>
      <c r="P984" s="449"/>
      <c r="Q984" s="179"/>
      <c r="R984" s="179"/>
      <c r="S984" s="179"/>
      <c r="T984" s="500" t="e">
        <f>_xlfn.XLOOKUP(H984,#REF!,#REF!,0,0)</f>
        <v>#REF!</v>
      </c>
    </row>
    <row r="985" spans="1:20" x14ac:dyDescent="0.4">
      <c r="A985" s="135" t="s">
        <v>570</v>
      </c>
      <c r="B985" s="135" t="s">
        <v>3440</v>
      </c>
      <c r="C985" s="135"/>
      <c r="D985" s="135" t="s">
        <v>567</v>
      </c>
      <c r="E985" s="19" t="s">
        <v>13</v>
      </c>
      <c r="F985" s="20">
        <v>42173</v>
      </c>
      <c r="G985" s="19" t="s">
        <v>3441</v>
      </c>
      <c r="H985" s="19">
        <v>60154</v>
      </c>
      <c r="I985" s="135" t="s">
        <v>3442</v>
      </c>
      <c r="J985" s="135" t="s">
        <v>3443</v>
      </c>
      <c r="K985" s="18" t="s">
        <v>570</v>
      </c>
      <c r="L985" s="134" t="s">
        <v>570</v>
      </c>
      <c r="M985" s="134" t="s">
        <v>570</v>
      </c>
      <c r="N985" s="135" t="s">
        <v>570</v>
      </c>
      <c r="O985" s="134" t="s">
        <v>570</v>
      </c>
      <c r="P985" s="449"/>
      <c r="Q985" s="179"/>
      <c r="R985" s="179"/>
      <c r="S985" s="179"/>
      <c r="T985" s="500" t="e">
        <f>_xlfn.XLOOKUP(H985,#REF!,#REF!,0,0)</f>
        <v>#REF!</v>
      </c>
    </row>
    <row r="986" spans="1:20" x14ac:dyDescent="0.4">
      <c r="A986" s="135" t="s">
        <v>570</v>
      </c>
      <c r="B986" s="135" t="s">
        <v>3444</v>
      </c>
      <c r="C986" s="135"/>
      <c r="D986" s="135" t="s">
        <v>567</v>
      </c>
      <c r="E986" s="19" t="s">
        <v>13</v>
      </c>
      <c r="F986" s="135">
        <v>42173</v>
      </c>
      <c r="G986" s="19" t="s">
        <v>3445</v>
      </c>
      <c r="H986" s="19">
        <v>60159</v>
      </c>
      <c r="I986" s="135" t="s">
        <v>3446</v>
      </c>
      <c r="J986" s="135" t="s">
        <v>3447</v>
      </c>
      <c r="K986" s="18" t="s">
        <v>570</v>
      </c>
      <c r="L986" s="134" t="s">
        <v>570</v>
      </c>
      <c r="M986" s="134" t="s">
        <v>570</v>
      </c>
      <c r="N986" s="135" t="s">
        <v>570</v>
      </c>
      <c r="O986" s="134" t="s">
        <v>570</v>
      </c>
      <c r="P986" s="449"/>
      <c r="Q986" s="179"/>
      <c r="R986" s="179"/>
      <c r="S986" s="179"/>
      <c r="T986" s="500" t="e">
        <f>_xlfn.XLOOKUP(H986,#REF!,#REF!,0,0)</f>
        <v>#REF!</v>
      </c>
    </row>
    <row r="987" spans="1:20" x14ac:dyDescent="0.4">
      <c r="A987" s="135" t="s">
        <v>570</v>
      </c>
      <c r="B987" s="135" t="s">
        <v>3448</v>
      </c>
      <c r="C987" s="135"/>
      <c r="D987" s="135" t="s">
        <v>567</v>
      </c>
      <c r="E987" s="19" t="s">
        <v>13</v>
      </c>
      <c r="F987" s="135">
        <v>42173</v>
      </c>
      <c r="G987" s="19" t="s">
        <v>3449</v>
      </c>
      <c r="H987" s="19">
        <v>60157</v>
      </c>
      <c r="I987" s="135" t="s">
        <v>3450</v>
      </c>
      <c r="J987" s="135" t="s">
        <v>3451</v>
      </c>
      <c r="K987" s="18" t="s">
        <v>570</v>
      </c>
      <c r="L987" s="134" t="s">
        <v>570</v>
      </c>
      <c r="M987" s="134" t="s">
        <v>570</v>
      </c>
      <c r="N987" s="135" t="s">
        <v>570</v>
      </c>
      <c r="O987" s="134" t="s">
        <v>570</v>
      </c>
      <c r="P987" s="449"/>
      <c r="Q987" s="179"/>
      <c r="R987" s="179"/>
      <c r="S987" s="179"/>
      <c r="T987" s="500" t="e">
        <f>_xlfn.XLOOKUP(H987,#REF!,#REF!,0,0)</f>
        <v>#REF!</v>
      </c>
    </row>
    <row r="988" spans="1:20" x14ac:dyDescent="0.4">
      <c r="A988" s="135" t="s">
        <v>570</v>
      </c>
      <c r="B988" s="135" t="s">
        <v>3452</v>
      </c>
      <c r="C988" s="135"/>
      <c r="D988" s="135" t="s">
        <v>567</v>
      </c>
      <c r="E988" s="19" t="s">
        <v>13</v>
      </c>
      <c r="F988" s="20">
        <v>42173</v>
      </c>
      <c r="G988" s="19" t="s">
        <v>3453</v>
      </c>
      <c r="H988" s="19">
        <v>60216</v>
      </c>
      <c r="I988" s="135" t="s">
        <v>3454</v>
      </c>
      <c r="J988" s="135" t="s">
        <v>3455</v>
      </c>
      <c r="K988" s="18" t="s">
        <v>570</v>
      </c>
      <c r="L988" s="134" t="s">
        <v>570</v>
      </c>
      <c r="M988" s="134" t="s">
        <v>570</v>
      </c>
      <c r="N988" s="135" t="s">
        <v>570</v>
      </c>
      <c r="O988" s="134" t="s">
        <v>570</v>
      </c>
      <c r="P988" s="449"/>
      <c r="Q988" s="179"/>
      <c r="R988" s="179"/>
      <c r="S988" s="179"/>
      <c r="T988" s="500" t="e">
        <f>_xlfn.XLOOKUP(H988,#REF!,#REF!,0,0)</f>
        <v>#REF!</v>
      </c>
    </row>
    <row r="989" spans="1:20" x14ac:dyDescent="0.4">
      <c r="A989" s="135" t="s">
        <v>570</v>
      </c>
      <c r="B989" s="135" t="s">
        <v>3456</v>
      </c>
      <c r="C989" s="135"/>
      <c r="D989" s="135" t="s">
        <v>567</v>
      </c>
      <c r="E989" s="19" t="s">
        <v>13</v>
      </c>
      <c r="F989" s="135">
        <v>42173</v>
      </c>
      <c r="G989" s="19" t="s">
        <v>25</v>
      </c>
      <c r="H989" s="19">
        <v>60215</v>
      </c>
      <c r="I989" s="135" t="s">
        <v>3457</v>
      </c>
      <c r="J989" s="135" t="s">
        <v>3458</v>
      </c>
      <c r="K989" s="18" t="s">
        <v>570</v>
      </c>
      <c r="L989" s="134" t="s">
        <v>570</v>
      </c>
      <c r="M989" s="134" t="s">
        <v>570</v>
      </c>
      <c r="N989" s="135" t="s">
        <v>570</v>
      </c>
      <c r="O989" s="134" t="s">
        <v>570</v>
      </c>
      <c r="P989" s="449"/>
      <c r="Q989" s="179"/>
      <c r="R989" s="179"/>
      <c r="S989" s="179"/>
      <c r="T989" s="500" t="e">
        <f>_xlfn.XLOOKUP(H989,#REF!,#REF!,0,0)</f>
        <v>#REF!</v>
      </c>
    </row>
    <row r="990" spans="1:20" x14ac:dyDescent="0.4">
      <c r="A990" s="135" t="s">
        <v>570</v>
      </c>
      <c r="B990" s="135" t="s">
        <v>3459</v>
      </c>
      <c r="C990" s="135"/>
      <c r="D990" s="135" t="s">
        <v>567</v>
      </c>
      <c r="E990" s="19" t="s">
        <v>13</v>
      </c>
      <c r="F990" s="20">
        <v>42173</v>
      </c>
      <c r="G990" s="18" t="s">
        <v>12</v>
      </c>
      <c r="H990" s="18">
        <v>60158</v>
      </c>
      <c r="I990" s="135" t="s">
        <v>3460</v>
      </c>
      <c r="J990" s="135" t="s">
        <v>3461</v>
      </c>
      <c r="K990" s="18" t="s">
        <v>570</v>
      </c>
      <c r="L990" s="134" t="s">
        <v>570</v>
      </c>
      <c r="M990" s="134" t="s">
        <v>570</v>
      </c>
      <c r="N990" s="135" t="s">
        <v>570</v>
      </c>
      <c r="O990" s="134" t="s">
        <v>570</v>
      </c>
      <c r="P990" s="449"/>
      <c r="Q990" s="179"/>
      <c r="R990" s="179"/>
      <c r="S990" s="179"/>
      <c r="T990" s="500" t="e">
        <f>_xlfn.XLOOKUP(H990,#REF!,#REF!,0,0)</f>
        <v>#REF!</v>
      </c>
    </row>
    <row r="991" spans="1:20" x14ac:dyDescent="0.4">
      <c r="A991" s="135" t="s">
        <v>570</v>
      </c>
      <c r="B991" s="134" t="s">
        <v>3459</v>
      </c>
      <c r="C991" s="134"/>
      <c r="D991" s="134" t="s">
        <v>567</v>
      </c>
      <c r="E991" s="18" t="s">
        <v>13</v>
      </c>
      <c r="F991" s="135">
        <v>42173</v>
      </c>
      <c r="G991" s="18" t="s">
        <v>3462</v>
      </c>
      <c r="H991" s="18">
        <v>60156</v>
      </c>
      <c r="I991" s="135" t="s">
        <v>3463</v>
      </c>
      <c r="J991" s="135" t="s">
        <v>3464</v>
      </c>
      <c r="K991" s="18" t="s">
        <v>570</v>
      </c>
      <c r="L991" s="134" t="s">
        <v>570</v>
      </c>
      <c r="M991" s="134" t="s">
        <v>570</v>
      </c>
      <c r="N991" s="135" t="s">
        <v>570</v>
      </c>
      <c r="O991" s="134" t="s">
        <v>570</v>
      </c>
      <c r="P991" s="449"/>
      <c r="Q991" s="179"/>
      <c r="R991" s="179"/>
      <c r="S991" s="179"/>
      <c r="T991" s="500" t="e">
        <f>_xlfn.XLOOKUP(H991,#REF!,#REF!,0,0)</f>
        <v>#REF!</v>
      </c>
    </row>
    <row r="992" spans="1:20" x14ac:dyDescent="0.4">
      <c r="A992" s="135" t="s">
        <v>570</v>
      </c>
      <c r="B992" s="135" t="s">
        <v>3459</v>
      </c>
      <c r="C992" s="135"/>
      <c r="D992" s="135" t="s">
        <v>567</v>
      </c>
      <c r="E992" s="19" t="s">
        <v>13</v>
      </c>
      <c r="F992" s="20">
        <v>42173</v>
      </c>
      <c r="G992" s="19" t="s">
        <v>3465</v>
      </c>
      <c r="H992" s="19">
        <v>60155</v>
      </c>
      <c r="I992" s="135" t="s">
        <v>3466</v>
      </c>
      <c r="J992" s="135" t="s">
        <v>3467</v>
      </c>
      <c r="K992" s="18" t="s">
        <v>570</v>
      </c>
      <c r="L992" s="134" t="s">
        <v>570</v>
      </c>
      <c r="M992" s="134" t="s">
        <v>570</v>
      </c>
      <c r="N992" s="135" t="s">
        <v>570</v>
      </c>
      <c r="O992" s="134" t="s">
        <v>570</v>
      </c>
      <c r="P992" s="449"/>
      <c r="Q992" s="179"/>
      <c r="R992" s="179"/>
      <c r="S992" s="179"/>
      <c r="T992" s="500" t="e">
        <f>_xlfn.XLOOKUP(H992,#REF!,#REF!,0,0)</f>
        <v>#REF!</v>
      </c>
    </row>
    <row r="993" spans="1:20" x14ac:dyDescent="0.4">
      <c r="A993" s="135"/>
      <c r="B993" s="135" t="s">
        <v>3468</v>
      </c>
      <c r="C993" s="135"/>
      <c r="D993" s="135" t="s">
        <v>567</v>
      </c>
      <c r="E993" s="19" t="s">
        <v>13</v>
      </c>
      <c r="F993" s="135">
        <v>42349</v>
      </c>
      <c r="G993" s="19" t="s">
        <v>3469</v>
      </c>
      <c r="H993" s="19">
        <v>60656</v>
      </c>
      <c r="I993" s="135" t="s">
        <v>3470</v>
      </c>
      <c r="J993" s="135" t="s">
        <v>3471</v>
      </c>
      <c r="K993" s="19" t="s">
        <v>570</v>
      </c>
      <c r="L993" s="135" t="s">
        <v>570</v>
      </c>
      <c r="M993" s="135" t="s">
        <v>570</v>
      </c>
      <c r="N993" s="135" t="s">
        <v>570</v>
      </c>
      <c r="O993" s="135" t="s">
        <v>570</v>
      </c>
      <c r="P993" s="449"/>
      <c r="Q993" s="179"/>
      <c r="R993" s="179"/>
      <c r="S993" s="179"/>
      <c r="T993" s="500" t="e">
        <f>_xlfn.XLOOKUP(H993,#REF!,#REF!,0,0)</f>
        <v>#REF!</v>
      </c>
    </row>
    <row r="994" spans="1:20" x14ac:dyDescent="0.4">
      <c r="A994" s="164"/>
      <c r="B994" s="164" t="s">
        <v>3472</v>
      </c>
      <c r="C994" s="164"/>
      <c r="D994" s="164" t="s">
        <v>567</v>
      </c>
      <c r="E994" s="165" t="s">
        <v>13</v>
      </c>
      <c r="F994" s="200">
        <v>42173</v>
      </c>
      <c r="G994" s="165" t="s">
        <v>3473</v>
      </c>
      <c r="H994" s="165">
        <v>60153</v>
      </c>
      <c r="I994" s="164" t="s">
        <v>3474</v>
      </c>
      <c r="J994" s="164" t="s">
        <v>3475</v>
      </c>
      <c r="K994" s="165"/>
      <c r="L994" s="164"/>
      <c r="M994" s="164"/>
      <c r="N994" s="164"/>
      <c r="O994" s="164"/>
      <c r="P994" s="449"/>
      <c r="Q994" s="179"/>
      <c r="R994" s="179"/>
      <c r="S994" s="179"/>
      <c r="T994" s="500" t="e">
        <f>_xlfn.XLOOKUP(H994,#REF!,#REF!,0,0)</f>
        <v>#REF!</v>
      </c>
    </row>
    <row r="995" spans="1:20" x14ac:dyDescent="0.4">
      <c r="A995" s="129" t="s">
        <v>570</v>
      </c>
      <c r="B995" s="129" t="s">
        <v>3476</v>
      </c>
      <c r="C995" s="129"/>
      <c r="D995" s="129" t="s">
        <v>3477</v>
      </c>
      <c r="E995" s="130" t="s">
        <v>2201</v>
      </c>
      <c r="F995" s="129" t="s">
        <v>567</v>
      </c>
      <c r="G995" s="130" t="s">
        <v>789</v>
      </c>
      <c r="H995" s="130">
        <v>42705</v>
      </c>
      <c r="I995" s="129"/>
      <c r="J995" s="129">
        <v>64499</v>
      </c>
      <c r="K995" s="130"/>
      <c r="L995" s="129" t="s">
        <v>570</v>
      </c>
      <c r="M995" s="129" t="s">
        <v>570</v>
      </c>
      <c r="N995" s="129" t="s">
        <v>570</v>
      </c>
      <c r="O995" s="129" t="s">
        <v>570</v>
      </c>
      <c r="P995" s="409" t="s">
        <v>570</v>
      </c>
      <c r="Q995" s="179"/>
      <c r="R995" s="179"/>
      <c r="S995" s="179"/>
      <c r="T995" s="500" t="e">
        <f>_xlfn.XLOOKUP(H995,#REF!,#REF!,0,0)</f>
        <v>#REF!</v>
      </c>
    </row>
    <row r="996" spans="1:20" x14ac:dyDescent="0.4">
      <c r="A996" s="129" t="s">
        <v>570</v>
      </c>
      <c r="B996" s="129" t="s">
        <v>3478</v>
      </c>
      <c r="C996" s="129"/>
      <c r="D996" s="129" t="s">
        <v>3477</v>
      </c>
      <c r="E996" s="130" t="s">
        <v>2201</v>
      </c>
      <c r="F996" s="129" t="s">
        <v>567</v>
      </c>
      <c r="G996" s="130" t="s">
        <v>789</v>
      </c>
      <c r="H996" s="130">
        <v>42705</v>
      </c>
      <c r="I996" s="129"/>
      <c r="J996" s="129">
        <v>64500</v>
      </c>
      <c r="K996" s="130"/>
      <c r="L996" s="129" t="s">
        <v>570</v>
      </c>
      <c r="M996" s="129" t="s">
        <v>570</v>
      </c>
      <c r="N996" s="129" t="s">
        <v>570</v>
      </c>
      <c r="O996" s="129" t="s">
        <v>570</v>
      </c>
      <c r="P996" s="409" t="s">
        <v>570</v>
      </c>
      <c r="Q996" s="179"/>
      <c r="R996" s="179"/>
      <c r="S996" s="179"/>
      <c r="T996" s="500" t="e">
        <f>_xlfn.XLOOKUP(H996,#REF!,#REF!,0,0)</f>
        <v>#REF!</v>
      </c>
    </row>
    <row r="997" spans="1:20" x14ac:dyDescent="0.4">
      <c r="A997" s="129" t="s">
        <v>570</v>
      </c>
      <c r="B997" s="129" t="s">
        <v>3479</v>
      </c>
      <c r="C997" s="129"/>
      <c r="D997" s="129" t="s">
        <v>3477</v>
      </c>
      <c r="E997" s="130" t="s">
        <v>3480</v>
      </c>
      <c r="F997" s="129" t="s">
        <v>567</v>
      </c>
      <c r="G997" s="130" t="s">
        <v>789</v>
      </c>
      <c r="H997" s="130">
        <v>42705</v>
      </c>
      <c r="I997" s="129"/>
      <c r="J997" s="129">
        <v>64501</v>
      </c>
      <c r="K997" s="130"/>
      <c r="L997" s="129" t="s">
        <v>570</v>
      </c>
      <c r="M997" s="129" t="s">
        <v>570</v>
      </c>
      <c r="N997" s="129" t="s">
        <v>570</v>
      </c>
      <c r="O997" s="129" t="s">
        <v>570</v>
      </c>
      <c r="P997" s="409" t="s">
        <v>570</v>
      </c>
      <c r="Q997" s="179"/>
      <c r="R997" s="179"/>
      <c r="S997" s="179"/>
      <c r="T997" s="500" t="e">
        <f>_xlfn.XLOOKUP(H997,#REF!,#REF!,0,0)</f>
        <v>#REF!</v>
      </c>
    </row>
    <row r="998" spans="1:20" x14ac:dyDescent="0.4">
      <c r="A998" s="129" t="s">
        <v>570</v>
      </c>
      <c r="B998" s="129" t="s">
        <v>3481</v>
      </c>
      <c r="C998" s="129"/>
      <c r="D998" s="129" t="s">
        <v>2270</v>
      </c>
      <c r="E998" s="130"/>
      <c r="F998" s="129" t="s">
        <v>567</v>
      </c>
      <c r="G998" s="130" t="s">
        <v>789</v>
      </c>
      <c r="H998" s="130">
        <v>42789</v>
      </c>
      <c r="I998" s="129" t="s">
        <v>3482</v>
      </c>
      <c r="J998" s="129">
        <v>64603</v>
      </c>
      <c r="K998" s="130"/>
      <c r="L998" s="129" t="s">
        <v>570</v>
      </c>
      <c r="M998" s="129" t="s">
        <v>570</v>
      </c>
      <c r="N998" s="129" t="s">
        <v>570</v>
      </c>
      <c r="O998" s="129" t="s">
        <v>570</v>
      </c>
      <c r="P998" s="409" t="s">
        <v>570</v>
      </c>
      <c r="Q998" s="179"/>
      <c r="R998" s="179"/>
      <c r="S998" s="179"/>
      <c r="T998" s="500" t="e">
        <f>_xlfn.XLOOKUP(H998,#REF!,#REF!,0,0)</f>
        <v>#REF!</v>
      </c>
    </row>
    <row r="999" spans="1:20" x14ac:dyDescent="0.4">
      <c r="A999" s="129"/>
      <c r="B999" s="129" t="s">
        <v>680</v>
      </c>
      <c r="C999" s="129"/>
      <c r="D999" s="129" t="s">
        <v>788</v>
      </c>
      <c r="E999" s="130">
        <v>42794</v>
      </c>
      <c r="F999" s="129" t="s">
        <v>567</v>
      </c>
      <c r="G999" s="130" t="s">
        <v>789</v>
      </c>
      <c r="H999" s="130">
        <v>42706</v>
      </c>
      <c r="I999" s="129" t="s">
        <v>3483</v>
      </c>
      <c r="J999" s="129">
        <v>64496</v>
      </c>
      <c r="K999" s="130" t="s">
        <v>3484</v>
      </c>
      <c r="L999" s="129" t="s">
        <v>570</v>
      </c>
      <c r="M999" s="129" t="s">
        <v>570</v>
      </c>
      <c r="N999" s="129" t="s">
        <v>570</v>
      </c>
      <c r="O999" s="129" t="s">
        <v>570</v>
      </c>
      <c r="P999" s="409" t="s">
        <v>570</v>
      </c>
      <c r="Q999" s="179"/>
      <c r="R999" s="179"/>
      <c r="S999" s="179"/>
      <c r="T999" s="500" t="e">
        <f>_xlfn.XLOOKUP(H999,#REF!,#REF!,0,0)</f>
        <v>#REF!</v>
      </c>
    </row>
    <row r="1000" spans="1:20" x14ac:dyDescent="0.4">
      <c r="A1000" s="129"/>
      <c r="B1000" s="129" t="s">
        <v>680</v>
      </c>
      <c r="C1000" s="129"/>
      <c r="D1000" s="129" t="s">
        <v>788</v>
      </c>
      <c r="E1000" s="130">
        <v>42794</v>
      </c>
      <c r="F1000" s="129" t="s">
        <v>567</v>
      </c>
      <c r="G1000" s="130" t="s">
        <v>789</v>
      </c>
      <c r="H1000" s="130">
        <v>42706</v>
      </c>
      <c r="I1000" s="129" t="s">
        <v>3485</v>
      </c>
      <c r="J1000" s="129">
        <v>64497</v>
      </c>
      <c r="K1000" s="130" t="s">
        <v>3486</v>
      </c>
      <c r="L1000" s="129" t="s">
        <v>570</v>
      </c>
      <c r="M1000" s="129" t="s">
        <v>570</v>
      </c>
      <c r="N1000" s="129" t="s">
        <v>570</v>
      </c>
      <c r="O1000" s="129" t="s">
        <v>570</v>
      </c>
      <c r="P1000" s="409" t="s">
        <v>570</v>
      </c>
      <c r="Q1000" s="179"/>
      <c r="R1000" s="179"/>
      <c r="S1000" s="179"/>
      <c r="T1000" s="500" t="e">
        <f>_xlfn.XLOOKUP(H1000,#REF!,#REF!,0,0)</f>
        <v>#REF!</v>
      </c>
    </row>
    <row r="1001" spans="1:20" x14ac:dyDescent="0.4">
      <c r="A1001" s="129"/>
      <c r="B1001" s="129" t="s">
        <v>680</v>
      </c>
      <c r="C1001" s="129"/>
      <c r="D1001" s="129" t="s">
        <v>788</v>
      </c>
      <c r="E1001" s="130">
        <v>42794</v>
      </c>
      <c r="F1001" s="129" t="s">
        <v>567</v>
      </c>
      <c r="G1001" s="130" t="s">
        <v>789</v>
      </c>
      <c r="H1001" s="130">
        <v>42706</v>
      </c>
      <c r="I1001" s="129" t="s">
        <v>3487</v>
      </c>
      <c r="J1001" s="129">
        <v>64498</v>
      </c>
      <c r="K1001" s="130" t="s">
        <v>3488</v>
      </c>
      <c r="L1001" s="129" t="s">
        <v>570</v>
      </c>
      <c r="M1001" s="129" t="s">
        <v>570</v>
      </c>
      <c r="N1001" s="129" t="s">
        <v>570</v>
      </c>
      <c r="O1001" s="129" t="s">
        <v>570</v>
      </c>
      <c r="P1001" s="409" t="s">
        <v>570</v>
      </c>
      <c r="Q1001" s="179"/>
      <c r="R1001" s="179"/>
      <c r="S1001" s="179"/>
      <c r="T1001" s="500" t="e">
        <f>_xlfn.XLOOKUP(H1001,#REF!,#REF!,0,0)</f>
        <v>#REF!</v>
      </c>
    </row>
    <row r="1002" spans="1:20" x14ac:dyDescent="0.4">
      <c r="A1002" s="129" t="s">
        <v>570</v>
      </c>
      <c r="B1002" s="129" t="s">
        <v>3489</v>
      </c>
      <c r="C1002" s="129"/>
      <c r="D1002" s="129" t="s">
        <v>767</v>
      </c>
      <c r="E1002" s="130"/>
      <c r="F1002" s="129" t="s">
        <v>567</v>
      </c>
      <c r="G1002" s="130" t="s">
        <v>789</v>
      </c>
      <c r="H1002" s="130">
        <v>42828</v>
      </c>
      <c r="I1002" s="129" t="s">
        <v>3490</v>
      </c>
      <c r="J1002" s="129">
        <v>64822</v>
      </c>
      <c r="K1002" s="130" t="s">
        <v>3491</v>
      </c>
      <c r="L1002" s="129" t="s">
        <v>570</v>
      </c>
      <c r="M1002" s="129" t="s">
        <v>570</v>
      </c>
      <c r="N1002" s="129" t="s">
        <v>570</v>
      </c>
      <c r="O1002" s="129" t="s">
        <v>570</v>
      </c>
      <c r="P1002" s="409" t="s">
        <v>570</v>
      </c>
      <c r="Q1002" s="179"/>
      <c r="R1002" s="179"/>
      <c r="S1002" s="179"/>
      <c r="T1002" s="500" t="e">
        <f>_xlfn.XLOOKUP(H1002,#REF!,#REF!,0,0)</f>
        <v>#REF!</v>
      </c>
    </row>
    <row r="1003" spans="1:20" x14ac:dyDescent="0.4">
      <c r="A1003" s="129"/>
      <c r="B1003" s="129" t="s">
        <v>680</v>
      </c>
      <c r="C1003" s="129"/>
      <c r="D1003" s="129" t="s">
        <v>788</v>
      </c>
      <c r="E1003" s="130">
        <v>42901</v>
      </c>
      <c r="F1003" s="129" t="s">
        <v>567</v>
      </c>
      <c r="G1003" s="130" t="s">
        <v>789</v>
      </c>
      <c r="H1003" s="130">
        <v>42887</v>
      </c>
      <c r="I1003" s="129" t="s">
        <v>3492</v>
      </c>
      <c r="J1003" s="129">
        <v>64934</v>
      </c>
      <c r="K1003" s="130" t="s">
        <v>3493</v>
      </c>
      <c r="L1003" s="129" t="s">
        <v>570</v>
      </c>
      <c r="M1003" s="129" t="s">
        <v>570</v>
      </c>
      <c r="N1003" s="129" t="s">
        <v>570</v>
      </c>
      <c r="O1003" s="129" t="s">
        <v>570</v>
      </c>
      <c r="P1003" s="409" t="s">
        <v>570</v>
      </c>
      <c r="Q1003" s="179"/>
      <c r="R1003" s="179"/>
      <c r="S1003" s="179"/>
      <c r="T1003" s="500" t="e">
        <f>_xlfn.XLOOKUP(H1003,#REF!,#REF!,0,0)</f>
        <v>#REF!</v>
      </c>
    </row>
    <row r="1004" spans="1:20" x14ac:dyDescent="0.4">
      <c r="A1004" s="142" t="s">
        <v>570</v>
      </c>
      <c r="B1004" s="129" t="s">
        <v>3494</v>
      </c>
      <c r="C1004" s="129"/>
      <c r="D1004" s="129" t="s">
        <v>767</v>
      </c>
      <c r="E1004" s="130"/>
      <c r="F1004" s="129" t="s">
        <v>567</v>
      </c>
      <c r="G1004" s="130" t="s">
        <v>789</v>
      </c>
      <c r="H1004" s="130">
        <v>42936</v>
      </c>
      <c r="I1004" s="129" t="s">
        <v>26</v>
      </c>
      <c r="J1004" s="129">
        <v>65042</v>
      </c>
      <c r="K1004" s="130"/>
      <c r="L1004" s="129" t="s">
        <v>570</v>
      </c>
      <c r="M1004" s="129" t="s">
        <v>570</v>
      </c>
      <c r="N1004" s="129" t="s">
        <v>570</v>
      </c>
      <c r="O1004" s="129" t="s">
        <v>570</v>
      </c>
      <c r="P1004" s="409" t="s">
        <v>570</v>
      </c>
      <c r="Q1004" s="179"/>
      <c r="R1004" s="179"/>
      <c r="S1004" s="179"/>
      <c r="T1004" s="500" t="e">
        <f>_xlfn.XLOOKUP(H1004,#REF!,#REF!,0,0)</f>
        <v>#REF!</v>
      </c>
    </row>
    <row r="1005" spans="1:20" x14ac:dyDescent="0.4">
      <c r="A1005" s="129" t="s">
        <v>570</v>
      </c>
      <c r="B1005" s="129" t="s">
        <v>792</v>
      </c>
      <c r="C1005" s="129"/>
      <c r="D1005" s="129" t="s">
        <v>767</v>
      </c>
      <c r="E1005" s="130"/>
      <c r="F1005" s="129" t="s">
        <v>567</v>
      </c>
      <c r="G1005" s="130" t="s">
        <v>789</v>
      </c>
      <c r="H1005" s="130">
        <v>43226</v>
      </c>
      <c r="I1005" s="129" t="s">
        <v>793</v>
      </c>
      <c r="J1005" s="129">
        <v>65961</v>
      </c>
      <c r="K1005" s="130" t="s">
        <v>794</v>
      </c>
      <c r="L1005" s="129" t="s">
        <v>570</v>
      </c>
      <c r="M1005" s="129" t="s">
        <v>570</v>
      </c>
      <c r="N1005" s="129" t="s">
        <v>570</v>
      </c>
      <c r="O1005" s="129" t="s">
        <v>570</v>
      </c>
      <c r="P1005" s="409" t="s">
        <v>570</v>
      </c>
      <c r="Q1005" s="179"/>
      <c r="R1005" s="179"/>
      <c r="S1005" s="179"/>
      <c r="T1005" s="500" t="e">
        <f>_xlfn.XLOOKUP(H1005,#REF!,#REF!,0,0)</f>
        <v>#REF!</v>
      </c>
    </row>
    <row r="1006" spans="1:20" x14ac:dyDescent="0.4">
      <c r="A1006" s="71" t="s">
        <v>3495</v>
      </c>
      <c r="B1006" s="166" t="s">
        <v>744</v>
      </c>
      <c r="C1006" s="166"/>
      <c r="D1006" s="71" t="s">
        <v>718</v>
      </c>
      <c r="E1006" s="23" t="s">
        <v>10</v>
      </c>
      <c r="F1006" s="121" t="s">
        <v>0</v>
      </c>
      <c r="G1006" s="23">
        <v>43809</v>
      </c>
      <c r="H1006" s="23" t="s">
        <v>745</v>
      </c>
      <c r="I1006" s="71">
        <v>69596</v>
      </c>
      <c r="J1006" s="111" t="s">
        <v>746</v>
      </c>
      <c r="K1006" s="23" t="s">
        <v>570</v>
      </c>
      <c r="L1006" s="71" t="s">
        <v>570</v>
      </c>
      <c r="M1006" s="71" t="s">
        <v>570</v>
      </c>
      <c r="N1006" s="71" t="s">
        <v>570</v>
      </c>
      <c r="O1006" s="71" t="s">
        <v>570</v>
      </c>
      <c r="P1006" s="439"/>
      <c r="Q1006" s="179"/>
      <c r="R1006" s="179"/>
      <c r="S1006" s="179"/>
      <c r="T1006" s="500" t="e">
        <f>_xlfn.XLOOKUP(H1006,#REF!,#REF!,0,0)</f>
        <v>#REF!</v>
      </c>
    </row>
    <row r="1007" spans="1:20" x14ac:dyDescent="0.4">
      <c r="A1007" s="71" t="s">
        <v>3496</v>
      </c>
      <c r="B1007" s="71" t="s">
        <v>750</v>
      </c>
      <c r="C1007" s="71"/>
      <c r="D1007" s="71" t="s">
        <v>693</v>
      </c>
      <c r="E1007" s="23" t="s">
        <v>10</v>
      </c>
      <c r="F1007" s="121" t="s">
        <v>0</v>
      </c>
      <c r="G1007" s="23">
        <v>43809</v>
      </c>
      <c r="H1007" s="23" t="s">
        <v>751</v>
      </c>
      <c r="I1007" s="71">
        <v>69598</v>
      </c>
      <c r="J1007" s="71" t="s">
        <v>752</v>
      </c>
      <c r="K1007" s="23" t="s">
        <v>570</v>
      </c>
      <c r="L1007" s="71" t="s">
        <v>570</v>
      </c>
      <c r="M1007" s="71" t="s">
        <v>570</v>
      </c>
      <c r="N1007" s="71" t="s">
        <v>570</v>
      </c>
      <c r="O1007" s="71" t="s">
        <v>570</v>
      </c>
      <c r="P1007" s="457">
        <v>43853</v>
      </c>
      <c r="Q1007" s="179"/>
      <c r="R1007" s="179"/>
      <c r="S1007" s="179"/>
      <c r="T1007" s="500" t="e">
        <f>_xlfn.XLOOKUP(H1007,#REF!,#REF!,0,0)</f>
        <v>#REF!</v>
      </c>
    </row>
    <row r="1008" spans="1:20" x14ac:dyDescent="0.4">
      <c r="A1008" s="129" t="s">
        <v>3497</v>
      </c>
      <c r="B1008" s="142" t="s">
        <v>3498</v>
      </c>
      <c r="C1008" s="142"/>
      <c r="D1008" s="129" t="s">
        <v>718</v>
      </c>
      <c r="E1008" s="130" t="s">
        <v>10</v>
      </c>
      <c r="F1008" s="129" t="s">
        <v>0</v>
      </c>
      <c r="G1008" s="130">
        <v>43809</v>
      </c>
      <c r="H1008" s="130" t="s">
        <v>3499</v>
      </c>
      <c r="I1008" s="129">
        <v>69595</v>
      </c>
      <c r="J1008" s="129" t="s">
        <v>3500</v>
      </c>
      <c r="K1008" s="130" t="s">
        <v>570</v>
      </c>
      <c r="L1008" s="129" t="s">
        <v>570</v>
      </c>
      <c r="M1008" s="129" t="s">
        <v>570</v>
      </c>
      <c r="N1008" s="129" t="s">
        <v>570</v>
      </c>
      <c r="O1008" s="129" t="s">
        <v>570</v>
      </c>
      <c r="P1008" s="458"/>
      <c r="Q1008" s="179"/>
      <c r="R1008" s="179"/>
      <c r="S1008" s="179"/>
      <c r="T1008" s="500" t="e">
        <f>_xlfn.XLOOKUP(H1008,#REF!,#REF!,0,0)</f>
        <v>#REF!</v>
      </c>
    </row>
    <row r="1009" spans="1:20" x14ac:dyDescent="0.4">
      <c r="A1009" s="111" t="s">
        <v>3501</v>
      </c>
      <c r="B1009" s="111" t="s">
        <v>3502</v>
      </c>
      <c r="C1009" s="111"/>
      <c r="D1009" s="111" t="s">
        <v>693</v>
      </c>
      <c r="E1009" s="125" t="s">
        <v>10</v>
      </c>
      <c r="F1009" s="190" t="s">
        <v>0</v>
      </c>
      <c r="G1009" s="125">
        <v>43738</v>
      </c>
      <c r="H1009" s="125" t="s">
        <v>3503</v>
      </c>
      <c r="I1009" s="111">
        <v>69474</v>
      </c>
      <c r="J1009" s="111" t="s">
        <v>3504</v>
      </c>
      <c r="K1009" s="125" t="s">
        <v>570</v>
      </c>
      <c r="L1009" s="111" t="s">
        <v>570</v>
      </c>
      <c r="M1009" s="111" t="s">
        <v>570</v>
      </c>
      <c r="N1009" s="111" t="s">
        <v>570</v>
      </c>
      <c r="O1009" s="111" t="s">
        <v>570</v>
      </c>
      <c r="P1009" s="459">
        <v>43864</v>
      </c>
      <c r="Q1009" s="179"/>
      <c r="R1009" s="179"/>
      <c r="S1009" s="179"/>
      <c r="T1009" s="500" t="e">
        <f>_xlfn.XLOOKUP(H1009,#REF!,#REF!,0,0)</f>
        <v>#REF!</v>
      </c>
    </row>
    <row r="1010" spans="1:20" s="502" customFormat="1" ht="18" customHeight="1" x14ac:dyDescent="0.4">
      <c r="A1010" s="129" t="s">
        <v>3505</v>
      </c>
      <c r="B1010" s="129" t="s">
        <v>3506</v>
      </c>
      <c r="C1010" s="129"/>
      <c r="D1010" s="129" t="s">
        <v>704</v>
      </c>
      <c r="E1010" s="130" t="s">
        <v>10</v>
      </c>
      <c r="F1010" s="129" t="s">
        <v>0</v>
      </c>
      <c r="G1010" s="130">
        <v>43738</v>
      </c>
      <c r="H1010" s="130" t="s">
        <v>3507</v>
      </c>
      <c r="I1010" s="129">
        <v>69475</v>
      </c>
      <c r="J1010" s="129" t="s">
        <v>3508</v>
      </c>
      <c r="K1010" s="130" t="s">
        <v>570</v>
      </c>
      <c r="L1010" s="129" t="s">
        <v>570</v>
      </c>
      <c r="M1010" s="129" t="s">
        <v>570</v>
      </c>
      <c r="N1010" s="129" t="s">
        <v>570</v>
      </c>
      <c r="O1010" s="129" t="s">
        <v>570</v>
      </c>
      <c r="P1010" s="444">
        <v>43864</v>
      </c>
      <c r="Q1010" s="499"/>
      <c r="R1010" s="499"/>
      <c r="S1010" s="499"/>
      <c r="T1010" s="512" t="e">
        <f>_xlfn.XLOOKUP(H1010,#REF!,#REF!,0,0)</f>
        <v>#REF!</v>
      </c>
    </row>
    <row r="1011" spans="1:20" x14ac:dyDescent="0.4">
      <c r="A1011" s="111" t="s">
        <v>3509</v>
      </c>
      <c r="B1011" s="111" t="s">
        <v>3510</v>
      </c>
      <c r="C1011" s="111"/>
      <c r="D1011" s="111" t="s">
        <v>693</v>
      </c>
      <c r="E1011" s="125" t="s">
        <v>10</v>
      </c>
      <c r="F1011" s="190" t="s">
        <v>0</v>
      </c>
      <c r="G1011" s="125">
        <v>43738</v>
      </c>
      <c r="H1011" s="125" t="s">
        <v>3511</v>
      </c>
      <c r="I1011" s="111">
        <v>69473</v>
      </c>
      <c r="J1011" s="111" t="s">
        <v>3512</v>
      </c>
      <c r="K1011" s="125" t="s">
        <v>570</v>
      </c>
      <c r="L1011" s="111" t="s">
        <v>570</v>
      </c>
      <c r="M1011" s="111" t="s">
        <v>570</v>
      </c>
      <c r="N1011" s="111" t="s">
        <v>570</v>
      </c>
      <c r="O1011" s="111" t="s">
        <v>570</v>
      </c>
      <c r="P1011" s="423" t="s">
        <v>3513</v>
      </c>
      <c r="Q1011" s="179"/>
      <c r="R1011" s="179"/>
      <c r="S1011" s="179"/>
      <c r="T1011" s="500" t="e">
        <f>_xlfn.XLOOKUP(H1011,#REF!,#REF!,0,0)</f>
        <v>#REF!</v>
      </c>
    </row>
    <row r="1012" spans="1:20" x14ac:dyDescent="0.4">
      <c r="A1012" s="129" t="s">
        <v>3514</v>
      </c>
      <c r="B1012" s="129" t="s">
        <v>3515</v>
      </c>
      <c r="C1012" s="129"/>
      <c r="D1012" s="129" t="s">
        <v>693</v>
      </c>
      <c r="E1012" s="130" t="s">
        <v>10</v>
      </c>
      <c r="F1012" s="129" t="s">
        <v>0</v>
      </c>
      <c r="G1012" s="130">
        <v>43809</v>
      </c>
      <c r="H1012" s="130" t="s">
        <v>748</v>
      </c>
      <c r="I1012" s="129">
        <v>69597</v>
      </c>
      <c r="J1012" s="129" t="s">
        <v>749</v>
      </c>
      <c r="K1012" s="130" t="s">
        <v>570</v>
      </c>
      <c r="L1012" s="129" t="s">
        <v>570</v>
      </c>
      <c r="M1012" s="129" t="s">
        <v>570</v>
      </c>
      <c r="N1012" s="129" t="s">
        <v>570</v>
      </c>
      <c r="O1012" s="129" t="s">
        <v>570</v>
      </c>
      <c r="P1012" s="428" t="s">
        <v>3516</v>
      </c>
      <c r="Q1012" s="179"/>
      <c r="R1012" s="179"/>
      <c r="S1012" s="179"/>
      <c r="T1012" s="500" t="e">
        <f>_xlfn.XLOOKUP(H1012,#REF!,#REF!,0,0)</f>
        <v>#REF!</v>
      </c>
    </row>
    <row r="1013" spans="1:20" x14ac:dyDescent="0.4">
      <c r="A1013" s="129" t="s">
        <v>3517</v>
      </c>
      <c r="B1013" s="129" t="s">
        <v>2092</v>
      </c>
      <c r="C1013" s="129"/>
      <c r="D1013" s="129" t="s">
        <v>693</v>
      </c>
      <c r="E1013" s="130" t="s">
        <v>10</v>
      </c>
      <c r="F1013" s="129" t="s">
        <v>0</v>
      </c>
      <c r="G1013" s="130">
        <v>44238</v>
      </c>
      <c r="H1013" s="130" t="s">
        <v>3518</v>
      </c>
      <c r="I1013" s="129">
        <v>70592</v>
      </c>
      <c r="J1013" s="129" t="s">
        <v>3519</v>
      </c>
      <c r="K1013" s="130" t="s">
        <v>364</v>
      </c>
      <c r="L1013" s="129" t="s">
        <v>364</v>
      </c>
      <c r="M1013" s="129" t="s">
        <v>364</v>
      </c>
      <c r="N1013" s="129"/>
      <c r="O1013" s="129" t="s">
        <v>364</v>
      </c>
      <c r="P1013" s="409"/>
      <c r="Q1013" s="179"/>
      <c r="R1013" s="179"/>
      <c r="S1013" s="179"/>
      <c r="T1013" s="500" t="e">
        <f>_xlfn.XLOOKUP(H1013,#REF!,#REF!,0,0)</f>
        <v>#REF!</v>
      </c>
    </row>
    <row r="1014" spans="1:20" x14ac:dyDescent="0.4">
      <c r="A1014" s="129" t="s">
        <v>3520</v>
      </c>
      <c r="B1014" s="129" t="s">
        <v>2092</v>
      </c>
      <c r="C1014" s="129"/>
      <c r="D1014" s="129" t="s">
        <v>693</v>
      </c>
      <c r="E1014" s="130" t="s">
        <v>10</v>
      </c>
      <c r="F1014" s="129" t="s">
        <v>0</v>
      </c>
      <c r="G1014" s="130">
        <v>44238</v>
      </c>
      <c r="H1014" s="130" t="s">
        <v>3521</v>
      </c>
      <c r="I1014" s="129">
        <v>70593</v>
      </c>
      <c r="J1014" s="129" t="s">
        <v>3522</v>
      </c>
      <c r="K1014" s="130" t="s">
        <v>364</v>
      </c>
      <c r="L1014" s="129" t="s">
        <v>364</v>
      </c>
      <c r="M1014" s="129" t="s">
        <v>364</v>
      </c>
      <c r="N1014" s="129"/>
      <c r="O1014" s="129" t="s">
        <v>364</v>
      </c>
      <c r="P1014" s="409"/>
      <c r="Q1014" s="179"/>
      <c r="R1014" s="179"/>
      <c r="S1014" s="179"/>
      <c r="T1014" s="500" t="e">
        <f>_xlfn.XLOOKUP(H1014,#REF!,#REF!,0,0)</f>
        <v>#REF!</v>
      </c>
    </row>
    <row r="1015" spans="1:20" x14ac:dyDescent="0.4">
      <c r="A1015" s="129" t="s">
        <v>3523</v>
      </c>
      <c r="B1015" s="129" t="s">
        <v>2092</v>
      </c>
      <c r="C1015" s="129"/>
      <c r="D1015" s="129" t="s">
        <v>693</v>
      </c>
      <c r="E1015" s="130" t="s">
        <v>10</v>
      </c>
      <c r="F1015" s="129" t="s">
        <v>0</v>
      </c>
      <c r="G1015" s="130">
        <v>44238</v>
      </c>
      <c r="H1015" s="130" t="s">
        <v>3524</v>
      </c>
      <c r="I1015" s="129">
        <v>70594</v>
      </c>
      <c r="J1015" s="129" t="s">
        <v>3525</v>
      </c>
      <c r="K1015" s="130" t="s">
        <v>364</v>
      </c>
      <c r="L1015" s="129" t="s">
        <v>364</v>
      </c>
      <c r="M1015" s="129" t="s">
        <v>364</v>
      </c>
      <c r="N1015" s="129"/>
      <c r="O1015" s="129" t="s">
        <v>364</v>
      </c>
      <c r="P1015" s="409"/>
      <c r="Q1015" s="179"/>
      <c r="R1015" s="179"/>
      <c r="S1015" s="179"/>
      <c r="T1015" s="500" t="e">
        <f>_xlfn.XLOOKUP(H1015,#REF!,#REF!,0,0)</f>
        <v>#REF!</v>
      </c>
    </row>
    <row r="1016" spans="1:20" x14ac:dyDescent="0.4">
      <c r="A1016" s="129" t="s">
        <v>3526</v>
      </c>
      <c r="B1016" s="129" t="s">
        <v>2092</v>
      </c>
      <c r="C1016" s="129"/>
      <c r="D1016" s="129" t="s">
        <v>693</v>
      </c>
      <c r="E1016" s="130" t="s">
        <v>10</v>
      </c>
      <c r="F1016" s="129" t="s">
        <v>0</v>
      </c>
      <c r="G1016" s="130">
        <v>44238</v>
      </c>
      <c r="H1016" s="130" t="s">
        <v>3527</v>
      </c>
      <c r="I1016" s="129">
        <v>70595</v>
      </c>
      <c r="J1016" s="129" t="s">
        <v>3528</v>
      </c>
      <c r="K1016" s="130" t="s">
        <v>364</v>
      </c>
      <c r="L1016" s="129" t="s">
        <v>364</v>
      </c>
      <c r="M1016" s="129" t="s">
        <v>364</v>
      </c>
      <c r="N1016" s="129"/>
      <c r="O1016" s="129" t="s">
        <v>364</v>
      </c>
      <c r="P1016" s="409"/>
      <c r="Q1016" s="179"/>
      <c r="R1016" s="179"/>
      <c r="S1016" s="179"/>
      <c r="T1016" s="500" t="e">
        <f>_xlfn.XLOOKUP(H1016,#REF!,#REF!,0,0)</f>
        <v>#REF!</v>
      </c>
    </row>
    <row r="1017" spans="1:20" x14ac:dyDescent="0.4">
      <c r="A1017" s="129" t="s">
        <v>3529</v>
      </c>
      <c r="B1017" s="129" t="s">
        <v>2092</v>
      </c>
      <c r="C1017" s="129"/>
      <c r="D1017" s="129" t="s">
        <v>693</v>
      </c>
      <c r="E1017" s="130" t="s">
        <v>10</v>
      </c>
      <c r="F1017" s="129" t="s">
        <v>0</v>
      </c>
      <c r="G1017" s="130">
        <v>44238</v>
      </c>
      <c r="H1017" s="130" t="s">
        <v>3530</v>
      </c>
      <c r="I1017" s="129">
        <v>70596</v>
      </c>
      <c r="J1017" s="129" t="s">
        <v>3531</v>
      </c>
      <c r="K1017" s="130" t="s">
        <v>364</v>
      </c>
      <c r="L1017" s="129" t="s">
        <v>364</v>
      </c>
      <c r="M1017" s="129" t="s">
        <v>364</v>
      </c>
      <c r="N1017" s="129"/>
      <c r="O1017" s="129" t="s">
        <v>364</v>
      </c>
      <c r="P1017" s="409"/>
      <c r="Q1017" s="179"/>
      <c r="R1017" s="179"/>
      <c r="S1017" s="179"/>
      <c r="T1017" s="500" t="e">
        <f>_xlfn.XLOOKUP(H1017,#REF!,#REF!,0,0)</f>
        <v>#REF!</v>
      </c>
    </row>
    <row r="1018" spans="1:20" x14ac:dyDescent="0.4">
      <c r="A1018" s="129" t="s">
        <v>3532</v>
      </c>
      <c r="B1018" s="129" t="s">
        <v>2092</v>
      </c>
      <c r="C1018" s="129"/>
      <c r="D1018" s="129" t="s">
        <v>693</v>
      </c>
      <c r="E1018" s="130" t="s">
        <v>10</v>
      </c>
      <c r="F1018" s="129" t="s">
        <v>0</v>
      </c>
      <c r="G1018" s="130">
        <v>44238</v>
      </c>
      <c r="H1018" s="130" t="s">
        <v>3533</v>
      </c>
      <c r="I1018" s="129">
        <v>70597</v>
      </c>
      <c r="J1018" s="129" t="s">
        <v>3534</v>
      </c>
      <c r="K1018" s="130" t="s">
        <v>364</v>
      </c>
      <c r="L1018" s="129" t="s">
        <v>364</v>
      </c>
      <c r="M1018" s="129" t="s">
        <v>364</v>
      </c>
      <c r="N1018" s="129"/>
      <c r="O1018" s="129" t="s">
        <v>364</v>
      </c>
      <c r="P1018" s="409"/>
      <c r="Q1018" s="179"/>
      <c r="R1018" s="179"/>
      <c r="S1018" s="179"/>
      <c r="T1018" s="500" t="e">
        <f>_xlfn.XLOOKUP(H1018,#REF!,#REF!,0,0)</f>
        <v>#REF!</v>
      </c>
    </row>
    <row r="1019" spans="1:20" s="502" customFormat="1" ht="19.5" x14ac:dyDescent="0.4">
      <c r="A1019" s="46"/>
      <c r="B1019" s="46" t="s">
        <v>3535</v>
      </c>
      <c r="C1019" s="46"/>
      <c r="D1019" s="98" t="s">
        <v>3536</v>
      </c>
      <c r="E1019" s="47" t="s">
        <v>10</v>
      </c>
      <c r="F1019" s="48" t="s">
        <v>0</v>
      </c>
      <c r="G1019" s="47">
        <v>43738</v>
      </c>
      <c r="H1019" s="47" t="s">
        <v>3537</v>
      </c>
      <c r="I1019" s="46">
        <v>69476</v>
      </c>
      <c r="J1019" s="46"/>
      <c r="K1019" s="47"/>
      <c r="L1019" s="46"/>
      <c r="M1019" s="46"/>
      <c r="N1019" s="46"/>
      <c r="O1019" s="46"/>
      <c r="P1019" s="460"/>
      <c r="Q1019" s="499"/>
      <c r="R1019" s="499"/>
      <c r="S1019" s="499"/>
      <c r="T1019" s="512" t="e">
        <f>_xlfn.XLOOKUP(H1019,#REF!,#REF!,0,0)</f>
        <v>#REF!</v>
      </c>
    </row>
    <row r="1020" spans="1:20" s="502" customFormat="1" ht="19.5" x14ac:dyDescent="0.4">
      <c r="A1020" s="46"/>
      <c r="B1020" s="46" t="s">
        <v>3538</v>
      </c>
      <c r="C1020" s="46"/>
      <c r="D1020" s="98" t="s">
        <v>3536</v>
      </c>
      <c r="E1020" s="47" t="s">
        <v>10</v>
      </c>
      <c r="F1020" s="48" t="s">
        <v>0</v>
      </c>
      <c r="G1020" s="47">
        <v>43738</v>
      </c>
      <c r="H1020" s="47" t="s">
        <v>3539</v>
      </c>
      <c r="I1020" s="46">
        <v>69477</v>
      </c>
      <c r="J1020" s="46"/>
      <c r="K1020" s="47"/>
      <c r="L1020" s="46"/>
      <c r="M1020" s="46"/>
      <c r="N1020" s="46"/>
      <c r="O1020" s="46"/>
      <c r="P1020" s="460"/>
      <c r="Q1020" s="499"/>
      <c r="R1020" s="499"/>
      <c r="S1020" s="499"/>
      <c r="T1020" s="512" t="e">
        <f>_xlfn.XLOOKUP(H1020,#REF!,#REF!,0,0)</f>
        <v>#REF!</v>
      </c>
    </row>
    <row r="1021" spans="1:20" s="502" customFormat="1" ht="19.5" x14ac:dyDescent="0.4">
      <c r="A1021" s="46"/>
      <c r="B1021" s="46" t="s">
        <v>3540</v>
      </c>
      <c r="C1021" s="46"/>
      <c r="D1021" s="98" t="s">
        <v>3536</v>
      </c>
      <c r="E1021" s="47" t="s">
        <v>10</v>
      </c>
      <c r="F1021" s="48" t="s">
        <v>0</v>
      </c>
      <c r="G1021" s="47">
        <v>43738</v>
      </c>
      <c r="H1021" s="47" t="s">
        <v>3541</v>
      </c>
      <c r="I1021" s="46">
        <v>69478</v>
      </c>
      <c r="J1021" s="46"/>
      <c r="K1021" s="47"/>
      <c r="L1021" s="46"/>
      <c r="M1021" s="46"/>
      <c r="N1021" s="46"/>
      <c r="O1021" s="46"/>
      <c r="P1021" s="460"/>
      <c r="Q1021" s="499"/>
      <c r="R1021" s="499"/>
      <c r="S1021" s="499"/>
      <c r="T1021" s="512" t="e">
        <f>_xlfn.XLOOKUP(H1021,#REF!,#REF!,0,0)</f>
        <v>#REF!</v>
      </c>
    </row>
    <row r="1022" spans="1:20" s="502" customFormat="1" ht="19.5" x14ac:dyDescent="0.4">
      <c r="A1022" s="46"/>
      <c r="B1022" s="46" t="s">
        <v>3542</v>
      </c>
      <c r="C1022" s="46"/>
      <c r="D1022" s="98" t="s">
        <v>3536</v>
      </c>
      <c r="E1022" s="47" t="s">
        <v>10</v>
      </c>
      <c r="F1022" s="48" t="s">
        <v>0</v>
      </c>
      <c r="G1022" s="47">
        <v>43809</v>
      </c>
      <c r="H1022" s="47" t="s">
        <v>3543</v>
      </c>
      <c r="I1022" s="46">
        <v>69599</v>
      </c>
      <c r="J1022" s="46"/>
      <c r="K1022" s="47"/>
      <c r="L1022" s="46"/>
      <c r="M1022" s="46"/>
      <c r="N1022" s="46"/>
      <c r="O1022" s="46"/>
      <c r="P1022" s="460"/>
      <c r="Q1022" s="499"/>
      <c r="R1022" s="499"/>
      <c r="S1022" s="499"/>
      <c r="T1022" s="512" t="e">
        <f>_xlfn.XLOOKUP(H1022,#REF!,#REF!,0,0)</f>
        <v>#REF!</v>
      </c>
    </row>
    <row r="1023" spans="1:20" s="502" customFormat="1" ht="19.5" x14ac:dyDescent="0.4">
      <c r="A1023" s="46"/>
      <c r="B1023" s="46" t="s">
        <v>3544</v>
      </c>
      <c r="C1023" s="46"/>
      <c r="D1023" s="98" t="s">
        <v>3536</v>
      </c>
      <c r="E1023" s="47" t="s">
        <v>10</v>
      </c>
      <c r="F1023" s="48" t="s">
        <v>0</v>
      </c>
      <c r="G1023" s="47">
        <v>43809</v>
      </c>
      <c r="H1023" s="47" t="s">
        <v>3545</v>
      </c>
      <c r="I1023" s="46">
        <v>69600</v>
      </c>
      <c r="J1023" s="46"/>
      <c r="K1023" s="47"/>
      <c r="L1023" s="46"/>
      <c r="M1023" s="46"/>
      <c r="N1023" s="46"/>
      <c r="O1023" s="46"/>
      <c r="P1023" s="460"/>
      <c r="Q1023" s="499"/>
      <c r="R1023" s="499"/>
      <c r="S1023" s="499"/>
      <c r="T1023" s="512" t="e">
        <f>_xlfn.XLOOKUP(H1023,#REF!,#REF!,0,0)</f>
        <v>#REF!</v>
      </c>
    </row>
    <row r="1024" spans="1:20" s="502" customFormat="1" x14ac:dyDescent="0.4">
      <c r="A1024" s="46"/>
      <c r="B1024" s="46" t="s">
        <v>3546</v>
      </c>
      <c r="C1024" s="46"/>
      <c r="D1024" s="98" t="s">
        <v>3536</v>
      </c>
      <c r="E1024" s="47" t="s">
        <v>10</v>
      </c>
      <c r="F1024" s="48" t="s">
        <v>0</v>
      </c>
      <c r="G1024" s="47">
        <v>43809</v>
      </c>
      <c r="H1024" s="47" t="s">
        <v>3547</v>
      </c>
      <c r="I1024" s="46">
        <v>69601</v>
      </c>
      <c r="J1024" s="46"/>
      <c r="K1024" s="47"/>
      <c r="L1024" s="46"/>
      <c r="M1024" s="46"/>
      <c r="N1024" s="46"/>
      <c r="O1024" s="46"/>
      <c r="P1024" s="393"/>
      <c r="Q1024" s="499"/>
      <c r="R1024" s="499"/>
      <c r="S1024" s="499"/>
      <c r="T1024" s="512" t="e">
        <f>_xlfn.XLOOKUP(H1024,#REF!,#REF!,0,0)</f>
        <v>#REF!</v>
      </c>
    </row>
    <row r="1025" spans="1:20" x14ac:dyDescent="0.4">
      <c r="A1025" s="26"/>
      <c r="B1025" s="26"/>
      <c r="C1025" s="26"/>
      <c r="D1025" s="26"/>
      <c r="E1025" s="27"/>
      <c r="F1025" s="179"/>
      <c r="G1025" s="27"/>
      <c r="H1025" s="27"/>
      <c r="I1025" s="26"/>
      <c r="J1025" s="26"/>
      <c r="K1025" s="27"/>
      <c r="L1025" s="26"/>
      <c r="M1025" s="26"/>
      <c r="N1025" s="26"/>
      <c r="O1025" s="26"/>
      <c r="P1025" s="449"/>
      <c r="Q1025" s="179"/>
      <c r="R1025" s="179"/>
      <c r="S1025" s="179"/>
      <c r="T1025" s="500" t="e">
        <f>_xlfn.XLOOKUP(H1025,#REF!,#REF!,0,0)</f>
        <v>#REF!</v>
      </c>
    </row>
    <row r="1026" spans="1:20" x14ac:dyDescent="0.4">
      <c r="A1026" s="26"/>
      <c r="B1026" s="26"/>
      <c r="C1026" s="26"/>
      <c r="D1026" s="26"/>
      <c r="E1026" s="27"/>
      <c r="F1026" s="179"/>
      <c r="G1026" s="27"/>
      <c r="H1026" s="27"/>
      <c r="I1026" s="26"/>
      <c r="J1026" s="26"/>
      <c r="K1026" s="27"/>
      <c r="L1026" s="26"/>
      <c r="M1026" s="26"/>
      <c r="N1026" s="26"/>
      <c r="O1026" s="26"/>
      <c r="P1026" s="449"/>
      <c r="Q1026" s="179"/>
      <c r="R1026" s="179"/>
      <c r="S1026" s="179"/>
      <c r="T1026" s="500" t="e">
        <f>_xlfn.XLOOKUP(H1026,#REF!,#REF!,0,0)</f>
        <v>#REF!</v>
      </c>
    </row>
    <row r="1027" spans="1:20" x14ac:dyDescent="0.4">
      <c r="A1027" s="142" t="s">
        <v>753</v>
      </c>
      <c r="B1027" s="142" t="s">
        <v>3548</v>
      </c>
      <c r="C1027" s="142"/>
      <c r="D1027" s="142" t="s">
        <v>767</v>
      </c>
      <c r="E1027" s="256"/>
      <c r="F1027" s="142" t="s">
        <v>10</v>
      </c>
      <c r="G1027" s="256" t="s">
        <v>670</v>
      </c>
      <c r="H1027" s="256">
        <v>43271</v>
      </c>
      <c r="I1027" s="142" t="s">
        <v>3549</v>
      </c>
      <c r="J1027" s="142">
        <v>68455</v>
      </c>
      <c r="K1027" s="256" t="s">
        <v>3550</v>
      </c>
      <c r="L1027" s="142" t="s">
        <v>570</v>
      </c>
      <c r="M1027" s="142" t="s">
        <v>570</v>
      </c>
      <c r="N1027" s="142" t="s">
        <v>570</v>
      </c>
      <c r="O1027" s="142" t="s">
        <v>570</v>
      </c>
      <c r="P1027" s="428" t="s">
        <v>570</v>
      </c>
      <c r="Q1027" s="179"/>
      <c r="R1027" s="179"/>
      <c r="S1027" s="179"/>
      <c r="T1027" s="500" t="e">
        <f>_xlfn.XLOOKUP(H1027,#REF!,#REF!,0,0)</f>
        <v>#REF!</v>
      </c>
    </row>
    <row r="1028" spans="1:20" x14ac:dyDescent="0.4">
      <c r="A1028" s="142" t="s">
        <v>753</v>
      </c>
      <c r="B1028" s="142" t="s">
        <v>3551</v>
      </c>
      <c r="C1028" s="142"/>
      <c r="D1028" s="142" t="s">
        <v>767</v>
      </c>
      <c r="E1028" s="256"/>
      <c r="F1028" s="142" t="s">
        <v>10</v>
      </c>
      <c r="G1028" s="256" t="s">
        <v>670</v>
      </c>
      <c r="H1028" s="256">
        <v>43271</v>
      </c>
      <c r="I1028" s="142" t="s">
        <v>3552</v>
      </c>
      <c r="J1028" s="142">
        <v>68470</v>
      </c>
      <c r="K1028" s="256" t="s">
        <v>3553</v>
      </c>
      <c r="L1028" s="142" t="s">
        <v>570</v>
      </c>
      <c r="M1028" s="142" t="s">
        <v>570</v>
      </c>
      <c r="N1028" s="142" t="s">
        <v>570</v>
      </c>
      <c r="O1028" s="142" t="s">
        <v>570</v>
      </c>
      <c r="P1028" s="428" t="s">
        <v>570</v>
      </c>
      <c r="Q1028" s="179"/>
      <c r="R1028" s="179"/>
      <c r="S1028" s="179"/>
      <c r="T1028" s="500" t="e">
        <f>_xlfn.XLOOKUP(H1028,#REF!,#REF!,0,0)</f>
        <v>#REF!</v>
      </c>
    </row>
    <row r="1029" spans="1:20" x14ac:dyDescent="0.4">
      <c r="A1029" s="142" t="s">
        <v>753</v>
      </c>
      <c r="B1029" s="142" t="s">
        <v>3554</v>
      </c>
      <c r="C1029" s="142"/>
      <c r="D1029" s="142" t="s">
        <v>767</v>
      </c>
      <c r="E1029" s="256"/>
      <c r="F1029" s="142" t="s">
        <v>10</v>
      </c>
      <c r="G1029" s="256" t="s">
        <v>670</v>
      </c>
      <c r="H1029" s="256">
        <v>43271</v>
      </c>
      <c r="I1029" s="142" t="s">
        <v>3555</v>
      </c>
      <c r="J1029" s="142">
        <v>68471</v>
      </c>
      <c r="K1029" s="256" t="s">
        <v>3556</v>
      </c>
      <c r="L1029" s="142" t="s">
        <v>570</v>
      </c>
      <c r="M1029" s="142" t="s">
        <v>570</v>
      </c>
      <c r="N1029" s="142" t="s">
        <v>570</v>
      </c>
      <c r="O1029" s="142" t="s">
        <v>570</v>
      </c>
      <c r="P1029" s="428" t="s">
        <v>570</v>
      </c>
      <c r="Q1029" s="179"/>
      <c r="R1029" s="179"/>
      <c r="S1029" s="179"/>
      <c r="T1029" s="500" t="e">
        <f>_xlfn.XLOOKUP(H1029,#REF!,#REF!,0,0)</f>
        <v>#REF!</v>
      </c>
    </row>
    <row r="1030" spans="1:20" x14ac:dyDescent="0.4">
      <c r="A1030" s="142" t="s">
        <v>753</v>
      </c>
      <c r="B1030" s="142" t="s">
        <v>3557</v>
      </c>
      <c r="C1030" s="142"/>
      <c r="D1030" s="142" t="s">
        <v>767</v>
      </c>
      <c r="E1030" s="256" t="s">
        <v>3558</v>
      </c>
      <c r="F1030" s="142" t="s">
        <v>10</v>
      </c>
      <c r="G1030" s="256" t="s">
        <v>670</v>
      </c>
      <c r="H1030" s="256">
        <v>43271</v>
      </c>
      <c r="I1030" s="142" t="s">
        <v>3559</v>
      </c>
      <c r="J1030" s="142">
        <v>68472</v>
      </c>
      <c r="K1030" s="256" t="s">
        <v>3560</v>
      </c>
      <c r="L1030" s="142" t="s">
        <v>570</v>
      </c>
      <c r="M1030" s="142" t="s">
        <v>570</v>
      </c>
      <c r="N1030" s="142" t="s">
        <v>570</v>
      </c>
      <c r="O1030" s="142" t="s">
        <v>570</v>
      </c>
      <c r="P1030" s="428" t="s">
        <v>570</v>
      </c>
      <c r="Q1030" s="179"/>
      <c r="R1030" s="179"/>
      <c r="S1030" s="179"/>
      <c r="T1030" s="500" t="e">
        <f>_xlfn.XLOOKUP(H1030,#REF!,#REF!,0,0)</f>
        <v>#REF!</v>
      </c>
    </row>
    <row r="1031" spans="1:20" x14ac:dyDescent="0.4">
      <c r="A1031" s="142" t="s">
        <v>753</v>
      </c>
      <c r="B1031" s="142" t="s">
        <v>3561</v>
      </c>
      <c r="C1031" s="142"/>
      <c r="D1031" s="142" t="s">
        <v>767</v>
      </c>
      <c r="E1031" s="256"/>
      <c r="F1031" s="142" t="s">
        <v>10</v>
      </c>
      <c r="G1031" s="256" t="s">
        <v>670</v>
      </c>
      <c r="H1031" s="256">
        <v>43271</v>
      </c>
      <c r="I1031" s="142" t="s">
        <v>3562</v>
      </c>
      <c r="J1031" s="142">
        <v>68473</v>
      </c>
      <c r="K1031" s="256" t="s">
        <v>3563</v>
      </c>
      <c r="L1031" s="142" t="s">
        <v>570</v>
      </c>
      <c r="M1031" s="142" t="s">
        <v>570</v>
      </c>
      <c r="N1031" s="142" t="s">
        <v>570</v>
      </c>
      <c r="O1031" s="142" t="s">
        <v>570</v>
      </c>
      <c r="P1031" s="428" t="s">
        <v>570</v>
      </c>
      <c r="Q1031" s="179"/>
      <c r="R1031" s="179"/>
      <c r="S1031" s="179"/>
      <c r="T1031" s="500" t="e">
        <f>_xlfn.XLOOKUP(H1031,#REF!,#REF!,0,0)</f>
        <v>#REF!</v>
      </c>
    </row>
    <row r="1032" spans="1:20" x14ac:dyDescent="0.4">
      <c r="A1032" s="142" t="s">
        <v>753</v>
      </c>
      <c r="B1032" s="142" t="s">
        <v>3564</v>
      </c>
      <c r="C1032" s="142"/>
      <c r="D1032" s="142" t="s">
        <v>767</v>
      </c>
      <c r="E1032" s="256"/>
      <c r="F1032" s="142" t="s">
        <v>10</v>
      </c>
      <c r="G1032" s="256" t="s">
        <v>670</v>
      </c>
      <c r="H1032" s="256">
        <v>43271</v>
      </c>
      <c r="I1032" s="142" t="s">
        <v>3565</v>
      </c>
      <c r="J1032" s="142">
        <v>68474</v>
      </c>
      <c r="K1032" s="256" t="s">
        <v>3566</v>
      </c>
      <c r="L1032" s="142" t="s">
        <v>570</v>
      </c>
      <c r="M1032" s="142" t="s">
        <v>570</v>
      </c>
      <c r="N1032" s="142" t="s">
        <v>570</v>
      </c>
      <c r="O1032" s="142" t="s">
        <v>570</v>
      </c>
      <c r="P1032" s="428" t="s">
        <v>570</v>
      </c>
      <c r="Q1032" s="179"/>
      <c r="R1032" s="179"/>
      <c r="S1032" s="179"/>
      <c r="T1032" s="500" t="e">
        <f>_xlfn.XLOOKUP(H1032,#REF!,#REF!,0,0)</f>
        <v>#REF!</v>
      </c>
    </row>
    <row r="1033" spans="1:20" x14ac:dyDescent="0.4">
      <c r="A1033" s="142" t="s">
        <v>753</v>
      </c>
      <c r="B1033" s="142" t="s">
        <v>3567</v>
      </c>
      <c r="C1033" s="142"/>
      <c r="D1033" s="142" t="s">
        <v>767</v>
      </c>
      <c r="E1033" s="256"/>
      <c r="F1033" s="142" t="s">
        <v>10</v>
      </c>
      <c r="G1033" s="256" t="s">
        <v>670</v>
      </c>
      <c r="H1033" s="256">
        <v>43271</v>
      </c>
      <c r="I1033" s="142" t="s">
        <v>3568</v>
      </c>
      <c r="J1033" s="142">
        <v>68475</v>
      </c>
      <c r="K1033" s="256" t="s">
        <v>3569</v>
      </c>
      <c r="L1033" s="142" t="s">
        <v>570</v>
      </c>
      <c r="M1033" s="142" t="s">
        <v>570</v>
      </c>
      <c r="N1033" s="142" t="s">
        <v>570</v>
      </c>
      <c r="O1033" s="142" t="s">
        <v>570</v>
      </c>
      <c r="P1033" s="428" t="s">
        <v>570</v>
      </c>
      <c r="Q1033" s="179"/>
      <c r="R1033" s="179"/>
      <c r="S1033" s="179"/>
      <c r="T1033" s="500" t="e">
        <f>_xlfn.XLOOKUP(H1033,#REF!,#REF!,0,0)</f>
        <v>#REF!</v>
      </c>
    </row>
    <row r="1034" spans="1:20" x14ac:dyDescent="0.4">
      <c r="A1034" s="142" t="s">
        <v>753</v>
      </c>
      <c r="B1034" s="142" t="s">
        <v>3570</v>
      </c>
      <c r="C1034" s="142"/>
      <c r="D1034" s="142" t="s">
        <v>767</v>
      </c>
      <c r="E1034" s="256"/>
      <c r="F1034" s="142" t="s">
        <v>10</v>
      </c>
      <c r="G1034" s="256" t="s">
        <v>670</v>
      </c>
      <c r="H1034" s="256">
        <v>43271</v>
      </c>
      <c r="I1034" s="142" t="s">
        <v>3571</v>
      </c>
      <c r="J1034" s="142">
        <v>68451</v>
      </c>
      <c r="K1034" s="256" t="s">
        <v>3572</v>
      </c>
      <c r="L1034" s="142" t="s">
        <v>570</v>
      </c>
      <c r="M1034" s="142" t="s">
        <v>570</v>
      </c>
      <c r="N1034" s="142" t="s">
        <v>570</v>
      </c>
      <c r="O1034" s="142" t="s">
        <v>570</v>
      </c>
      <c r="P1034" s="428" t="s">
        <v>570</v>
      </c>
      <c r="Q1034" s="179"/>
      <c r="R1034" s="179"/>
      <c r="S1034" s="179"/>
      <c r="T1034" s="500" t="e">
        <f>_xlfn.XLOOKUP(H1034,#REF!,#REF!,0,0)</f>
        <v>#REF!</v>
      </c>
    </row>
    <row r="1035" spans="1:20" x14ac:dyDescent="0.4">
      <c r="A1035" s="142" t="s">
        <v>753</v>
      </c>
      <c r="B1035" s="142" t="s">
        <v>3570</v>
      </c>
      <c r="C1035" s="142"/>
      <c r="D1035" s="142" t="s">
        <v>767</v>
      </c>
      <c r="E1035" s="256" t="s">
        <v>3573</v>
      </c>
      <c r="F1035" s="142" t="s">
        <v>10</v>
      </c>
      <c r="G1035" s="256" t="s">
        <v>670</v>
      </c>
      <c r="H1035" s="256">
        <v>43271</v>
      </c>
      <c r="I1035" s="142" t="s">
        <v>3574</v>
      </c>
      <c r="J1035" s="142">
        <v>68452</v>
      </c>
      <c r="K1035" s="256" t="s">
        <v>3575</v>
      </c>
      <c r="L1035" s="142" t="s">
        <v>570</v>
      </c>
      <c r="M1035" s="142" t="s">
        <v>570</v>
      </c>
      <c r="N1035" s="142" t="s">
        <v>570</v>
      </c>
      <c r="O1035" s="142" t="s">
        <v>570</v>
      </c>
      <c r="P1035" s="428" t="s">
        <v>570</v>
      </c>
      <c r="Q1035" s="179"/>
      <c r="R1035" s="179"/>
      <c r="S1035" s="179"/>
      <c r="T1035" s="500" t="e">
        <f>_xlfn.XLOOKUP(H1035,#REF!,#REF!,0,0)</f>
        <v>#REF!</v>
      </c>
    </row>
    <row r="1036" spans="1:20" x14ac:dyDescent="0.4">
      <c r="A1036" s="142" t="s">
        <v>753</v>
      </c>
      <c r="B1036" s="142" t="s">
        <v>3570</v>
      </c>
      <c r="C1036" s="142"/>
      <c r="D1036" s="142" t="s">
        <v>767</v>
      </c>
      <c r="E1036" s="256"/>
      <c r="F1036" s="142" t="s">
        <v>10</v>
      </c>
      <c r="G1036" s="256" t="s">
        <v>670</v>
      </c>
      <c r="H1036" s="256">
        <v>43271</v>
      </c>
      <c r="I1036" s="142" t="s">
        <v>3576</v>
      </c>
      <c r="J1036" s="142">
        <v>68453</v>
      </c>
      <c r="K1036" s="256" t="s">
        <v>3577</v>
      </c>
      <c r="L1036" s="142" t="s">
        <v>570</v>
      </c>
      <c r="M1036" s="142" t="s">
        <v>570</v>
      </c>
      <c r="N1036" s="142" t="s">
        <v>570</v>
      </c>
      <c r="O1036" s="142" t="s">
        <v>570</v>
      </c>
      <c r="P1036" s="428" t="s">
        <v>570</v>
      </c>
      <c r="Q1036" s="179"/>
      <c r="R1036" s="179"/>
      <c r="S1036" s="179"/>
      <c r="T1036" s="500" t="e">
        <f>_xlfn.XLOOKUP(H1036,#REF!,#REF!,0,0)</f>
        <v>#REF!</v>
      </c>
    </row>
    <row r="1037" spans="1:20" x14ac:dyDescent="0.4">
      <c r="A1037" s="142" t="s">
        <v>753</v>
      </c>
      <c r="B1037" s="142" t="s">
        <v>3570</v>
      </c>
      <c r="C1037" s="142"/>
      <c r="D1037" s="142" t="s">
        <v>767</v>
      </c>
      <c r="E1037" s="256"/>
      <c r="F1037" s="142" t="s">
        <v>10</v>
      </c>
      <c r="G1037" s="256" t="s">
        <v>670</v>
      </c>
      <c r="H1037" s="256">
        <v>43271</v>
      </c>
      <c r="I1037" s="142" t="s">
        <v>3578</v>
      </c>
      <c r="J1037" s="142">
        <v>68454</v>
      </c>
      <c r="K1037" s="256" t="s">
        <v>3579</v>
      </c>
      <c r="L1037" s="142" t="s">
        <v>570</v>
      </c>
      <c r="M1037" s="142" t="s">
        <v>570</v>
      </c>
      <c r="N1037" s="142" t="s">
        <v>570</v>
      </c>
      <c r="O1037" s="142" t="s">
        <v>570</v>
      </c>
      <c r="P1037" s="428" t="s">
        <v>570</v>
      </c>
      <c r="Q1037" s="179"/>
      <c r="R1037" s="179"/>
      <c r="S1037" s="179"/>
      <c r="T1037" s="500" t="e">
        <f>_xlfn.XLOOKUP(H1037,#REF!,#REF!,0,0)</f>
        <v>#REF!</v>
      </c>
    </row>
    <row r="1038" spans="1:20" x14ac:dyDescent="0.4">
      <c r="A1038" s="142" t="s">
        <v>753</v>
      </c>
      <c r="B1038" s="142" t="s">
        <v>3570</v>
      </c>
      <c r="C1038" s="142"/>
      <c r="D1038" s="142" t="s">
        <v>767</v>
      </c>
      <c r="E1038" s="256"/>
      <c r="F1038" s="142" t="s">
        <v>10</v>
      </c>
      <c r="G1038" s="256" t="s">
        <v>670</v>
      </c>
      <c r="H1038" s="256">
        <v>43271</v>
      </c>
      <c r="I1038" s="142" t="s">
        <v>675</v>
      </c>
      <c r="J1038" s="142">
        <v>68456</v>
      </c>
      <c r="K1038" s="256" t="s">
        <v>3580</v>
      </c>
      <c r="L1038" s="142" t="s">
        <v>570</v>
      </c>
      <c r="M1038" s="142" t="s">
        <v>570</v>
      </c>
      <c r="N1038" s="142" t="s">
        <v>570</v>
      </c>
      <c r="O1038" s="142" t="s">
        <v>570</v>
      </c>
      <c r="P1038" s="428" t="s">
        <v>570</v>
      </c>
      <c r="Q1038" s="179"/>
      <c r="R1038" s="179"/>
      <c r="S1038" s="179"/>
      <c r="T1038" s="500" t="e">
        <f>_xlfn.XLOOKUP(H1038,#REF!,#REF!,0,0)</f>
        <v>#REF!</v>
      </c>
    </row>
    <row r="1039" spans="1:20" x14ac:dyDescent="0.4">
      <c r="A1039" s="142" t="s">
        <v>753</v>
      </c>
      <c r="B1039" s="142" t="s">
        <v>3570</v>
      </c>
      <c r="C1039" s="142"/>
      <c r="D1039" s="142" t="s">
        <v>767</v>
      </c>
      <c r="E1039" s="256"/>
      <c r="F1039" s="142" t="s">
        <v>10</v>
      </c>
      <c r="G1039" s="256" t="s">
        <v>670</v>
      </c>
      <c r="H1039" s="256">
        <v>43271</v>
      </c>
      <c r="I1039" s="142" t="s">
        <v>3581</v>
      </c>
      <c r="J1039" s="142">
        <v>68457</v>
      </c>
      <c r="K1039" s="256" t="s">
        <v>3582</v>
      </c>
      <c r="L1039" s="142" t="s">
        <v>570</v>
      </c>
      <c r="M1039" s="142" t="s">
        <v>570</v>
      </c>
      <c r="N1039" s="142" t="s">
        <v>570</v>
      </c>
      <c r="O1039" s="142" t="s">
        <v>570</v>
      </c>
      <c r="P1039" s="428" t="s">
        <v>570</v>
      </c>
      <c r="Q1039" s="179"/>
      <c r="R1039" s="179"/>
      <c r="S1039" s="179"/>
      <c r="T1039" s="500" t="e">
        <f>_xlfn.XLOOKUP(H1039,#REF!,#REF!,0,0)</f>
        <v>#REF!</v>
      </c>
    </row>
    <row r="1040" spans="1:20" x14ac:dyDescent="0.4">
      <c r="A1040" s="142" t="s">
        <v>753</v>
      </c>
      <c r="B1040" s="142" t="s">
        <v>3570</v>
      </c>
      <c r="C1040" s="142"/>
      <c r="D1040" s="142" t="s">
        <v>767</v>
      </c>
      <c r="E1040" s="256"/>
      <c r="F1040" s="142" t="s">
        <v>10</v>
      </c>
      <c r="G1040" s="256" t="s">
        <v>670</v>
      </c>
      <c r="H1040" s="256">
        <v>43271</v>
      </c>
      <c r="I1040" s="142" t="s">
        <v>3583</v>
      </c>
      <c r="J1040" s="142">
        <v>68458</v>
      </c>
      <c r="K1040" s="256" t="s">
        <v>3584</v>
      </c>
      <c r="L1040" s="142" t="s">
        <v>570</v>
      </c>
      <c r="M1040" s="142" t="s">
        <v>570</v>
      </c>
      <c r="N1040" s="142" t="s">
        <v>570</v>
      </c>
      <c r="O1040" s="142" t="s">
        <v>570</v>
      </c>
      <c r="P1040" s="428" t="s">
        <v>570</v>
      </c>
      <c r="Q1040" s="179"/>
      <c r="R1040" s="179"/>
      <c r="S1040" s="179"/>
      <c r="T1040" s="500" t="e">
        <f>_xlfn.XLOOKUP(H1040,#REF!,#REF!,0,0)</f>
        <v>#REF!</v>
      </c>
    </row>
    <row r="1041" spans="1:20" x14ac:dyDescent="0.4">
      <c r="A1041" s="142" t="s">
        <v>753</v>
      </c>
      <c r="B1041" s="142" t="s">
        <v>3570</v>
      </c>
      <c r="C1041" s="142"/>
      <c r="D1041" s="142" t="s">
        <v>767</v>
      </c>
      <c r="E1041" s="256"/>
      <c r="F1041" s="142" t="s">
        <v>10</v>
      </c>
      <c r="G1041" s="256" t="s">
        <v>670</v>
      </c>
      <c r="H1041" s="256">
        <v>43271</v>
      </c>
      <c r="I1041" s="142" t="s">
        <v>3585</v>
      </c>
      <c r="J1041" s="142">
        <v>68459</v>
      </c>
      <c r="K1041" s="256" t="s">
        <v>3586</v>
      </c>
      <c r="L1041" s="142" t="s">
        <v>570</v>
      </c>
      <c r="M1041" s="142" t="s">
        <v>570</v>
      </c>
      <c r="N1041" s="142" t="s">
        <v>570</v>
      </c>
      <c r="O1041" s="142" t="s">
        <v>570</v>
      </c>
      <c r="P1041" s="428" t="s">
        <v>570</v>
      </c>
      <c r="Q1041" s="179"/>
      <c r="R1041" s="179"/>
      <c r="S1041" s="179"/>
      <c r="T1041" s="500" t="e">
        <f>_xlfn.XLOOKUP(H1041,#REF!,#REF!,0,0)</f>
        <v>#REF!</v>
      </c>
    </row>
    <row r="1042" spans="1:20" x14ac:dyDescent="0.4">
      <c r="A1042" s="142" t="s">
        <v>753</v>
      </c>
      <c r="B1042" s="142" t="s">
        <v>3570</v>
      </c>
      <c r="C1042" s="142"/>
      <c r="D1042" s="142" t="s">
        <v>767</v>
      </c>
      <c r="E1042" s="256"/>
      <c r="F1042" s="142" t="s">
        <v>10</v>
      </c>
      <c r="G1042" s="256" t="s">
        <v>670</v>
      </c>
      <c r="H1042" s="256">
        <v>43271</v>
      </c>
      <c r="I1042" s="142" t="s">
        <v>3587</v>
      </c>
      <c r="J1042" s="142">
        <v>68460</v>
      </c>
      <c r="K1042" s="256" t="s">
        <v>3588</v>
      </c>
      <c r="L1042" s="142" t="s">
        <v>570</v>
      </c>
      <c r="M1042" s="142" t="s">
        <v>570</v>
      </c>
      <c r="N1042" s="142" t="s">
        <v>570</v>
      </c>
      <c r="O1042" s="142" t="s">
        <v>570</v>
      </c>
      <c r="P1042" s="428" t="s">
        <v>570</v>
      </c>
      <c r="Q1042" s="179"/>
      <c r="R1042" s="179"/>
      <c r="S1042" s="179"/>
      <c r="T1042" s="500" t="e">
        <f>_xlfn.XLOOKUP(H1042,#REF!,#REF!,0,0)</f>
        <v>#REF!</v>
      </c>
    </row>
    <row r="1043" spans="1:20" x14ac:dyDescent="0.4">
      <c r="A1043" s="142" t="s">
        <v>753</v>
      </c>
      <c r="B1043" s="142" t="s">
        <v>3570</v>
      </c>
      <c r="C1043" s="142"/>
      <c r="D1043" s="142" t="s">
        <v>767</v>
      </c>
      <c r="E1043" s="256"/>
      <c r="F1043" s="142" t="s">
        <v>10</v>
      </c>
      <c r="G1043" s="256" t="s">
        <v>670</v>
      </c>
      <c r="H1043" s="256">
        <v>43271</v>
      </c>
      <c r="I1043" s="142" t="s">
        <v>3589</v>
      </c>
      <c r="J1043" s="142">
        <v>68461</v>
      </c>
      <c r="K1043" s="256" t="s">
        <v>3590</v>
      </c>
      <c r="L1043" s="142" t="s">
        <v>570</v>
      </c>
      <c r="M1043" s="142" t="s">
        <v>570</v>
      </c>
      <c r="N1043" s="142" t="s">
        <v>570</v>
      </c>
      <c r="O1043" s="142" t="s">
        <v>570</v>
      </c>
      <c r="P1043" s="428" t="s">
        <v>570</v>
      </c>
      <c r="Q1043" s="179"/>
      <c r="R1043" s="179"/>
      <c r="S1043" s="179"/>
      <c r="T1043" s="500" t="e">
        <f>_xlfn.XLOOKUP(H1043,#REF!,#REF!,0,0)</f>
        <v>#REF!</v>
      </c>
    </row>
    <row r="1044" spans="1:20" x14ac:dyDescent="0.4">
      <c r="A1044" s="142" t="s">
        <v>753</v>
      </c>
      <c r="B1044" s="142" t="s">
        <v>3570</v>
      </c>
      <c r="C1044" s="142"/>
      <c r="D1044" s="142" t="s">
        <v>767</v>
      </c>
      <c r="E1044" s="256"/>
      <c r="F1044" s="142" t="s">
        <v>10</v>
      </c>
      <c r="G1044" s="256" t="s">
        <v>670</v>
      </c>
      <c r="H1044" s="256">
        <v>43271</v>
      </c>
      <c r="I1044" s="142" t="s">
        <v>678</v>
      </c>
      <c r="J1044" s="142">
        <v>68462</v>
      </c>
      <c r="K1044" s="256" t="s">
        <v>3591</v>
      </c>
      <c r="L1044" s="142" t="s">
        <v>570</v>
      </c>
      <c r="M1044" s="142" t="s">
        <v>570</v>
      </c>
      <c r="N1044" s="142" t="s">
        <v>570</v>
      </c>
      <c r="O1044" s="142" t="s">
        <v>570</v>
      </c>
      <c r="P1044" s="428" t="s">
        <v>570</v>
      </c>
      <c r="Q1044" s="179"/>
      <c r="R1044" s="179"/>
      <c r="S1044" s="179"/>
      <c r="T1044" s="500" t="e">
        <f>_xlfn.XLOOKUP(H1044,#REF!,#REF!,0,0)</f>
        <v>#REF!</v>
      </c>
    </row>
    <row r="1045" spans="1:20" x14ac:dyDescent="0.4">
      <c r="A1045" s="142" t="s">
        <v>753</v>
      </c>
      <c r="B1045" s="142" t="s">
        <v>3570</v>
      </c>
      <c r="C1045" s="142"/>
      <c r="D1045" s="142" t="s">
        <v>767</v>
      </c>
      <c r="E1045" s="256"/>
      <c r="F1045" s="142" t="s">
        <v>10</v>
      </c>
      <c r="G1045" s="256" t="s">
        <v>670</v>
      </c>
      <c r="H1045" s="256">
        <v>43271</v>
      </c>
      <c r="I1045" s="142" t="s">
        <v>3592</v>
      </c>
      <c r="J1045" s="142">
        <v>68463</v>
      </c>
      <c r="K1045" s="256" t="s">
        <v>3593</v>
      </c>
      <c r="L1045" s="142" t="s">
        <v>570</v>
      </c>
      <c r="M1045" s="142" t="s">
        <v>3594</v>
      </c>
      <c r="N1045" s="142" t="s">
        <v>570</v>
      </c>
      <c r="O1045" s="142" t="s">
        <v>570</v>
      </c>
      <c r="P1045" s="428" t="s">
        <v>570</v>
      </c>
      <c r="Q1045" s="179"/>
      <c r="R1045" s="179"/>
      <c r="S1045" s="179"/>
      <c r="T1045" s="500" t="e">
        <f>_xlfn.XLOOKUP(H1045,#REF!,#REF!,0,0)</f>
        <v>#REF!</v>
      </c>
    </row>
    <row r="1046" spans="1:20" x14ac:dyDescent="0.4">
      <c r="A1046" s="142" t="s">
        <v>753</v>
      </c>
      <c r="B1046" s="142" t="s">
        <v>3570</v>
      </c>
      <c r="C1046" s="142"/>
      <c r="D1046" s="142" t="s">
        <v>767</v>
      </c>
      <c r="E1046" s="256"/>
      <c r="F1046" s="142" t="s">
        <v>10</v>
      </c>
      <c r="G1046" s="256" t="s">
        <v>670</v>
      </c>
      <c r="H1046" s="256">
        <v>43271</v>
      </c>
      <c r="I1046" s="142" t="s">
        <v>3595</v>
      </c>
      <c r="J1046" s="142">
        <v>68464</v>
      </c>
      <c r="K1046" s="256" t="s">
        <v>3596</v>
      </c>
      <c r="L1046" s="142" t="s">
        <v>570</v>
      </c>
      <c r="M1046" s="142" t="s">
        <v>570</v>
      </c>
      <c r="N1046" s="142" t="s">
        <v>570</v>
      </c>
      <c r="O1046" s="142" t="s">
        <v>570</v>
      </c>
      <c r="P1046" s="428" t="s">
        <v>570</v>
      </c>
      <c r="Q1046" s="179"/>
      <c r="R1046" s="179"/>
      <c r="S1046" s="179"/>
      <c r="T1046" s="500" t="e">
        <f>_xlfn.XLOOKUP(H1046,#REF!,#REF!,0,0)</f>
        <v>#REF!</v>
      </c>
    </row>
    <row r="1047" spans="1:20" x14ac:dyDescent="0.4">
      <c r="A1047" s="142" t="s">
        <v>753</v>
      </c>
      <c r="B1047" s="142" t="s">
        <v>3570</v>
      </c>
      <c r="C1047" s="142"/>
      <c r="D1047" s="142" t="s">
        <v>767</v>
      </c>
      <c r="E1047" s="256"/>
      <c r="F1047" s="142" t="s">
        <v>10</v>
      </c>
      <c r="G1047" s="256" t="s">
        <v>670</v>
      </c>
      <c r="H1047" s="256">
        <v>43271</v>
      </c>
      <c r="I1047" s="142" t="s">
        <v>3597</v>
      </c>
      <c r="J1047" s="142">
        <v>68465</v>
      </c>
      <c r="K1047" s="256" t="s">
        <v>3598</v>
      </c>
      <c r="L1047" s="142" t="s">
        <v>570</v>
      </c>
      <c r="M1047" s="142" t="s">
        <v>570</v>
      </c>
      <c r="N1047" s="142" t="s">
        <v>570</v>
      </c>
      <c r="O1047" s="142" t="s">
        <v>570</v>
      </c>
      <c r="P1047" s="428" t="s">
        <v>570</v>
      </c>
      <c r="Q1047" s="179"/>
      <c r="R1047" s="179"/>
      <c r="S1047" s="179"/>
      <c r="T1047" s="500" t="e">
        <f>_xlfn.XLOOKUP(H1047,#REF!,#REF!,0,0)</f>
        <v>#REF!</v>
      </c>
    </row>
    <row r="1048" spans="1:20" x14ac:dyDescent="0.4">
      <c r="A1048" s="142" t="s">
        <v>753</v>
      </c>
      <c r="B1048" s="142" t="s">
        <v>3570</v>
      </c>
      <c r="C1048" s="142"/>
      <c r="D1048" s="142" t="s">
        <v>767</v>
      </c>
      <c r="E1048" s="256"/>
      <c r="F1048" s="142" t="s">
        <v>10</v>
      </c>
      <c r="G1048" s="256" t="s">
        <v>670</v>
      </c>
      <c r="H1048" s="256">
        <v>43271</v>
      </c>
      <c r="I1048" s="142" t="s">
        <v>3599</v>
      </c>
      <c r="J1048" s="142">
        <v>68466</v>
      </c>
      <c r="K1048" s="256" t="s">
        <v>3600</v>
      </c>
      <c r="L1048" s="142" t="s">
        <v>570</v>
      </c>
      <c r="M1048" s="142" t="s">
        <v>570</v>
      </c>
      <c r="N1048" s="142" t="s">
        <v>570</v>
      </c>
      <c r="O1048" s="142" t="s">
        <v>570</v>
      </c>
      <c r="P1048" s="428" t="s">
        <v>570</v>
      </c>
      <c r="Q1048" s="179"/>
      <c r="R1048" s="179"/>
      <c r="S1048" s="179"/>
      <c r="T1048" s="500" t="e">
        <f>_xlfn.XLOOKUP(H1048,#REF!,#REF!,0,0)</f>
        <v>#REF!</v>
      </c>
    </row>
    <row r="1049" spans="1:20" x14ac:dyDescent="0.4">
      <c r="A1049" s="142" t="s">
        <v>753</v>
      </c>
      <c r="B1049" s="142" t="s">
        <v>3570</v>
      </c>
      <c r="C1049" s="142"/>
      <c r="D1049" s="142" t="s">
        <v>767</v>
      </c>
      <c r="E1049" s="256"/>
      <c r="F1049" s="142" t="s">
        <v>10</v>
      </c>
      <c r="G1049" s="256" t="s">
        <v>670</v>
      </c>
      <c r="H1049" s="256">
        <v>43271</v>
      </c>
      <c r="I1049" s="142" t="s">
        <v>3601</v>
      </c>
      <c r="J1049" s="142">
        <v>68467</v>
      </c>
      <c r="K1049" s="256" t="s">
        <v>3602</v>
      </c>
      <c r="L1049" s="142" t="s">
        <v>570</v>
      </c>
      <c r="M1049" s="142" t="s">
        <v>570</v>
      </c>
      <c r="N1049" s="142" t="s">
        <v>570</v>
      </c>
      <c r="O1049" s="142" t="s">
        <v>570</v>
      </c>
      <c r="P1049" s="428" t="s">
        <v>570</v>
      </c>
      <c r="Q1049" s="179"/>
      <c r="R1049" s="179"/>
      <c r="S1049" s="179"/>
      <c r="T1049" s="500" t="e">
        <f>_xlfn.XLOOKUP(H1049,#REF!,#REF!,0,0)</f>
        <v>#REF!</v>
      </c>
    </row>
    <row r="1050" spans="1:20" x14ac:dyDescent="0.4">
      <c r="A1050" s="142" t="s">
        <v>753</v>
      </c>
      <c r="B1050" s="142" t="s">
        <v>3570</v>
      </c>
      <c r="C1050" s="142"/>
      <c r="D1050" s="142" t="s">
        <v>767</v>
      </c>
      <c r="E1050" s="256"/>
      <c r="F1050" s="142" t="s">
        <v>10</v>
      </c>
      <c r="G1050" s="256" t="s">
        <v>670</v>
      </c>
      <c r="H1050" s="256">
        <v>43271</v>
      </c>
      <c r="I1050" s="142" t="s">
        <v>3603</v>
      </c>
      <c r="J1050" s="142">
        <v>68468</v>
      </c>
      <c r="K1050" s="256" t="s">
        <v>3604</v>
      </c>
      <c r="L1050" s="142" t="s">
        <v>570</v>
      </c>
      <c r="M1050" s="142" t="s">
        <v>570</v>
      </c>
      <c r="N1050" s="142" t="s">
        <v>570</v>
      </c>
      <c r="O1050" s="142" t="s">
        <v>570</v>
      </c>
      <c r="P1050" s="428" t="s">
        <v>570</v>
      </c>
      <c r="Q1050" s="179"/>
      <c r="R1050" s="179"/>
      <c r="S1050" s="179"/>
      <c r="T1050" s="500" t="e">
        <f>_xlfn.XLOOKUP(H1050,#REF!,#REF!,0,0)</f>
        <v>#REF!</v>
      </c>
    </row>
    <row r="1051" spans="1:20" x14ac:dyDescent="0.4">
      <c r="A1051" s="142" t="s">
        <v>753</v>
      </c>
      <c r="B1051" s="142" t="s">
        <v>3605</v>
      </c>
      <c r="C1051" s="142"/>
      <c r="D1051" s="142" t="s">
        <v>3606</v>
      </c>
      <c r="E1051" s="256"/>
      <c r="F1051" s="142" t="s">
        <v>10</v>
      </c>
      <c r="G1051" s="256" t="s">
        <v>670</v>
      </c>
      <c r="H1051" s="256">
        <v>43271</v>
      </c>
      <c r="I1051" s="142" t="s">
        <v>3607</v>
      </c>
      <c r="J1051" s="142">
        <v>68476</v>
      </c>
      <c r="K1051" s="256" t="s">
        <v>3608</v>
      </c>
      <c r="L1051" s="142" t="s">
        <v>570</v>
      </c>
      <c r="M1051" s="142" t="s">
        <v>570</v>
      </c>
      <c r="N1051" s="142" t="s">
        <v>570</v>
      </c>
      <c r="O1051" s="142" t="s">
        <v>570</v>
      </c>
      <c r="P1051" s="428" t="s">
        <v>570</v>
      </c>
      <c r="Q1051" s="179"/>
      <c r="R1051" s="179"/>
      <c r="S1051" s="179"/>
      <c r="T1051" s="500" t="e">
        <f>_xlfn.XLOOKUP(H1051,#REF!,#REF!,0,0)</f>
        <v>#REF!</v>
      </c>
    </row>
    <row r="1052" spans="1:20" x14ac:dyDescent="0.4">
      <c r="A1052" s="142" t="s">
        <v>753</v>
      </c>
      <c r="B1052" s="142" t="s">
        <v>3605</v>
      </c>
      <c r="C1052" s="142"/>
      <c r="D1052" s="142" t="s">
        <v>3606</v>
      </c>
      <c r="E1052" s="256"/>
      <c r="F1052" s="142" t="s">
        <v>10</v>
      </c>
      <c r="G1052" s="256" t="s">
        <v>670</v>
      </c>
      <c r="H1052" s="256">
        <v>43271</v>
      </c>
      <c r="I1052" s="142" t="s">
        <v>3609</v>
      </c>
      <c r="J1052" s="142">
        <v>68477</v>
      </c>
      <c r="K1052" s="256" t="s">
        <v>3610</v>
      </c>
      <c r="L1052" s="142" t="s">
        <v>570</v>
      </c>
      <c r="M1052" s="142" t="s">
        <v>570</v>
      </c>
      <c r="N1052" s="142" t="s">
        <v>570</v>
      </c>
      <c r="O1052" s="142" t="s">
        <v>570</v>
      </c>
      <c r="P1052" s="428" t="s">
        <v>570</v>
      </c>
      <c r="Q1052" s="179"/>
      <c r="R1052" s="179"/>
      <c r="S1052" s="179"/>
      <c r="T1052" s="500" t="e">
        <f>_xlfn.XLOOKUP(H1052,#REF!,#REF!,0,0)</f>
        <v>#REF!</v>
      </c>
    </row>
    <row r="1053" spans="1:20" x14ac:dyDescent="0.4">
      <c r="A1053" s="142" t="s">
        <v>753</v>
      </c>
      <c r="B1053" s="142" t="s">
        <v>3605</v>
      </c>
      <c r="C1053" s="142"/>
      <c r="D1053" s="142" t="s">
        <v>3606</v>
      </c>
      <c r="E1053" s="256"/>
      <c r="F1053" s="142" t="s">
        <v>10</v>
      </c>
      <c r="G1053" s="256" t="s">
        <v>670</v>
      </c>
      <c r="H1053" s="256">
        <v>43271</v>
      </c>
      <c r="I1053" s="142" t="s">
        <v>3611</v>
      </c>
      <c r="J1053" s="142">
        <v>68478</v>
      </c>
      <c r="K1053" s="256" t="s">
        <v>3612</v>
      </c>
      <c r="L1053" s="142" t="s">
        <v>570</v>
      </c>
      <c r="M1053" s="142" t="s">
        <v>570</v>
      </c>
      <c r="N1053" s="142" t="s">
        <v>570</v>
      </c>
      <c r="O1053" s="142" t="s">
        <v>570</v>
      </c>
      <c r="P1053" s="428" t="s">
        <v>570</v>
      </c>
      <c r="Q1053" s="179"/>
      <c r="R1053" s="179"/>
      <c r="S1053" s="179"/>
      <c r="T1053" s="500" t="e">
        <f>_xlfn.XLOOKUP(H1053,#REF!,#REF!,0,0)</f>
        <v>#REF!</v>
      </c>
    </row>
    <row r="1054" spans="1:20" x14ac:dyDescent="0.4">
      <c r="A1054" s="142" t="s">
        <v>753</v>
      </c>
      <c r="B1054" s="142" t="s">
        <v>3605</v>
      </c>
      <c r="C1054" s="142"/>
      <c r="D1054" s="142" t="s">
        <v>3606</v>
      </c>
      <c r="E1054" s="256"/>
      <c r="F1054" s="142" t="s">
        <v>10</v>
      </c>
      <c r="G1054" s="256" t="s">
        <v>670</v>
      </c>
      <c r="H1054" s="256">
        <v>43271</v>
      </c>
      <c r="I1054" s="142" t="s">
        <v>3613</v>
      </c>
      <c r="J1054" s="142">
        <v>68479</v>
      </c>
      <c r="K1054" s="256" t="s">
        <v>3614</v>
      </c>
      <c r="L1054" s="142" t="s">
        <v>570</v>
      </c>
      <c r="M1054" s="142" t="s">
        <v>570</v>
      </c>
      <c r="N1054" s="142" t="s">
        <v>570</v>
      </c>
      <c r="O1054" s="142" t="s">
        <v>570</v>
      </c>
      <c r="P1054" s="428" t="s">
        <v>570</v>
      </c>
      <c r="Q1054" s="179"/>
      <c r="R1054" s="179"/>
      <c r="S1054" s="179"/>
      <c r="T1054" s="500" t="e">
        <f>_xlfn.XLOOKUP(H1054,#REF!,#REF!,0,0)</f>
        <v>#REF!</v>
      </c>
    </row>
    <row r="1055" spans="1:20" x14ac:dyDescent="0.4">
      <c r="A1055" s="142" t="s">
        <v>753</v>
      </c>
      <c r="B1055" s="142" t="s">
        <v>3605</v>
      </c>
      <c r="C1055" s="142"/>
      <c r="D1055" s="142" t="s">
        <v>3606</v>
      </c>
      <c r="E1055" s="256"/>
      <c r="F1055" s="142" t="s">
        <v>10</v>
      </c>
      <c r="G1055" s="256" t="s">
        <v>670</v>
      </c>
      <c r="H1055" s="256">
        <v>43271</v>
      </c>
      <c r="I1055" s="142" t="s">
        <v>3615</v>
      </c>
      <c r="J1055" s="142">
        <v>68480</v>
      </c>
      <c r="K1055" s="256" t="s">
        <v>3616</v>
      </c>
      <c r="L1055" s="142" t="s">
        <v>570</v>
      </c>
      <c r="M1055" s="142" t="s">
        <v>570</v>
      </c>
      <c r="N1055" s="142" t="s">
        <v>570</v>
      </c>
      <c r="O1055" s="142" t="s">
        <v>570</v>
      </c>
      <c r="P1055" s="428" t="s">
        <v>570</v>
      </c>
      <c r="Q1055" s="179"/>
      <c r="R1055" s="179"/>
      <c r="S1055" s="179"/>
      <c r="T1055" s="500" t="e">
        <f>_xlfn.XLOOKUP(H1055,#REF!,#REF!,0,0)</f>
        <v>#REF!</v>
      </c>
    </row>
    <row r="1056" spans="1:20" x14ac:dyDescent="0.4">
      <c r="A1056" s="167" t="s">
        <v>3617</v>
      </c>
      <c r="B1056" s="167" t="s">
        <v>3618</v>
      </c>
      <c r="C1056" s="167"/>
      <c r="D1056" s="167" t="s">
        <v>704</v>
      </c>
      <c r="E1056" s="168"/>
      <c r="F1056" s="167" t="s">
        <v>10</v>
      </c>
      <c r="G1056" s="168" t="s">
        <v>670</v>
      </c>
      <c r="H1056" s="168">
        <v>43271</v>
      </c>
      <c r="I1056" s="167" t="s">
        <v>799</v>
      </c>
      <c r="J1056" s="218">
        <v>68481</v>
      </c>
      <c r="K1056" s="168" t="s">
        <v>800</v>
      </c>
      <c r="L1056" s="167" t="s">
        <v>570</v>
      </c>
      <c r="M1056" s="167"/>
      <c r="N1056" s="167" t="s">
        <v>570</v>
      </c>
      <c r="O1056" s="167" t="s">
        <v>570</v>
      </c>
      <c r="P1056" s="461" t="s">
        <v>570</v>
      </c>
      <c r="Q1056" s="26"/>
      <c r="R1056" s="26"/>
      <c r="S1056" s="26"/>
      <c r="T1056" s="500" t="e">
        <f>_xlfn.XLOOKUP(H1056,#REF!,#REF!,0,0)</f>
        <v>#REF!</v>
      </c>
    </row>
    <row r="1057" spans="1:20" x14ac:dyDescent="0.4">
      <c r="A1057" s="167"/>
      <c r="B1057" s="28"/>
      <c r="C1057" s="28"/>
      <c r="D1057" s="167"/>
      <c r="E1057" s="168"/>
      <c r="F1057" s="167"/>
      <c r="G1057" s="168"/>
      <c r="H1057" s="168"/>
      <c r="I1057" s="167"/>
      <c r="J1057" s="167"/>
      <c r="K1057" s="168"/>
      <c r="L1057" s="167"/>
      <c r="M1057" s="167"/>
      <c r="N1057" s="167"/>
      <c r="O1057" s="167"/>
      <c r="P1057" s="461"/>
      <c r="Q1057" s="26"/>
      <c r="R1057" s="26"/>
      <c r="S1057" s="26"/>
      <c r="T1057" s="500" t="e">
        <f>_xlfn.XLOOKUP(H1057,#REF!,#REF!,0,0)</f>
        <v>#REF!</v>
      </c>
    </row>
    <row r="1058" spans="1:20" x14ac:dyDescent="0.4">
      <c r="A1058" s="167"/>
      <c r="B1058" s="28"/>
      <c r="C1058" s="28"/>
      <c r="D1058" s="167"/>
      <c r="E1058" s="168"/>
      <c r="F1058" s="167"/>
      <c r="G1058" s="168"/>
      <c r="H1058" s="168"/>
      <c r="I1058" s="167"/>
      <c r="J1058" s="167"/>
      <c r="K1058" s="168"/>
      <c r="L1058" s="167"/>
      <c r="M1058" s="167"/>
      <c r="N1058" s="167"/>
      <c r="O1058" s="167"/>
      <c r="P1058" s="461"/>
      <c r="Q1058" s="26"/>
      <c r="R1058" s="26"/>
      <c r="S1058" s="26"/>
      <c r="T1058" s="500" t="e">
        <f>_xlfn.XLOOKUP(H1058,#REF!,#REF!,0,0)</f>
        <v>#REF!</v>
      </c>
    </row>
    <row r="1059" spans="1:20" x14ac:dyDescent="0.4">
      <c r="A1059" s="167" t="s">
        <v>3619</v>
      </c>
      <c r="B1059" s="167" t="s">
        <v>3620</v>
      </c>
      <c r="C1059" s="167"/>
      <c r="D1059" s="167" t="s">
        <v>704</v>
      </c>
      <c r="E1059" s="168" t="s">
        <v>10</v>
      </c>
      <c r="F1059" s="167" t="s">
        <v>670</v>
      </c>
      <c r="G1059" s="168">
        <v>43271</v>
      </c>
      <c r="H1059" s="168" t="s">
        <v>801</v>
      </c>
      <c r="I1059" s="218">
        <v>68482</v>
      </c>
      <c r="J1059" s="167" t="s">
        <v>3621</v>
      </c>
      <c r="K1059" s="168" t="s">
        <v>570</v>
      </c>
      <c r="L1059" s="167"/>
      <c r="M1059" s="167" t="s">
        <v>570</v>
      </c>
      <c r="N1059" s="167" t="s">
        <v>570</v>
      </c>
      <c r="O1059" s="167" t="s">
        <v>570</v>
      </c>
      <c r="P1059" s="461" t="s">
        <v>3</v>
      </c>
      <c r="Q1059" s="26"/>
      <c r="R1059" s="26"/>
      <c r="S1059" s="26"/>
      <c r="T1059" s="500" t="e">
        <f>_xlfn.XLOOKUP(H1059,#REF!,#REF!,0,0)</f>
        <v>#REF!</v>
      </c>
    </row>
    <row r="1060" spans="1:20" x14ac:dyDescent="0.4">
      <c r="A1060" s="167" t="s">
        <v>3622</v>
      </c>
      <c r="B1060" s="28" t="s">
        <v>3623</v>
      </c>
      <c r="C1060" s="28"/>
      <c r="D1060" s="167" t="s">
        <v>704</v>
      </c>
      <c r="E1060" s="168" t="s">
        <v>10</v>
      </c>
      <c r="F1060" s="167" t="s">
        <v>670</v>
      </c>
      <c r="G1060" s="168">
        <v>43271</v>
      </c>
      <c r="H1060" s="168" t="s">
        <v>803</v>
      </c>
      <c r="I1060" s="167">
        <v>68483</v>
      </c>
      <c r="J1060" s="167" t="s">
        <v>3624</v>
      </c>
      <c r="K1060" s="168" t="s">
        <v>570</v>
      </c>
      <c r="L1060" s="167"/>
      <c r="M1060" s="167" t="s">
        <v>570</v>
      </c>
      <c r="N1060" s="167" t="s">
        <v>570</v>
      </c>
      <c r="O1060" s="167" t="s">
        <v>570</v>
      </c>
      <c r="P1060" s="461" t="s">
        <v>3</v>
      </c>
      <c r="Q1060" s="26"/>
      <c r="R1060" s="26"/>
      <c r="S1060" s="26"/>
      <c r="T1060" s="500" t="e">
        <f>_xlfn.XLOOKUP(H1060,#REF!,#REF!,0,0)</f>
        <v>#REF!</v>
      </c>
    </row>
    <row r="1061" spans="1:20" x14ac:dyDescent="0.4">
      <c r="A1061" s="83"/>
      <c r="B1061" s="71" t="s">
        <v>674</v>
      </c>
      <c r="C1061" s="71"/>
      <c r="D1061" s="83"/>
      <c r="E1061" s="84" t="s">
        <v>10</v>
      </c>
      <c r="F1061" s="184" t="s">
        <v>670</v>
      </c>
      <c r="G1061" s="84"/>
      <c r="H1061" s="84" t="s">
        <v>675</v>
      </c>
      <c r="I1061" s="83">
        <v>68456</v>
      </c>
      <c r="J1061" s="83"/>
      <c r="K1061" s="84"/>
      <c r="L1061" s="83"/>
      <c r="M1061" s="83"/>
      <c r="N1061" s="83"/>
      <c r="O1061" s="83"/>
      <c r="P1061" s="462" t="s">
        <v>676</v>
      </c>
      <c r="Q1061" s="26"/>
      <c r="R1061" s="26"/>
      <c r="S1061" s="26"/>
      <c r="T1061" s="500" t="e">
        <f>_xlfn.XLOOKUP(H1061,#REF!,#REF!,0,0)</f>
        <v>#REF!</v>
      </c>
    </row>
    <row r="1062" spans="1:20" x14ac:dyDescent="0.4">
      <c r="A1062" s="129" t="s">
        <v>753</v>
      </c>
      <c r="B1062" s="129" t="s">
        <v>3625</v>
      </c>
      <c r="C1062" s="129"/>
      <c r="D1062" s="129" t="s">
        <v>767</v>
      </c>
      <c r="E1062" s="130"/>
      <c r="F1062" s="129" t="s">
        <v>567</v>
      </c>
      <c r="G1062" s="130" t="s">
        <v>813</v>
      </c>
      <c r="H1062" s="130">
        <v>43489</v>
      </c>
      <c r="I1062" s="129" t="s">
        <v>161</v>
      </c>
      <c r="J1062" s="129">
        <v>69079</v>
      </c>
      <c r="K1062" s="130" t="s">
        <v>3626</v>
      </c>
      <c r="L1062" s="129" t="s">
        <v>570</v>
      </c>
      <c r="M1062" s="129" t="s">
        <v>570</v>
      </c>
      <c r="N1062" s="129" t="s">
        <v>570</v>
      </c>
      <c r="O1062" s="129" t="s">
        <v>570</v>
      </c>
      <c r="P1062" s="409" t="s">
        <v>570</v>
      </c>
      <c r="Q1062" s="26"/>
      <c r="R1062" s="26"/>
      <c r="S1062" s="26"/>
      <c r="T1062" s="500" t="e">
        <f>_xlfn.XLOOKUP(H1062,#REF!,#REF!,0,0)</f>
        <v>#REF!</v>
      </c>
    </row>
    <row r="1063" spans="1:20" x14ac:dyDescent="0.4">
      <c r="A1063" s="129" t="s">
        <v>753</v>
      </c>
      <c r="B1063" s="129" t="s">
        <v>3627</v>
      </c>
      <c r="C1063" s="129"/>
      <c r="D1063" s="129" t="s">
        <v>767</v>
      </c>
      <c r="E1063" s="130"/>
      <c r="F1063" s="129" t="s">
        <v>567</v>
      </c>
      <c r="G1063" s="130" t="s">
        <v>813</v>
      </c>
      <c r="H1063" s="130">
        <v>43489</v>
      </c>
      <c r="I1063" s="129" t="s">
        <v>814</v>
      </c>
      <c r="J1063" s="142">
        <v>69082</v>
      </c>
      <c r="K1063" s="130" t="s">
        <v>815</v>
      </c>
      <c r="L1063" s="129" t="s">
        <v>570</v>
      </c>
      <c r="M1063" s="129" t="s">
        <v>570</v>
      </c>
      <c r="N1063" s="129" t="s">
        <v>570</v>
      </c>
      <c r="O1063" s="129" t="s">
        <v>570</v>
      </c>
      <c r="P1063" s="409" t="s">
        <v>570</v>
      </c>
      <c r="Q1063" s="26"/>
      <c r="R1063" s="26"/>
      <c r="S1063" s="26"/>
      <c r="T1063" s="500" t="e">
        <f>_xlfn.XLOOKUP(H1063,#REF!,#REF!,0,0)</f>
        <v>#REF!</v>
      </c>
    </row>
    <row r="1064" spans="1:20" x14ac:dyDescent="0.4">
      <c r="A1064" s="129" t="s">
        <v>753</v>
      </c>
      <c r="B1064" s="129" t="s">
        <v>3628</v>
      </c>
      <c r="C1064" s="129"/>
      <c r="D1064" s="129" t="s">
        <v>767</v>
      </c>
      <c r="E1064" s="130"/>
      <c r="F1064" s="129" t="s">
        <v>567</v>
      </c>
      <c r="G1064" s="130" t="s">
        <v>813</v>
      </c>
      <c r="H1064" s="130">
        <v>43489</v>
      </c>
      <c r="I1064" s="129" t="s">
        <v>162</v>
      </c>
      <c r="J1064" s="142">
        <v>69083</v>
      </c>
      <c r="K1064" s="130" t="s">
        <v>3629</v>
      </c>
      <c r="L1064" s="129" t="s">
        <v>570</v>
      </c>
      <c r="M1064" s="129" t="s">
        <v>570</v>
      </c>
      <c r="N1064" s="129" t="s">
        <v>570</v>
      </c>
      <c r="O1064" s="129" t="s">
        <v>570</v>
      </c>
      <c r="P1064" s="409" t="s">
        <v>570</v>
      </c>
      <c r="Q1064" s="26"/>
      <c r="R1064" s="26"/>
      <c r="S1064" s="26"/>
      <c r="T1064" s="500" t="e">
        <f>_xlfn.XLOOKUP(H1064,#REF!,#REF!,0,0)</f>
        <v>#REF!</v>
      </c>
    </row>
    <row r="1065" spans="1:20" x14ac:dyDescent="0.4">
      <c r="A1065" s="134" t="s">
        <v>570</v>
      </c>
      <c r="B1065" s="134" t="s">
        <v>3630</v>
      </c>
      <c r="C1065" s="134"/>
      <c r="D1065" s="134" t="s">
        <v>567</v>
      </c>
      <c r="E1065" s="18" t="s">
        <v>3631</v>
      </c>
      <c r="F1065" s="10">
        <v>41927</v>
      </c>
      <c r="G1065" s="18" t="s">
        <v>41</v>
      </c>
      <c r="H1065" s="18">
        <v>59377</v>
      </c>
      <c r="I1065" s="134" t="s">
        <v>3632</v>
      </c>
      <c r="J1065" s="134" t="s">
        <v>3633</v>
      </c>
      <c r="K1065" s="18" t="s">
        <v>570</v>
      </c>
      <c r="L1065" s="134" t="s">
        <v>570</v>
      </c>
      <c r="M1065" s="134" t="s">
        <v>570</v>
      </c>
      <c r="N1065" s="134" t="s">
        <v>570</v>
      </c>
      <c r="O1065" s="134" t="s">
        <v>570</v>
      </c>
      <c r="P1065" s="449"/>
      <c r="Q1065" s="26"/>
      <c r="R1065" s="26"/>
      <c r="S1065" s="26"/>
      <c r="T1065" s="500" t="e">
        <f>_xlfn.XLOOKUP(H1065,#REF!,#REF!,0,0)</f>
        <v>#REF!</v>
      </c>
    </row>
    <row r="1066" spans="1:20" x14ac:dyDescent="0.4">
      <c r="A1066" s="134" t="s">
        <v>570</v>
      </c>
      <c r="B1066" s="134" t="s">
        <v>3634</v>
      </c>
      <c r="C1066" s="134"/>
      <c r="D1066" s="134" t="s">
        <v>567</v>
      </c>
      <c r="E1066" s="18" t="s">
        <v>3631</v>
      </c>
      <c r="F1066" s="10">
        <v>41927</v>
      </c>
      <c r="G1066" s="18" t="s">
        <v>3635</v>
      </c>
      <c r="H1066" s="18">
        <v>59379</v>
      </c>
      <c r="I1066" s="134" t="s">
        <v>3636</v>
      </c>
      <c r="J1066" s="134" t="s">
        <v>3637</v>
      </c>
      <c r="K1066" s="18" t="s">
        <v>570</v>
      </c>
      <c r="L1066" s="134" t="s">
        <v>570</v>
      </c>
      <c r="M1066" s="134" t="s">
        <v>570</v>
      </c>
      <c r="N1066" s="134" t="s">
        <v>570</v>
      </c>
      <c r="O1066" s="134" t="s">
        <v>570</v>
      </c>
      <c r="P1066" s="449"/>
      <c r="Q1066" s="26"/>
      <c r="R1066" s="26"/>
      <c r="S1066" s="26"/>
      <c r="T1066" s="500" t="e">
        <f>_xlfn.XLOOKUP(H1066,#REF!,#REF!,0,0)</f>
        <v>#REF!</v>
      </c>
    </row>
    <row r="1067" spans="1:20" x14ac:dyDescent="0.4">
      <c r="A1067" s="134" t="s">
        <v>570</v>
      </c>
      <c r="B1067" s="135" t="s">
        <v>3638</v>
      </c>
      <c r="C1067" s="135"/>
      <c r="D1067" s="134" t="s">
        <v>567</v>
      </c>
      <c r="E1067" s="18" t="s">
        <v>3631</v>
      </c>
      <c r="F1067" s="10">
        <v>41927</v>
      </c>
      <c r="G1067" s="18" t="s">
        <v>3639</v>
      </c>
      <c r="H1067" s="18">
        <v>59381</v>
      </c>
      <c r="I1067" s="134" t="s">
        <v>3640</v>
      </c>
      <c r="J1067" s="134" t="s">
        <v>3641</v>
      </c>
      <c r="K1067" s="18" t="s">
        <v>570</v>
      </c>
      <c r="L1067" s="134" t="s">
        <v>570</v>
      </c>
      <c r="M1067" s="134" t="s">
        <v>570</v>
      </c>
      <c r="N1067" s="134" t="s">
        <v>570</v>
      </c>
      <c r="O1067" s="134" t="s">
        <v>570</v>
      </c>
      <c r="P1067" s="449"/>
      <c r="Q1067" s="26"/>
      <c r="R1067" s="26"/>
      <c r="S1067" s="26"/>
      <c r="T1067" s="500" t="e">
        <f>_xlfn.XLOOKUP(H1067,#REF!,#REF!,0,0)</f>
        <v>#REF!</v>
      </c>
    </row>
    <row r="1068" spans="1:20" x14ac:dyDescent="0.4">
      <c r="A1068" s="134" t="s">
        <v>570</v>
      </c>
      <c r="B1068" s="135" t="s">
        <v>3642</v>
      </c>
      <c r="C1068" s="135"/>
      <c r="D1068" s="134" t="s">
        <v>567</v>
      </c>
      <c r="E1068" s="18" t="s">
        <v>3631</v>
      </c>
      <c r="F1068" s="10">
        <v>41927</v>
      </c>
      <c r="G1068" s="18" t="s">
        <v>3643</v>
      </c>
      <c r="H1068" s="18">
        <v>59378</v>
      </c>
      <c r="I1068" s="134" t="s">
        <v>3644</v>
      </c>
      <c r="J1068" s="134" t="s">
        <v>3645</v>
      </c>
      <c r="K1068" s="18" t="s">
        <v>570</v>
      </c>
      <c r="L1068" s="134" t="s">
        <v>570</v>
      </c>
      <c r="M1068" s="134" t="s">
        <v>570</v>
      </c>
      <c r="N1068" s="134" t="s">
        <v>570</v>
      </c>
      <c r="O1068" s="134" t="s">
        <v>570</v>
      </c>
      <c r="P1068" s="449"/>
      <c r="Q1068" s="26"/>
      <c r="R1068" s="26"/>
      <c r="S1068" s="26"/>
      <c r="T1068" s="500" t="e">
        <f>_xlfn.XLOOKUP(H1068,#REF!,#REF!,0,0)</f>
        <v>#REF!</v>
      </c>
    </row>
    <row r="1069" spans="1:20" x14ac:dyDescent="0.4">
      <c r="A1069" s="134" t="s">
        <v>570</v>
      </c>
      <c r="B1069" s="135" t="s">
        <v>3646</v>
      </c>
      <c r="C1069" s="135"/>
      <c r="D1069" s="135" t="s">
        <v>567</v>
      </c>
      <c r="E1069" s="19" t="s">
        <v>3631</v>
      </c>
      <c r="F1069" s="20">
        <v>41927</v>
      </c>
      <c r="G1069" s="19" t="s">
        <v>3647</v>
      </c>
      <c r="H1069" s="19">
        <v>59380</v>
      </c>
      <c r="I1069" s="135" t="s">
        <v>3648</v>
      </c>
      <c r="J1069" s="135" t="s">
        <v>3649</v>
      </c>
      <c r="K1069" s="18" t="s">
        <v>570</v>
      </c>
      <c r="L1069" s="134" t="s">
        <v>570</v>
      </c>
      <c r="M1069" s="134" t="s">
        <v>570</v>
      </c>
      <c r="N1069" s="134" t="s">
        <v>570</v>
      </c>
      <c r="O1069" s="134" t="s">
        <v>570</v>
      </c>
      <c r="P1069" s="449"/>
      <c r="Q1069" s="26"/>
      <c r="R1069" s="26"/>
      <c r="S1069" s="26"/>
      <c r="T1069" s="500" t="e">
        <f>_xlfn.XLOOKUP(H1069,#REF!,#REF!,0,0)</f>
        <v>#REF!</v>
      </c>
    </row>
    <row r="1070" spans="1:20" x14ac:dyDescent="0.4">
      <c r="A1070" s="135" t="s">
        <v>570</v>
      </c>
      <c r="B1070" s="135" t="s">
        <v>3650</v>
      </c>
      <c r="C1070" s="135"/>
      <c r="D1070" s="135" t="s">
        <v>567</v>
      </c>
      <c r="E1070" s="19" t="s">
        <v>3631</v>
      </c>
      <c r="F1070" s="20">
        <v>42041</v>
      </c>
      <c r="G1070" s="19" t="s">
        <v>46</v>
      </c>
      <c r="H1070" s="19">
        <v>59832</v>
      </c>
      <c r="I1070" s="135" t="s">
        <v>3651</v>
      </c>
      <c r="J1070" s="135" t="s">
        <v>3652</v>
      </c>
      <c r="K1070" s="18" t="s">
        <v>570</v>
      </c>
      <c r="L1070" s="134" t="s">
        <v>570</v>
      </c>
      <c r="M1070" s="134" t="s">
        <v>570</v>
      </c>
      <c r="N1070" s="134" t="s">
        <v>570</v>
      </c>
      <c r="O1070" s="134" t="s">
        <v>570</v>
      </c>
      <c r="P1070" s="449"/>
      <c r="Q1070" s="26"/>
      <c r="R1070" s="26"/>
      <c r="S1070" s="26"/>
      <c r="T1070" s="500" t="e">
        <f>_xlfn.XLOOKUP(H1070,#REF!,#REF!,0,0)</f>
        <v>#REF!</v>
      </c>
    </row>
    <row r="1071" spans="1:20" x14ac:dyDescent="0.4">
      <c r="A1071" s="135" t="s">
        <v>570</v>
      </c>
      <c r="B1071" s="135" t="s">
        <v>3653</v>
      </c>
      <c r="C1071" s="135"/>
      <c r="D1071" s="135" t="s">
        <v>567</v>
      </c>
      <c r="E1071" s="19" t="s">
        <v>3631</v>
      </c>
      <c r="F1071" s="20">
        <v>42041</v>
      </c>
      <c r="G1071" s="19" t="s">
        <v>3654</v>
      </c>
      <c r="H1071" s="19">
        <v>59833</v>
      </c>
      <c r="I1071" s="135" t="s">
        <v>3655</v>
      </c>
      <c r="J1071" s="135" t="s">
        <v>3656</v>
      </c>
      <c r="K1071" s="18" t="s">
        <v>570</v>
      </c>
      <c r="L1071" s="134" t="s">
        <v>570</v>
      </c>
      <c r="M1071" s="134" t="s">
        <v>570</v>
      </c>
      <c r="N1071" s="134" t="s">
        <v>570</v>
      </c>
      <c r="O1071" s="134" t="s">
        <v>570</v>
      </c>
      <c r="P1071" s="449"/>
      <c r="Q1071" s="26"/>
      <c r="R1071" s="26"/>
      <c r="S1071" s="26"/>
      <c r="T1071" s="500" t="e">
        <f>_xlfn.XLOOKUP(H1071,#REF!,#REF!,0,0)</f>
        <v>#REF!</v>
      </c>
    </row>
    <row r="1072" spans="1:20" x14ac:dyDescent="0.4">
      <c r="A1072" s="135" t="s">
        <v>570</v>
      </c>
      <c r="B1072" s="135" t="s">
        <v>3657</v>
      </c>
      <c r="C1072" s="135"/>
      <c r="D1072" s="135" t="s">
        <v>567</v>
      </c>
      <c r="E1072" s="19" t="s">
        <v>3631</v>
      </c>
      <c r="F1072" s="20">
        <v>42041</v>
      </c>
      <c r="G1072" s="19" t="s">
        <v>3658</v>
      </c>
      <c r="H1072" s="19">
        <v>59834</v>
      </c>
      <c r="I1072" s="135" t="s">
        <v>3659</v>
      </c>
      <c r="J1072" s="135" t="s">
        <v>3660</v>
      </c>
      <c r="K1072" s="18" t="s">
        <v>570</v>
      </c>
      <c r="L1072" s="134" t="s">
        <v>570</v>
      </c>
      <c r="M1072" s="134" t="s">
        <v>570</v>
      </c>
      <c r="N1072" s="134" t="s">
        <v>570</v>
      </c>
      <c r="O1072" s="134" t="s">
        <v>570</v>
      </c>
      <c r="P1072" s="449"/>
      <c r="Q1072" s="26"/>
      <c r="R1072" s="26"/>
      <c r="S1072" s="26"/>
      <c r="T1072" s="500" t="e">
        <f>_xlfn.XLOOKUP(H1072,#REF!,#REF!,0,0)</f>
        <v>#REF!</v>
      </c>
    </row>
    <row r="1073" spans="1:20" x14ac:dyDescent="0.4">
      <c r="A1073" s="135" t="s">
        <v>570</v>
      </c>
      <c r="B1073" s="135" t="s">
        <v>3661</v>
      </c>
      <c r="C1073" s="135"/>
      <c r="D1073" s="135" t="s">
        <v>567</v>
      </c>
      <c r="E1073" s="19" t="s">
        <v>3631</v>
      </c>
      <c r="F1073" s="20">
        <v>42041</v>
      </c>
      <c r="G1073" s="19" t="s">
        <v>3662</v>
      </c>
      <c r="H1073" s="19">
        <v>59836</v>
      </c>
      <c r="I1073" s="135" t="s">
        <v>3663</v>
      </c>
      <c r="J1073" s="135" t="s">
        <v>3664</v>
      </c>
      <c r="K1073" s="18" t="s">
        <v>570</v>
      </c>
      <c r="L1073" s="134" t="s">
        <v>570</v>
      </c>
      <c r="M1073" s="134" t="s">
        <v>570</v>
      </c>
      <c r="N1073" s="134" t="s">
        <v>570</v>
      </c>
      <c r="O1073" s="134" t="s">
        <v>570</v>
      </c>
      <c r="P1073" s="449"/>
      <c r="Q1073" s="26"/>
      <c r="R1073" s="26"/>
      <c r="S1073" s="26"/>
      <c r="T1073" s="500" t="e">
        <f>_xlfn.XLOOKUP(H1073,#REF!,#REF!,0,0)</f>
        <v>#REF!</v>
      </c>
    </row>
    <row r="1074" spans="1:20" x14ac:dyDescent="0.4">
      <c r="A1074" s="135" t="s">
        <v>570</v>
      </c>
      <c r="B1074" s="135" t="s">
        <v>3665</v>
      </c>
      <c r="C1074" s="135"/>
      <c r="D1074" s="135" t="s">
        <v>567</v>
      </c>
      <c r="E1074" s="19" t="s">
        <v>3666</v>
      </c>
      <c r="F1074" s="20">
        <v>42041</v>
      </c>
      <c r="G1074" s="19" t="s">
        <v>3647</v>
      </c>
      <c r="H1074" s="19">
        <v>59380</v>
      </c>
      <c r="I1074" s="135"/>
      <c r="J1074" s="135" t="s">
        <v>3667</v>
      </c>
      <c r="K1074" s="19" t="s">
        <v>570</v>
      </c>
      <c r="L1074" s="135" t="s">
        <v>570</v>
      </c>
      <c r="M1074" s="135" t="s">
        <v>570</v>
      </c>
      <c r="N1074" s="135" t="s">
        <v>570</v>
      </c>
      <c r="O1074" s="135" t="s">
        <v>570</v>
      </c>
      <c r="P1074" s="449"/>
      <c r="Q1074" s="26"/>
      <c r="R1074" s="26"/>
      <c r="S1074" s="26"/>
      <c r="T1074" s="500" t="e">
        <f>_xlfn.XLOOKUP(H1074,#REF!,#REF!,0,0)</f>
        <v>#REF!</v>
      </c>
    </row>
    <row r="1075" spans="1:20" x14ac:dyDescent="0.4">
      <c r="A1075" s="135" t="s">
        <v>570</v>
      </c>
      <c r="B1075" s="135" t="s">
        <v>3668</v>
      </c>
      <c r="C1075" s="135"/>
      <c r="D1075" s="135" t="s">
        <v>567</v>
      </c>
      <c r="E1075" s="19" t="s">
        <v>3666</v>
      </c>
      <c r="F1075" s="20">
        <v>42041</v>
      </c>
      <c r="G1075" s="19" t="s">
        <v>47</v>
      </c>
      <c r="H1075" s="19">
        <v>59835</v>
      </c>
      <c r="I1075" s="135" t="s">
        <v>3669</v>
      </c>
      <c r="J1075" s="135" t="s">
        <v>3667</v>
      </c>
      <c r="K1075" s="19" t="s">
        <v>570</v>
      </c>
      <c r="L1075" s="135" t="s">
        <v>570</v>
      </c>
      <c r="M1075" s="135" t="s">
        <v>570</v>
      </c>
      <c r="N1075" s="135" t="s">
        <v>570</v>
      </c>
      <c r="O1075" s="135" t="s">
        <v>570</v>
      </c>
      <c r="P1075" s="449"/>
      <c r="Q1075" s="26"/>
      <c r="R1075" s="26"/>
      <c r="S1075" s="26"/>
      <c r="T1075" s="500" t="e">
        <f>_xlfn.XLOOKUP(H1075,#REF!,#REF!,0,0)</f>
        <v>#REF!</v>
      </c>
    </row>
    <row r="1076" spans="1:20" x14ac:dyDescent="0.4">
      <c r="A1076" s="135" t="s">
        <v>570</v>
      </c>
      <c r="B1076" s="134" t="s">
        <v>3670</v>
      </c>
      <c r="C1076" s="134"/>
      <c r="D1076" s="135" t="s">
        <v>567</v>
      </c>
      <c r="E1076" s="19" t="s">
        <v>3666</v>
      </c>
      <c r="F1076" s="20">
        <v>42381</v>
      </c>
      <c r="G1076" s="19" t="s">
        <v>3671</v>
      </c>
      <c r="H1076" s="19">
        <v>60832</v>
      </c>
      <c r="I1076" s="135" t="s">
        <v>3672</v>
      </c>
      <c r="J1076" s="135" t="s">
        <v>3673</v>
      </c>
      <c r="K1076" s="19" t="s">
        <v>3674</v>
      </c>
      <c r="L1076" s="135" t="s">
        <v>570</v>
      </c>
      <c r="M1076" s="135" t="s">
        <v>570</v>
      </c>
      <c r="N1076" s="135" t="s">
        <v>570</v>
      </c>
      <c r="O1076" s="135" t="s">
        <v>570</v>
      </c>
      <c r="P1076" s="449"/>
      <c r="Q1076" s="26"/>
      <c r="R1076" s="26"/>
      <c r="S1076" s="26"/>
      <c r="T1076" s="500" t="e">
        <f>_xlfn.XLOOKUP(H1076,#REF!,#REF!,0,0)</f>
        <v>#REF!</v>
      </c>
    </row>
    <row r="1077" spans="1:20" x14ac:dyDescent="0.4">
      <c r="A1077" s="135" t="s">
        <v>570</v>
      </c>
      <c r="B1077" s="135" t="s">
        <v>3675</v>
      </c>
      <c r="C1077" s="135"/>
      <c r="D1077" s="135" t="s">
        <v>567</v>
      </c>
      <c r="E1077" s="19" t="s">
        <v>3666</v>
      </c>
      <c r="F1077" s="20">
        <v>42381</v>
      </c>
      <c r="G1077" s="19" t="s">
        <v>3676</v>
      </c>
      <c r="H1077" s="19">
        <v>60833</v>
      </c>
      <c r="I1077" s="135" t="s">
        <v>3677</v>
      </c>
      <c r="J1077" s="135" t="s">
        <v>3678</v>
      </c>
      <c r="K1077" s="19" t="s">
        <v>570</v>
      </c>
      <c r="L1077" s="135" t="s">
        <v>570</v>
      </c>
      <c r="M1077" s="135" t="s">
        <v>570</v>
      </c>
      <c r="N1077" s="135" t="s">
        <v>570</v>
      </c>
      <c r="O1077" s="135" t="s">
        <v>570</v>
      </c>
      <c r="P1077" s="449"/>
      <c r="Q1077" s="26"/>
      <c r="R1077" s="26"/>
      <c r="S1077" s="26"/>
      <c r="T1077" s="500" t="e">
        <f>_xlfn.XLOOKUP(H1077,#REF!,#REF!,0,0)</f>
        <v>#REF!</v>
      </c>
    </row>
    <row r="1078" spans="1:20" x14ac:dyDescent="0.4">
      <c r="A1078" s="129" t="s">
        <v>570</v>
      </c>
      <c r="B1078" s="129" t="s">
        <v>3679</v>
      </c>
      <c r="C1078" s="129"/>
      <c r="D1078" s="129" t="s">
        <v>767</v>
      </c>
      <c r="E1078" s="130"/>
      <c r="F1078" s="129" t="s">
        <v>567</v>
      </c>
      <c r="G1078" s="130" t="s">
        <v>3680</v>
      </c>
      <c r="H1078" s="130">
        <v>42381</v>
      </c>
      <c r="I1078" s="129" t="s">
        <v>3671</v>
      </c>
      <c r="J1078" s="129">
        <v>60832</v>
      </c>
      <c r="K1078" s="130" t="s">
        <v>3673</v>
      </c>
      <c r="L1078" s="129" t="s">
        <v>570</v>
      </c>
      <c r="M1078" s="129" t="s">
        <v>570</v>
      </c>
      <c r="N1078" s="129" t="s">
        <v>570</v>
      </c>
      <c r="O1078" s="129" t="s">
        <v>570</v>
      </c>
      <c r="P1078" s="409" t="s">
        <v>570</v>
      </c>
      <c r="Q1078" s="26"/>
      <c r="R1078" s="26"/>
      <c r="S1078" s="26"/>
      <c r="T1078" s="500" t="e">
        <f>_xlfn.XLOOKUP(H1078,#REF!,#REF!,0,0)</f>
        <v>#REF!</v>
      </c>
    </row>
    <row r="1079" spans="1:20" x14ac:dyDescent="0.4">
      <c r="A1079" s="129" t="s">
        <v>570</v>
      </c>
      <c r="B1079" s="129" t="s">
        <v>3681</v>
      </c>
      <c r="C1079" s="129"/>
      <c r="D1079" s="129" t="s">
        <v>767</v>
      </c>
      <c r="E1079" s="130"/>
      <c r="F1079" s="129" t="s">
        <v>567</v>
      </c>
      <c r="G1079" s="130" t="s">
        <v>3682</v>
      </c>
      <c r="H1079" s="130">
        <v>41927</v>
      </c>
      <c r="I1079" s="129" t="s">
        <v>3643</v>
      </c>
      <c r="J1079" s="129">
        <v>59378</v>
      </c>
      <c r="K1079" s="130" t="s">
        <v>3645</v>
      </c>
      <c r="L1079" s="129" t="s">
        <v>570</v>
      </c>
      <c r="M1079" s="129" t="s">
        <v>570</v>
      </c>
      <c r="N1079" s="129" t="s">
        <v>570</v>
      </c>
      <c r="O1079" s="129" t="s">
        <v>570</v>
      </c>
      <c r="P1079" s="409" t="s">
        <v>570</v>
      </c>
      <c r="Q1079" s="26"/>
      <c r="R1079" s="26"/>
      <c r="S1079" s="26"/>
      <c r="T1079" s="500" t="e">
        <f>_xlfn.XLOOKUP(H1079,#REF!,#REF!,0,0)</f>
        <v>#REF!</v>
      </c>
    </row>
    <row r="1080" spans="1:20" x14ac:dyDescent="0.4">
      <c r="A1080" s="129" t="s">
        <v>570</v>
      </c>
      <c r="B1080" s="142" t="s">
        <v>3683</v>
      </c>
      <c r="C1080" s="142"/>
      <c r="D1080" s="129" t="s">
        <v>767</v>
      </c>
      <c r="E1080" s="130"/>
      <c r="F1080" s="129" t="s">
        <v>567</v>
      </c>
      <c r="G1080" s="130" t="s">
        <v>3682</v>
      </c>
      <c r="H1080" s="256">
        <v>41927</v>
      </c>
      <c r="I1080" s="129" t="s">
        <v>41</v>
      </c>
      <c r="J1080" s="129">
        <v>59377</v>
      </c>
      <c r="K1080" s="130" t="s">
        <v>3633</v>
      </c>
      <c r="L1080" s="129" t="s">
        <v>570</v>
      </c>
      <c r="M1080" s="129" t="s">
        <v>333</v>
      </c>
      <c r="N1080" s="129" t="s">
        <v>570</v>
      </c>
      <c r="O1080" s="129" t="s">
        <v>333</v>
      </c>
      <c r="P1080" s="409" t="s">
        <v>570</v>
      </c>
      <c r="Q1080" s="26"/>
      <c r="R1080" s="26"/>
      <c r="S1080" s="26"/>
      <c r="T1080" s="500" t="e">
        <f>_xlfn.XLOOKUP(H1080,#REF!,#REF!,0,0)</f>
        <v>#REF!</v>
      </c>
    </row>
    <row r="1081" spans="1:20" x14ac:dyDescent="0.4">
      <c r="A1081" s="129" t="s">
        <v>570</v>
      </c>
      <c r="B1081" s="129" t="s">
        <v>2526</v>
      </c>
      <c r="C1081" s="129"/>
      <c r="D1081" s="129" t="s">
        <v>767</v>
      </c>
      <c r="E1081" s="130"/>
      <c r="F1081" s="129" t="s">
        <v>567</v>
      </c>
      <c r="G1081" s="130" t="s">
        <v>3682</v>
      </c>
      <c r="H1081" s="130">
        <v>42041</v>
      </c>
      <c r="I1081" s="129" t="s">
        <v>3654</v>
      </c>
      <c r="J1081" s="129">
        <v>59833</v>
      </c>
      <c r="K1081" s="130" t="s">
        <v>3656</v>
      </c>
      <c r="L1081" s="129" t="s">
        <v>570</v>
      </c>
      <c r="M1081" s="129" t="s">
        <v>570</v>
      </c>
      <c r="N1081" s="129" t="s">
        <v>570</v>
      </c>
      <c r="O1081" s="129" t="s">
        <v>570</v>
      </c>
      <c r="P1081" s="409" t="s">
        <v>570</v>
      </c>
      <c r="Q1081" s="26"/>
      <c r="R1081" s="26"/>
      <c r="S1081" s="26"/>
      <c r="T1081" s="500" t="e">
        <f>_xlfn.XLOOKUP(H1081,#REF!,#REF!,0,0)</f>
        <v>#REF!</v>
      </c>
    </row>
    <row r="1082" spans="1:20" x14ac:dyDescent="0.4">
      <c r="A1082" s="142" t="s">
        <v>570</v>
      </c>
      <c r="B1082" s="129" t="s">
        <v>3684</v>
      </c>
      <c r="C1082" s="129"/>
      <c r="D1082" s="129" t="s">
        <v>767</v>
      </c>
      <c r="E1082" s="130"/>
      <c r="F1082" s="129" t="s">
        <v>3685</v>
      </c>
      <c r="G1082" s="130" t="s">
        <v>3686</v>
      </c>
      <c r="H1082" s="130">
        <v>42943</v>
      </c>
      <c r="I1082" s="129" t="s">
        <v>3687</v>
      </c>
      <c r="J1082" s="129">
        <v>65122</v>
      </c>
      <c r="K1082" s="130" t="s">
        <v>3688</v>
      </c>
      <c r="L1082" s="129" t="s">
        <v>570</v>
      </c>
      <c r="M1082" s="129" t="s">
        <v>570</v>
      </c>
      <c r="N1082" s="129" t="s">
        <v>570</v>
      </c>
      <c r="O1082" s="129" t="s">
        <v>570</v>
      </c>
      <c r="P1082" s="409" t="s">
        <v>570</v>
      </c>
      <c r="Q1082" s="26"/>
      <c r="R1082" s="26"/>
      <c r="S1082" s="26"/>
      <c r="T1082" s="500" t="e">
        <f>_xlfn.XLOOKUP(H1082,#REF!,#REF!,0,0)</f>
        <v>#REF!</v>
      </c>
    </row>
    <row r="1083" spans="1:20" x14ac:dyDescent="0.4">
      <c r="A1083" s="129" t="s">
        <v>570</v>
      </c>
      <c r="B1083" s="129" t="s">
        <v>3689</v>
      </c>
      <c r="C1083" s="129"/>
      <c r="D1083" s="129" t="s">
        <v>767</v>
      </c>
      <c r="E1083" s="130"/>
      <c r="F1083" s="129" t="s">
        <v>567</v>
      </c>
      <c r="G1083" s="130" t="s">
        <v>824</v>
      </c>
      <c r="H1083" s="130">
        <v>43052</v>
      </c>
      <c r="I1083" s="129" t="s">
        <v>3690</v>
      </c>
      <c r="J1083" s="129">
        <v>65481</v>
      </c>
      <c r="K1083" s="130" t="s">
        <v>3691</v>
      </c>
      <c r="L1083" s="129" t="s">
        <v>570</v>
      </c>
      <c r="M1083" s="129" t="s">
        <v>570</v>
      </c>
      <c r="N1083" s="129" t="s">
        <v>570</v>
      </c>
      <c r="O1083" s="129" t="s">
        <v>570</v>
      </c>
      <c r="P1083" s="409" t="s">
        <v>570</v>
      </c>
      <c r="Q1083" s="26"/>
      <c r="R1083" s="26"/>
      <c r="S1083" s="26"/>
      <c r="T1083" s="500" t="e">
        <f>_xlfn.XLOOKUP(H1083,#REF!,#REF!,0,0)</f>
        <v>#REF!</v>
      </c>
    </row>
    <row r="1084" spans="1:20" x14ac:dyDescent="0.4">
      <c r="A1084" s="129" t="s">
        <v>570</v>
      </c>
      <c r="B1084" s="129" t="s">
        <v>3692</v>
      </c>
      <c r="C1084" s="129"/>
      <c r="D1084" s="129" t="s">
        <v>767</v>
      </c>
      <c r="E1084" s="130"/>
      <c r="F1084" s="129" t="s">
        <v>3693</v>
      </c>
      <c r="G1084" s="130" t="s">
        <v>3694</v>
      </c>
      <c r="H1084" s="130">
        <v>43244</v>
      </c>
      <c r="I1084" s="129" t="s">
        <v>3695</v>
      </c>
      <c r="J1084" s="129">
        <v>68201</v>
      </c>
      <c r="K1084" s="130">
        <v>79573158</v>
      </c>
      <c r="L1084" s="129" t="s">
        <v>570</v>
      </c>
      <c r="M1084" s="129" t="s">
        <v>570</v>
      </c>
      <c r="N1084" s="129" t="s">
        <v>570</v>
      </c>
      <c r="O1084" s="129" t="s">
        <v>570</v>
      </c>
      <c r="P1084" s="409" t="s">
        <v>570</v>
      </c>
      <c r="Q1084" s="26"/>
      <c r="R1084" s="26"/>
      <c r="S1084" s="26"/>
      <c r="T1084" s="500" t="e">
        <f>_xlfn.XLOOKUP(H1084,#REF!,#REF!,0,0)</f>
        <v>#REF!</v>
      </c>
    </row>
    <row r="1085" spans="1:20" x14ac:dyDescent="0.4">
      <c r="A1085" s="142" t="s">
        <v>570</v>
      </c>
      <c r="B1085" s="142" t="s">
        <v>3696</v>
      </c>
      <c r="C1085" s="142"/>
      <c r="D1085" s="142" t="s">
        <v>767</v>
      </c>
      <c r="E1085" s="256"/>
      <c r="F1085" s="142" t="s">
        <v>3693</v>
      </c>
      <c r="G1085" s="256" t="s">
        <v>3694</v>
      </c>
      <c r="H1085" s="130">
        <v>43244</v>
      </c>
      <c r="I1085" s="142" t="s">
        <v>3697</v>
      </c>
      <c r="J1085" s="142">
        <v>68202</v>
      </c>
      <c r="K1085" s="256">
        <v>1030373058</v>
      </c>
      <c r="L1085" s="142" t="s">
        <v>570</v>
      </c>
      <c r="M1085" s="142" t="s">
        <v>570</v>
      </c>
      <c r="N1085" s="142" t="s">
        <v>570</v>
      </c>
      <c r="O1085" s="142" t="s">
        <v>570</v>
      </c>
      <c r="P1085" s="428" t="s">
        <v>570</v>
      </c>
      <c r="Q1085" s="26"/>
      <c r="R1085" s="26"/>
      <c r="S1085" s="26"/>
      <c r="T1085" s="500" t="e">
        <f>_xlfn.XLOOKUP(H1085,#REF!,#REF!,0,0)</f>
        <v>#REF!</v>
      </c>
    </row>
    <row r="1086" spans="1:20" x14ac:dyDescent="0.4">
      <c r="A1086" s="142" t="s">
        <v>570</v>
      </c>
      <c r="B1086" s="142" t="s">
        <v>3698</v>
      </c>
      <c r="C1086" s="142"/>
      <c r="D1086" s="142" t="s">
        <v>767</v>
      </c>
      <c r="E1086" s="256"/>
      <c r="F1086" s="142" t="s">
        <v>3693</v>
      </c>
      <c r="G1086" s="256" t="s">
        <v>3694</v>
      </c>
      <c r="H1086" s="130">
        <v>43244</v>
      </c>
      <c r="I1086" s="142" t="s">
        <v>3699</v>
      </c>
      <c r="J1086" s="142">
        <v>68203</v>
      </c>
      <c r="K1086" s="256">
        <v>650372758</v>
      </c>
      <c r="L1086" s="142" t="s">
        <v>570</v>
      </c>
      <c r="M1086" s="142" t="s">
        <v>570</v>
      </c>
      <c r="N1086" s="142" t="s">
        <v>570</v>
      </c>
      <c r="O1086" s="142" t="s">
        <v>570</v>
      </c>
      <c r="P1086" s="428" t="s">
        <v>570</v>
      </c>
      <c r="Q1086" s="26"/>
      <c r="R1086" s="26"/>
      <c r="S1086" s="26"/>
      <c r="T1086" s="500" t="e">
        <f>_xlfn.XLOOKUP(H1086,#REF!,#REF!,0,0)</f>
        <v>#REF!</v>
      </c>
    </row>
    <row r="1087" spans="1:20" x14ac:dyDescent="0.4">
      <c r="A1087" s="142" t="s">
        <v>570</v>
      </c>
      <c r="B1087" s="142" t="s">
        <v>3700</v>
      </c>
      <c r="C1087" s="142"/>
      <c r="D1087" s="142" t="s">
        <v>767</v>
      </c>
      <c r="E1087" s="256"/>
      <c r="F1087" s="142" t="s">
        <v>3693</v>
      </c>
      <c r="G1087" s="256" t="s">
        <v>3694</v>
      </c>
      <c r="H1087" s="130">
        <v>43244</v>
      </c>
      <c r="I1087" s="142" t="s">
        <v>3701</v>
      </c>
      <c r="J1087" s="142">
        <v>68205</v>
      </c>
      <c r="K1087" s="256">
        <v>81573158</v>
      </c>
      <c r="L1087" s="142" t="s">
        <v>570</v>
      </c>
      <c r="M1087" s="142" t="s">
        <v>570</v>
      </c>
      <c r="N1087" s="142" t="s">
        <v>570</v>
      </c>
      <c r="O1087" s="142" t="s">
        <v>570</v>
      </c>
      <c r="P1087" s="428" t="s">
        <v>570</v>
      </c>
      <c r="Q1087" s="26"/>
      <c r="R1087" s="26"/>
      <c r="S1087" s="26"/>
      <c r="T1087" s="500" t="e">
        <f>_xlfn.XLOOKUP(H1087,#REF!,#REF!,0,0)</f>
        <v>#REF!</v>
      </c>
    </row>
    <row r="1088" spans="1:20" x14ac:dyDescent="0.4">
      <c r="A1088" s="142" t="s">
        <v>570</v>
      </c>
      <c r="B1088" s="142" t="s">
        <v>3702</v>
      </c>
      <c r="C1088" s="142"/>
      <c r="D1088" s="142" t="s">
        <v>767</v>
      </c>
      <c r="E1088" s="256"/>
      <c r="F1088" s="142" t="s">
        <v>3693</v>
      </c>
      <c r="G1088" s="256" t="s">
        <v>3694</v>
      </c>
      <c r="H1088" s="256">
        <v>43244</v>
      </c>
      <c r="I1088" s="142" t="s">
        <v>3703</v>
      </c>
      <c r="J1088" s="142">
        <v>68206</v>
      </c>
      <c r="K1088" s="256" t="s">
        <v>3704</v>
      </c>
      <c r="L1088" s="142" t="s">
        <v>570</v>
      </c>
      <c r="M1088" s="142" t="s">
        <v>570</v>
      </c>
      <c r="N1088" s="142" t="s">
        <v>570</v>
      </c>
      <c r="O1088" s="142" t="s">
        <v>570</v>
      </c>
      <c r="P1088" s="428" t="s">
        <v>570</v>
      </c>
      <c r="Q1088" s="26"/>
      <c r="R1088" s="26"/>
      <c r="S1088" s="26"/>
      <c r="T1088" s="500" t="e">
        <f>_xlfn.XLOOKUP(H1088,#REF!,#REF!,0,0)</f>
        <v>#REF!</v>
      </c>
    </row>
    <row r="1089" spans="1:20" x14ac:dyDescent="0.4">
      <c r="A1089" s="142" t="s">
        <v>570</v>
      </c>
      <c r="B1089" s="142" t="s">
        <v>3705</v>
      </c>
      <c r="C1089" s="142"/>
      <c r="D1089" s="142" t="s">
        <v>767</v>
      </c>
      <c r="E1089" s="256"/>
      <c r="F1089" s="142" t="s">
        <v>3693</v>
      </c>
      <c r="G1089" s="256" t="s">
        <v>3694</v>
      </c>
      <c r="H1089" s="256">
        <v>43244</v>
      </c>
      <c r="I1089" s="142" t="s">
        <v>3706</v>
      </c>
      <c r="J1089" s="142">
        <v>68204</v>
      </c>
      <c r="K1089" s="256" t="s">
        <v>3707</v>
      </c>
      <c r="L1089" s="142" t="s">
        <v>570</v>
      </c>
      <c r="M1089" s="142" t="s">
        <v>570</v>
      </c>
      <c r="N1089" s="142" t="s">
        <v>570</v>
      </c>
      <c r="O1089" s="142" t="s">
        <v>570</v>
      </c>
      <c r="P1089" s="428" t="s">
        <v>570</v>
      </c>
      <c r="Q1089" s="26"/>
      <c r="R1089" s="26"/>
      <c r="S1089" s="26"/>
      <c r="T1089" s="500" t="e">
        <f>_xlfn.XLOOKUP(H1089,#REF!,#REF!,0,0)</f>
        <v>#REF!</v>
      </c>
    </row>
    <row r="1090" spans="1:20" x14ac:dyDescent="0.4">
      <c r="A1090" s="142" t="s">
        <v>570</v>
      </c>
      <c r="B1090" s="142" t="s">
        <v>3708</v>
      </c>
      <c r="C1090" s="142"/>
      <c r="D1090" s="142" t="s">
        <v>767</v>
      </c>
      <c r="E1090" s="256"/>
      <c r="F1090" s="142" t="s">
        <v>3693</v>
      </c>
      <c r="G1090" s="256" t="s">
        <v>3694</v>
      </c>
      <c r="H1090" s="256">
        <v>43244</v>
      </c>
      <c r="I1090" s="142" t="s">
        <v>3709</v>
      </c>
      <c r="J1090" s="142">
        <v>68207</v>
      </c>
      <c r="K1090" s="256" t="s">
        <v>3710</v>
      </c>
      <c r="L1090" s="142" t="s">
        <v>570</v>
      </c>
      <c r="M1090" s="142" t="s">
        <v>570</v>
      </c>
      <c r="N1090" s="142" t="s">
        <v>570</v>
      </c>
      <c r="O1090" s="142" t="s">
        <v>570</v>
      </c>
      <c r="P1090" s="428" t="s">
        <v>570</v>
      </c>
      <c r="Q1090" s="26"/>
      <c r="R1090" s="26"/>
      <c r="S1090" s="26"/>
      <c r="T1090" s="500" t="e">
        <f>_xlfn.XLOOKUP(H1090,#REF!,#REF!,0,0)</f>
        <v>#REF!</v>
      </c>
    </row>
    <row r="1091" spans="1:20" x14ac:dyDescent="0.4">
      <c r="A1091" s="142" t="s">
        <v>753</v>
      </c>
      <c r="B1091" s="129" t="s">
        <v>3711</v>
      </c>
      <c r="C1091" s="129"/>
      <c r="D1091" s="129" t="s">
        <v>767</v>
      </c>
      <c r="E1091" s="130"/>
      <c r="F1091" s="129" t="s">
        <v>567</v>
      </c>
      <c r="G1091" s="130" t="s">
        <v>3712</v>
      </c>
      <c r="H1091" s="130">
        <v>43232</v>
      </c>
      <c r="I1091" s="129" t="s">
        <v>3713</v>
      </c>
      <c r="J1091" s="129">
        <v>65989</v>
      </c>
      <c r="K1091" s="130" t="s">
        <v>3714</v>
      </c>
      <c r="L1091" s="129" t="s">
        <v>570</v>
      </c>
      <c r="M1091" s="129" t="s">
        <v>570</v>
      </c>
      <c r="N1091" s="129" t="s">
        <v>570</v>
      </c>
      <c r="O1091" s="129" t="s">
        <v>570</v>
      </c>
      <c r="P1091" s="409" t="s">
        <v>570</v>
      </c>
      <c r="Q1091" s="26"/>
      <c r="R1091" s="26"/>
      <c r="S1091" s="26"/>
      <c r="T1091" s="500" t="e">
        <f>_xlfn.XLOOKUP(H1091,#REF!,#REF!,0,0)</f>
        <v>#REF!</v>
      </c>
    </row>
    <row r="1092" spans="1:20" x14ac:dyDescent="0.4">
      <c r="A1092" s="129" t="s">
        <v>753</v>
      </c>
      <c r="B1092" s="142" t="s">
        <v>3715</v>
      </c>
      <c r="C1092" s="142"/>
      <c r="D1092" s="129" t="s">
        <v>767</v>
      </c>
      <c r="E1092" s="130"/>
      <c r="F1092" s="129" t="s">
        <v>567</v>
      </c>
      <c r="G1092" s="130" t="s">
        <v>3712</v>
      </c>
      <c r="H1092" s="130">
        <v>43232</v>
      </c>
      <c r="I1092" s="129" t="s">
        <v>3716</v>
      </c>
      <c r="J1092" s="129">
        <v>65990</v>
      </c>
      <c r="K1092" s="130" t="s">
        <v>3717</v>
      </c>
      <c r="L1092" s="129" t="s">
        <v>570</v>
      </c>
      <c r="M1092" s="129" t="s">
        <v>570</v>
      </c>
      <c r="N1092" s="129" t="s">
        <v>570</v>
      </c>
      <c r="O1092" s="129" t="s">
        <v>570</v>
      </c>
      <c r="P1092" s="409" t="s">
        <v>570</v>
      </c>
      <c r="Q1092" s="26"/>
      <c r="R1092" s="26"/>
      <c r="S1092" s="26"/>
      <c r="T1092" s="500" t="e">
        <f>_xlfn.XLOOKUP(H1092,#REF!,#REF!,0,0)</f>
        <v>#REF!</v>
      </c>
    </row>
    <row r="1093" spans="1:20" x14ac:dyDescent="0.4">
      <c r="A1093" s="135" t="s">
        <v>3718</v>
      </c>
      <c r="B1093" s="135" t="s">
        <v>3719</v>
      </c>
      <c r="C1093" s="135"/>
      <c r="D1093" s="135" t="s">
        <v>3718</v>
      </c>
      <c r="E1093" s="19" t="s">
        <v>3718</v>
      </c>
      <c r="F1093" s="20" t="s">
        <v>3720</v>
      </c>
      <c r="G1093" s="19" t="s">
        <v>3721</v>
      </c>
      <c r="H1093" s="19">
        <v>43418</v>
      </c>
      <c r="I1093" s="135" t="s">
        <v>3722</v>
      </c>
      <c r="J1093" s="135">
        <v>68846</v>
      </c>
      <c r="K1093" s="19" t="s">
        <v>3718</v>
      </c>
      <c r="L1093" s="135" t="s">
        <v>3718</v>
      </c>
      <c r="M1093" s="135" t="s">
        <v>3718</v>
      </c>
      <c r="N1093" s="135" t="s">
        <v>570</v>
      </c>
      <c r="O1093" s="135" t="s">
        <v>3718</v>
      </c>
      <c r="P1093" s="450" t="s">
        <v>570</v>
      </c>
      <c r="Q1093" s="26"/>
      <c r="R1093" s="26"/>
      <c r="S1093" s="26"/>
      <c r="T1093" s="500" t="e">
        <f>_xlfn.XLOOKUP(H1093,#REF!,#REF!,0,0)</f>
        <v>#REF!</v>
      </c>
    </row>
    <row r="1094" spans="1:20" x14ac:dyDescent="0.4">
      <c r="A1094" s="135" t="s">
        <v>3718</v>
      </c>
      <c r="B1094" s="135" t="s">
        <v>3719</v>
      </c>
      <c r="C1094" s="135"/>
      <c r="D1094" s="135" t="s">
        <v>3718</v>
      </c>
      <c r="E1094" s="19" t="s">
        <v>3718</v>
      </c>
      <c r="F1094" s="20" t="s">
        <v>3720</v>
      </c>
      <c r="G1094" s="19" t="s">
        <v>3721</v>
      </c>
      <c r="H1094" s="19">
        <v>43418</v>
      </c>
      <c r="I1094" s="135" t="s">
        <v>3723</v>
      </c>
      <c r="J1094" s="135">
        <v>68847</v>
      </c>
      <c r="K1094" s="19" t="s">
        <v>3718</v>
      </c>
      <c r="L1094" s="135" t="s">
        <v>3718</v>
      </c>
      <c r="M1094" s="135" t="s">
        <v>3718</v>
      </c>
      <c r="N1094" s="135"/>
      <c r="O1094" s="135" t="s">
        <v>3718</v>
      </c>
      <c r="P1094" s="450"/>
      <c r="Q1094" s="26"/>
      <c r="R1094" s="26"/>
      <c r="S1094" s="26"/>
      <c r="T1094" s="500" t="e">
        <f>_xlfn.XLOOKUP(H1094,#REF!,#REF!,0,0)</f>
        <v>#REF!</v>
      </c>
    </row>
    <row r="1095" spans="1:20" x14ac:dyDescent="0.4">
      <c r="A1095" s="135" t="s">
        <v>3718</v>
      </c>
      <c r="B1095" s="135" t="s">
        <v>3719</v>
      </c>
      <c r="C1095" s="135"/>
      <c r="D1095" s="135" t="s">
        <v>3718</v>
      </c>
      <c r="E1095" s="19" t="s">
        <v>3718</v>
      </c>
      <c r="F1095" s="20" t="s">
        <v>3720</v>
      </c>
      <c r="G1095" s="19" t="s">
        <v>3721</v>
      </c>
      <c r="H1095" s="19">
        <v>43418</v>
      </c>
      <c r="I1095" s="135" t="s">
        <v>3724</v>
      </c>
      <c r="J1095" s="135">
        <v>68848</v>
      </c>
      <c r="K1095" s="19" t="s">
        <v>3718</v>
      </c>
      <c r="L1095" s="135" t="s">
        <v>3718</v>
      </c>
      <c r="M1095" s="135" t="s">
        <v>3718</v>
      </c>
      <c r="N1095" s="135"/>
      <c r="O1095" s="135" t="s">
        <v>3718</v>
      </c>
      <c r="P1095" s="450"/>
      <c r="Q1095" s="26"/>
      <c r="R1095" s="26"/>
      <c r="S1095" s="26"/>
      <c r="T1095" s="500" t="e">
        <f>_xlfn.XLOOKUP(H1095,#REF!,#REF!,0,0)</f>
        <v>#REF!</v>
      </c>
    </row>
    <row r="1096" spans="1:20" x14ac:dyDescent="0.4">
      <c r="A1096" s="135" t="s">
        <v>3718</v>
      </c>
      <c r="B1096" s="135" t="s">
        <v>3719</v>
      </c>
      <c r="C1096" s="135"/>
      <c r="D1096" s="135" t="s">
        <v>3718</v>
      </c>
      <c r="E1096" s="19" t="s">
        <v>3718</v>
      </c>
      <c r="F1096" s="20" t="s">
        <v>3720</v>
      </c>
      <c r="G1096" s="19" t="s">
        <v>3721</v>
      </c>
      <c r="H1096" s="19">
        <v>43418</v>
      </c>
      <c r="I1096" s="135" t="s">
        <v>3725</v>
      </c>
      <c r="J1096" s="135">
        <v>68849</v>
      </c>
      <c r="K1096" s="19" t="s">
        <v>3718</v>
      </c>
      <c r="L1096" s="135" t="s">
        <v>3718</v>
      </c>
      <c r="M1096" s="135" t="s">
        <v>3718</v>
      </c>
      <c r="N1096" s="135"/>
      <c r="O1096" s="135" t="s">
        <v>3718</v>
      </c>
      <c r="P1096" s="450"/>
      <c r="Q1096" s="26"/>
      <c r="R1096" s="26"/>
      <c r="S1096" s="26"/>
      <c r="T1096" s="500" t="e">
        <f>_xlfn.XLOOKUP(H1096,#REF!,#REF!,0,0)</f>
        <v>#REF!</v>
      </c>
    </row>
    <row r="1097" spans="1:20" x14ac:dyDescent="0.4">
      <c r="A1097" s="135" t="s">
        <v>3718</v>
      </c>
      <c r="B1097" s="135" t="s">
        <v>3719</v>
      </c>
      <c r="C1097" s="135"/>
      <c r="D1097" s="135" t="s">
        <v>3718</v>
      </c>
      <c r="E1097" s="19" t="s">
        <v>3718</v>
      </c>
      <c r="F1097" s="20" t="s">
        <v>3720</v>
      </c>
      <c r="G1097" s="19" t="s">
        <v>3721</v>
      </c>
      <c r="H1097" s="19">
        <v>43418</v>
      </c>
      <c r="I1097" s="135" t="s">
        <v>3726</v>
      </c>
      <c r="J1097" s="135">
        <v>68850</v>
      </c>
      <c r="K1097" s="19" t="s">
        <v>3718</v>
      </c>
      <c r="L1097" s="135" t="s">
        <v>3718</v>
      </c>
      <c r="M1097" s="135" t="s">
        <v>3718</v>
      </c>
      <c r="N1097" s="135"/>
      <c r="O1097" s="135" t="s">
        <v>3718</v>
      </c>
      <c r="P1097" s="450"/>
      <c r="Q1097" s="26"/>
      <c r="R1097" s="26"/>
      <c r="S1097" s="26"/>
      <c r="T1097" s="500" t="e">
        <f>_xlfn.XLOOKUP(H1097,#REF!,#REF!,0,0)</f>
        <v>#REF!</v>
      </c>
    </row>
    <row r="1098" spans="1:20" x14ac:dyDescent="0.4">
      <c r="A1098" s="135" t="s">
        <v>3718</v>
      </c>
      <c r="B1098" s="135" t="s">
        <v>3719</v>
      </c>
      <c r="C1098" s="135"/>
      <c r="D1098" s="135" t="s">
        <v>3718</v>
      </c>
      <c r="E1098" s="19" t="s">
        <v>3718</v>
      </c>
      <c r="F1098" s="20" t="s">
        <v>3720</v>
      </c>
      <c r="G1098" s="19" t="s">
        <v>3721</v>
      </c>
      <c r="H1098" s="19">
        <v>43418</v>
      </c>
      <c r="I1098" s="135" t="s">
        <v>3727</v>
      </c>
      <c r="J1098" s="135">
        <v>68851</v>
      </c>
      <c r="K1098" s="19" t="s">
        <v>3718</v>
      </c>
      <c r="L1098" s="135" t="s">
        <v>3718</v>
      </c>
      <c r="M1098" s="135" t="s">
        <v>3718</v>
      </c>
      <c r="N1098" s="135"/>
      <c r="O1098" s="135" t="s">
        <v>3718</v>
      </c>
      <c r="P1098" s="450"/>
      <c r="Q1098" s="26"/>
      <c r="R1098" s="26"/>
      <c r="S1098" s="26"/>
      <c r="T1098" s="500" t="e">
        <f>_xlfn.XLOOKUP(H1098,#REF!,#REF!,0,0)</f>
        <v>#REF!</v>
      </c>
    </row>
    <row r="1099" spans="1:20" x14ac:dyDescent="0.4">
      <c r="A1099" s="135" t="s">
        <v>3718</v>
      </c>
      <c r="B1099" s="135" t="s">
        <v>3719</v>
      </c>
      <c r="C1099" s="135"/>
      <c r="D1099" s="135" t="s">
        <v>3718</v>
      </c>
      <c r="E1099" s="19" t="s">
        <v>3718</v>
      </c>
      <c r="F1099" s="20" t="s">
        <v>3720</v>
      </c>
      <c r="G1099" s="19" t="s">
        <v>3721</v>
      </c>
      <c r="H1099" s="19">
        <v>43418</v>
      </c>
      <c r="I1099" s="135" t="s">
        <v>3728</v>
      </c>
      <c r="J1099" s="135">
        <v>68852</v>
      </c>
      <c r="K1099" s="19" t="s">
        <v>3718</v>
      </c>
      <c r="L1099" s="135" t="s">
        <v>3718</v>
      </c>
      <c r="M1099" s="135" t="s">
        <v>3718</v>
      </c>
      <c r="N1099" s="135"/>
      <c r="O1099" s="135" t="s">
        <v>3718</v>
      </c>
      <c r="P1099" s="450"/>
      <c r="Q1099" s="26"/>
      <c r="R1099" s="26"/>
      <c r="S1099" s="26"/>
      <c r="T1099" s="500" t="e">
        <f>_xlfn.XLOOKUP(H1099,#REF!,#REF!,0,0)</f>
        <v>#REF!</v>
      </c>
    </row>
    <row r="1100" spans="1:20" x14ac:dyDescent="0.4">
      <c r="A1100" s="135" t="s">
        <v>3718</v>
      </c>
      <c r="B1100" s="135" t="s">
        <v>3719</v>
      </c>
      <c r="C1100" s="135"/>
      <c r="D1100" s="135" t="s">
        <v>3718</v>
      </c>
      <c r="E1100" s="19" t="s">
        <v>3718</v>
      </c>
      <c r="F1100" s="20" t="s">
        <v>3720</v>
      </c>
      <c r="G1100" s="19" t="s">
        <v>3721</v>
      </c>
      <c r="H1100" s="19">
        <v>43418</v>
      </c>
      <c r="I1100" s="135" t="s">
        <v>3729</v>
      </c>
      <c r="J1100" s="135">
        <v>68853</v>
      </c>
      <c r="K1100" s="19" t="s">
        <v>3718</v>
      </c>
      <c r="L1100" s="135" t="s">
        <v>3718</v>
      </c>
      <c r="M1100" s="135" t="s">
        <v>3718</v>
      </c>
      <c r="N1100" s="135"/>
      <c r="O1100" s="135" t="s">
        <v>3718</v>
      </c>
      <c r="P1100" s="450"/>
      <c r="Q1100" s="26"/>
      <c r="R1100" s="26"/>
      <c r="S1100" s="26"/>
      <c r="T1100" s="500" t="e">
        <f>_xlfn.XLOOKUP(H1100,#REF!,#REF!,0,0)</f>
        <v>#REF!</v>
      </c>
    </row>
    <row r="1101" spans="1:20" x14ac:dyDescent="0.4">
      <c r="A1101" s="135" t="s">
        <v>3718</v>
      </c>
      <c r="B1101" s="135" t="s">
        <v>3719</v>
      </c>
      <c r="C1101" s="135"/>
      <c r="D1101" s="135" t="s">
        <v>3718</v>
      </c>
      <c r="E1101" s="19" t="s">
        <v>3718</v>
      </c>
      <c r="F1101" s="20" t="s">
        <v>3720</v>
      </c>
      <c r="G1101" s="19" t="s">
        <v>3721</v>
      </c>
      <c r="H1101" s="19">
        <v>43418</v>
      </c>
      <c r="I1101" s="135" t="s">
        <v>3730</v>
      </c>
      <c r="J1101" s="135">
        <v>68854</v>
      </c>
      <c r="K1101" s="19" t="s">
        <v>3718</v>
      </c>
      <c r="L1101" s="135" t="s">
        <v>3718</v>
      </c>
      <c r="M1101" s="135" t="s">
        <v>3718</v>
      </c>
      <c r="N1101" s="135"/>
      <c r="O1101" s="135" t="s">
        <v>3718</v>
      </c>
      <c r="P1101" s="450"/>
      <c r="Q1101" s="26"/>
      <c r="R1101" s="26"/>
      <c r="S1101" s="26"/>
      <c r="T1101" s="500" t="e">
        <f>_xlfn.XLOOKUP(H1101,#REF!,#REF!,0,0)</f>
        <v>#REF!</v>
      </c>
    </row>
    <row r="1102" spans="1:20" x14ac:dyDescent="0.4">
      <c r="A1102" s="135" t="s">
        <v>3718</v>
      </c>
      <c r="B1102" s="135" t="s">
        <v>3719</v>
      </c>
      <c r="C1102" s="135"/>
      <c r="D1102" s="135" t="s">
        <v>3718</v>
      </c>
      <c r="E1102" s="19" t="s">
        <v>3718</v>
      </c>
      <c r="F1102" s="20" t="s">
        <v>3720</v>
      </c>
      <c r="G1102" s="19" t="s">
        <v>3721</v>
      </c>
      <c r="H1102" s="19">
        <v>43418</v>
      </c>
      <c r="I1102" s="135" t="s">
        <v>3731</v>
      </c>
      <c r="J1102" s="135">
        <v>68855</v>
      </c>
      <c r="K1102" s="19" t="s">
        <v>3718</v>
      </c>
      <c r="L1102" s="135" t="s">
        <v>3718</v>
      </c>
      <c r="M1102" s="135" t="s">
        <v>3718</v>
      </c>
      <c r="N1102" s="135"/>
      <c r="O1102" s="135" t="s">
        <v>3718</v>
      </c>
      <c r="P1102" s="450"/>
      <c r="Q1102" s="26"/>
      <c r="R1102" s="26"/>
      <c r="S1102" s="26"/>
      <c r="T1102" s="500" t="e">
        <f>_xlfn.XLOOKUP(H1102,#REF!,#REF!,0,0)</f>
        <v>#REF!</v>
      </c>
    </row>
    <row r="1103" spans="1:20" x14ac:dyDescent="0.4">
      <c r="A1103" s="135" t="s">
        <v>3718</v>
      </c>
      <c r="B1103" s="135" t="s">
        <v>3719</v>
      </c>
      <c r="C1103" s="135"/>
      <c r="D1103" s="135" t="s">
        <v>3718</v>
      </c>
      <c r="E1103" s="19" t="s">
        <v>3718</v>
      </c>
      <c r="F1103" s="20" t="s">
        <v>3720</v>
      </c>
      <c r="G1103" s="19" t="s">
        <v>3721</v>
      </c>
      <c r="H1103" s="19">
        <v>43418</v>
      </c>
      <c r="I1103" s="135" t="s">
        <v>3732</v>
      </c>
      <c r="J1103" s="135">
        <v>68856</v>
      </c>
      <c r="K1103" s="19" t="s">
        <v>3718</v>
      </c>
      <c r="L1103" s="135" t="s">
        <v>3718</v>
      </c>
      <c r="M1103" s="135" t="s">
        <v>3718</v>
      </c>
      <c r="N1103" s="135"/>
      <c r="O1103" s="135" t="s">
        <v>3718</v>
      </c>
      <c r="P1103" s="450"/>
      <c r="Q1103" s="26"/>
      <c r="R1103" s="26"/>
      <c r="S1103" s="26"/>
      <c r="T1103" s="500" t="e">
        <f>_xlfn.XLOOKUP(H1103,#REF!,#REF!,0,0)</f>
        <v>#REF!</v>
      </c>
    </row>
    <row r="1104" spans="1:20" x14ac:dyDescent="0.4">
      <c r="A1104" s="135" t="s">
        <v>3718</v>
      </c>
      <c r="B1104" s="135" t="s">
        <v>3719</v>
      </c>
      <c r="C1104" s="135"/>
      <c r="D1104" s="135" t="s">
        <v>3718</v>
      </c>
      <c r="E1104" s="19" t="s">
        <v>3718</v>
      </c>
      <c r="F1104" s="20" t="s">
        <v>3720</v>
      </c>
      <c r="G1104" s="19" t="s">
        <v>3721</v>
      </c>
      <c r="H1104" s="19">
        <v>43418</v>
      </c>
      <c r="I1104" s="135" t="s">
        <v>3733</v>
      </c>
      <c r="J1104" s="135">
        <v>68857</v>
      </c>
      <c r="K1104" s="19" t="s">
        <v>3718</v>
      </c>
      <c r="L1104" s="135" t="s">
        <v>3718</v>
      </c>
      <c r="M1104" s="135" t="s">
        <v>3718</v>
      </c>
      <c r="N1104" s="135"/>
      <c r="O1104" s="135" t="s">
        <v>3718</v>
      </c>
      <c r="P1104" s="450"/>
      <c r="Q1104" s="26"/>
      <c r="R1104" s="26"/>
      <c r="S1104" s="26"/>
      <c r="T1104" s="500" t="e">
        <f>_xlfn.XLOOKUP(H1104,#REF!,#REF!,0,0)</f>
        <v>#REF!</v>
      </c>
    </row>
    <row r="1105" spans="1:20" x14ac:dyDescent="0.4">
      <c r="A1105" s="135" t="s">
        <v>3718</v>
      </c>
      <c r="B1105" s="135" t="s">
        <v>3719</v>
      </c>
      <c r="C1105" s="135"/>
      <c r="D1105" s="135" t="s">
        <v>3718</v>
      </c>
      <c r="E1105" s="19" t="s">
        <v>3718</v>
      </c>
      <c r="F1105" s="20" t="s">
        <v>3720</v>
      </c>
      <c r="G1105" s="19" t="s">
        <v>3721</v>
      </c>
      <c r="H1105" s="19">
        <v>43418</v>
      </c>
      <c r="I1105" s="135" t="s">
        <v>3734</v>
      </c>
      <c r="J1105" s="135">
        <v>68858</v>
      </c>
      <c r="K1105" s="19" t="s">
        <v>3718</v>
      </c>
      <c r="L1105" s="135" t="s">
        <v>3718</v>
      </c>
      <c r="M1105" s="135" t="s">
        <v>3718</v>
      </c>
      <c r="N1105" s="135"/>
      <c r="O1105" s="135" t="s">
        <v>3718</v>
      </c>
      <c r="P1105" s="450"/>
      <c r="Q1105" s="26"/>
      <c r="R1105" s="26"/>
      <c r="S1105" s="26"/>
      <c r="T1105" s="500" t="e">
        <f>_xlfn.XLOOKUP(H1105,#REF!,#REF!,0,0)</f>
        <v>#REF!</v>
      </c>
    </row>
    <row r="1106" spans="1:20" x14ac:dyDescent="0.4">
      <c r="A1106" s="135" t="s">
        <v>3718</v>
      </c>
      <c r="B1106" s="135" t="s">
        <v>3719</v>
      </c>
      <c r="C1106" s="135"/>
      <c r="D1106" s="135" t="s">
        <v>3718</v>
      </c>
      <c r="E1106" s="19" t="s">
        <v>3718</v>
      </c>
      <c r="F1106" s="20" t="s">
        <v>3720</v>
      </c>
      <c r="G1106" s="19" t="s">
        <v>3721</v>
      </c>
      <c r="H1106" s="19">
        <v>43418</v>
      </c>
      <c r="I1106" s="135" t="s">
        <v>3735</v>
      </c>
      <c r="J1106" s="135">
        <v>68859</v>
      </c>
      <c r="K1106" s="19" t="s">
        <v>3718</v>
      </c>
      <c r="L1106" s="135" t="s">
        <v>3718</v>
      </c>
      <c r="M1106" s="135" t="s">
        <v>3718</v>
      </c>
      <c r="N1106" s="135"/>
      <c r="O1106" s="135" t="s">
        <v>3718</v>
      </c>
      <c r="P1106" s="450"/>
      <c r="Q1106" s="26"/>
      <c r="R1106" s="26"/>
      <c r="S1106" s="26"/>
      <c r="T1106" s="500" t="e">
        <f>_xlfn.XLOOKUP(H1106,#REF!,#REF!,0,0)</f>
        <v>#REF!</v>
      </c>
    </row>
    <row r="1107" spans="1:20" x14ac:dyDescent="0.4">
      <c r="A1107" s="135" t="s">
        <v>3718</v>
      </c>
      <c r="B1107" s="135" t="s">
        <v>3719</v>
      </c>
      <c r="C1107" s="135"/>
      <c r="D1107" s="135" t="s">
        <v>3718</v>
      </c>
      <c r="E1107" s="19" t="s">
        <v>3718</v>
      </c>
      <c r="F1107" s="20" t="s">
        <v>3720</v>
      </c>
      <c r="G1107" s="19" t="s">
        <v>3721</v>
      </c>
      <c r="H1107" s="19">
        <v>43418</v>
      </c>
      <c r="I1107" s="135" t="s">
        <v>3736</v>
      </c>
      <c r="J1107" s="135">
        <v>68860</v>
      </c>
      <c r="K1107" s="19" t="s">
        <v>3718</v>
      </c>
      <c r="L1107" s="135" t="s">
        <v>3718</v>
      </c>
      <c r="M1107" s="135" t="s">
        <v>3718</v>
      </c>
      <c r="N1107" s="135"/>
      <c r="O1107" s="135" t="s">
        <v>3718</v>
      </c>
      <c r="P1107" s="450"/>
      <c r="Q1107" s="26"/>
      <c r="R1107" s="26"/>
      <c r="S1107" s="26"/>
      <c r="T1107" s="500" t="e">
        <f>_xlfn.XLOOKUP(H1107,#REF!,#REF!,0,0)</f>
        <v>#REF!</v>
      </c>
    </row>
    <row r="1108" spans="1:20" x14ac:dyDescent="0.4">
      <c r="A1108" s="135" t="s">
        <v>3718</v>
      </c>
      <c r="B1108" s="135" t="s">
        <v>3719</v>
      </c>
      <c r="C1108" s="135"/>
      <c r="D1108" s="135" t="s">
        <v>3718</v>
      </c>
      <c r="E1108" s="19" t="s">
        <v>3718</v>
      </c>
      <c r="F1108" s="20" t="s">
        <v>3720</v>
      </c>
      <c r="G1108" s="19" t="s">
        <v>3721</v>
      </c>
      <c r="H1108" s="19">
        <v>43418</v>
      </c>
      <c r="I1108" s="135" t="s">
        <v>3737</v>
      </c>
      <c r="J1108" s="135">
        <v>68861</v>
      </c>
      <c r="K1108" s="19" t="s">
        <v>3718</v>
      </c>
      <c r="L1108" s="135" t="s">
        <v>3718</v>
      </c>
      <c r="M1108" s="135" t="s">
        <v>3718</v>
      </c>
      <c r="N1108" s="135"/>
      <c r="O1108" s="135" t="s">
        <v>3718</v>
      </c>
      <c r="P1108" s="450"/>
      <c r="Q1108" s="26"/>
      <c r="R1108" s="26"/>
      <c r="S1108" s="26"/>
      <c r="T1108" s="500" t="e">
        <f>_xlfn.XLOOKUP(H1108,#REF!,#REF!,0,0)</f>
        <v>#REF!</v>
      </c>
    </row>
    <row r="1109" spans="1:20" x14ac:dyDescent="0.4">
      <c r="A1109" s="135" t="s">
        <v>3718</v>
      </c>
      <c r="B1109" s="135" t="s">
        <v>3719</v>
      </c>
      <c r="C1109" s="135"/>
      <c r="D1109" s="135" t="s">
        <v>3718</v>
      </c>
      <c r="E1109" s="19" t="s">
        <v>3718</v>
      </c>
      <c r="F1109" s="20" t="s">
        <v>3720</v>
      </c>
      <c r="G1109" s="19" t="s">
        <v>3721</v>
      </c>
      <c r="H1109" s="19">
        <v>43418</v>
      </c>
      <c r="I1109" s="135" t="s">
        <v>3738</v>
      </c>
      <c r="J1109" s="135">
        <v>68862</v>
      </c>
      <c r="K1109" s="19" t="s">
        <v>3718</v>
      </c>
      <c r="L1109" s="135" t="s">
        <v>3718</v>
      </c>
      <c r="M1109" s="135" t="s">
        <v>3718</v>
      </c>
      <c r="N1109" s="135"/>
      <c r="O1109" s="135" t="s">
        <v>3718</v>
      </c>
      <c r="P1109" s="450"/>
      <c r="Q1109" s="26"/>
      <c r="R1109" s="26"/>
      <c r="S1109" s="26"/>
      <c r="T1109" s="500" t="e">
        <f>_xlfn.XLOOKUP(H1109,#REF!,#REF!,0,0)</f>
        <v>#REF!</v>
      </c>
    </row>
    <row r="1110" spans="1:20" x14ac:dyDescent="0.4">
      <c r="A1110" s="135" t="s">
        <v>3718</v>
      </c>
      <c r="B1110" s="135" t="s">
        <v>3719</v>
      </c>
      <c r="C1110" s="135"/>
      <c r="D1110" s="135" t="s">
        <v>3718</v>
      </c>
      <c r="E1110" s="19" t="s">
        <v>3718</v>
      </c>
      <c r="F1110" s="20" t="s">
        <v>3720</v>
      </c>
      <c r="G1110" s="19" t="s">
        <v>3721</v>
      </c>
      <c r="H1110" s="19">
        <v>43418</v>
      </c>
      <c r="I1110" s="135" t="s">
        <v>3739</v>
      </c>
      <c r="J1110" s="135">
        <v>68863</v>
      </c>
      <c r="K1110" s="19" t="s">
        <v>3718</v>
      </c>
      <c r="L1110" s="135" t="s">
        <v>3718</v>
      </c>
      <c r="M1110" s="135" t="s">
        <v>3718</v>
      </c>
      <c r="N1110" s="135"/>
      <c r="O1110" s="135" t="s">
        <v>3718</v>
      </c>
      <c r="P1110" s="450"/>
      <c r="Q1110" s="26"/>
      <c r="R1110" s="26"/>
      <c r="S1110" s="26"/>
      <c r="T1110" s="500" t="e">
        <f>_xlfn.XLOOKUP(H1110,#REF!,#REF!,0,0)</f>
        <v>#REF!</v>
      </c>
    </row>
    <row r="1111" spans="1:20" x14ac:dyDescent="0.4">
      <c r="A1111" s="135" t="s">
        <v>3718</v>
      </c>
      <c r="B1111" s="135" t="s">
        <v>3719</v>
      </c>
      <c r="C1111" s="135"/>
      <c r="D1111" s="135" t="s">
        <v>3718</v>
      </c>
      <c r="E1111" s="19" t="s">
        <v>3718</v>
      </c>
      <c r="F1111" s="20" t="s">
        <v>3720</v>
      </c>
      <c r="G1111" s="19" t="s">
        <v>3721</v>
      </c>
      <c r="H1111" s="19">
        <v>43418</v>
      </c>
      <c r="I1111" s="135" t="s">
        <v>3740</v>
      </c>
      <c r="J1111" s="135">
        <v>68864</v>
      </c>
      <c r="K1111" s="19" t="s">
        <v>3718</v>
      </c>
      <c r="L1111" s="135" t="s">
        <v>3718</v>
      </c>
      <c r="M1111" s="135" t="s">
        <v>3718</v>
      </c>
      <c r="N1111" s="135"/>
      <c r="O1111" s="135" t="s">
        <v>3718</v>
      </c>
      <c r="P1111" s="450"/>
      <c r="Q1111" s="26"/>
      <c r="R1111" s="26"/>
      <c r="S1111" s="26"/>
      <c r="T1111" s="500" t="e">
        <f>_xlfn.XLOOKUP(H1111,#REF!,#REF!,0,0)</f>
        <v>#REF!</v>
      </c>
    </row>
    <row r="1112" spans="1:20" x14ac:dyDescent="0.4">
      <c r="A1112" s="135" t="s">
        <v>3718</v>
      </c>
      <c r="B1112" s="135" t="s">
        <v>3719</v>
      </c>
      <c r="C1112" s="135"/>
      <c r="D1112" s="135" t="s">
        <v>3718</v>
      </c>
      <c r="E1112" s="19" t="s">
        <v>3718</v>
      </c>
      <c r="F1112" s="20" t="s">
        <v>3720</v>
      </c>
      <c r="G1112" s="19" t="s">
        <v>3721</v>
      </c>
      <c r="H1112" s="19">
        <v>43418</v>
      </c>
      <c r="I1112" s="135" t="s">
        <v>3741</v>
      </c>
      <c r="J1112" s="135">
        <v>68865</v>
      </c>
      <c r="K1112" s="19" t="s">
        <v>3718</v>
      </c>
      <c r="L1112" s="135" t="s">
        <v>3718</v>
      </c>
      <c r="M1112" s="135" t="s">
        <v>3718</v>
      </c>
      <c r="N1112" s="135"/>
      <c r="O1112" s="135" t="s">
        <v>3718</v>
      </c>
      <c r="P1112" s="450"/>
      <c r="Q1112" s="26"/>
      <c r="R1112" s="26"/>
      <c r="S1112" s="26"/>
      <c r="T1112" s="500" t="e">
        <f>_xlfn.XLOOKUP(H1112,#REF!,#REF!,0,0)</f>
        <v>#REF!</v>
      </c>
    </row>
    <row r="1113" spans="1:20" x14ac:dyDescent="0.4">
      <c r="A1113" s="129" t="s">
        <v>753</v>
      </c>
      <c r="B1113" s="142" t="s">
        <v>3742</v>
      </c>
      <c r="C1113" s="142"/>
      <c r="D1113" s="129" t="s">
        <v>767</v>
      </c>
      <c r="E1113" s="130"/>
      <c r="F1113" s="129" t="s">
        <v>567</v>
      </c>
      <c r="G1113" s="130" t="s">
        <v>824</v>
      </c>
      <c r="H1113" s="130">
        <v>43052</v>
      </c>
      <c r="I1113" s="129" t="s">
        <v>3690</v>
      </c>
      <c r="J1113" s="129">
        <v>65481</v>
      </c>
      <c r="K1113" s="130" t="s">
        <v>3691</v>
      </c>
      <c r="L1113" s="129" t="s">
        <v>570</v>
      </c>
      <c r="M1113" s="129" t="s">
        <v>570</v>
      </c>
      <c r="N1113" s="129" t="s">
        <v>570</v>
      </c>
      <c r="O1113" s="129" t="s">
        <v>570</v>
      </c>
      <c r="P1113" s="409" t="s">
        <v>570</v>
      </c>
      <c r="Q1113" s="26"/>
      <c r="R1113" s="26"/>
      <c r="S1113" s="26"/>
      <c r="T1113" s="500" t="e">
        <f>_xlfn.XLOOKUP(H1113,#REF!,#REF!,0,0)</f>
        <v>#REF!</v>
      </c>
    </row>
    <row r="1114" spans="1:20" x14ac:dyDescent="0.4">
      <c r="A1114" s="129" t="s">
        <v>753</v>
      </c>
      <c r="B1114" s="142" t="s">
        <v>2073</v>
      </c>
      <c r="C1114" s="142"/>
      <c r="D1114" s="129" t="s">
        <v>767</v>
      </c>
      <c r="E1114" s="130"/>
      <c r="F1114" s="129" t="s">
        <v>567</v>
      </c>
      <c r="G1114" s="130" t="s">
        <v>824</v>
      </c>
      <c r="H1114" s="130">
        <v>43052</v>
      </c>
      <c r="I1114" s="129" t="s">
        <v>825</v>
      </c>
      <c r="J1114" s="129">
        <v>65482</v>
      </c>
      <c r="K1114" s="130" t="s">
        <v>826</v>
      </c>
      <c r="L1114" s="129" t="s">
        <v>570</v>
      </c>
      <c r="M1114" s="129" t="s">
        <v>570</v>
      </c>
      <c r="N1114" s="129" t="s">
        <v>570</v>
      </c>
      <c r="O1114" s="129" t="s">
        <v>570</v>
      </c>
      <c r="P1114" s="409" t="s">
        <v>570</v>
      </c>
      <c r="Q1114" s="26"/>
      <c r="R1114" s="26"/>
      <c r="S1114" s="26"/>
      <c r="T1114" s="500" t="e">
        <f>_xlfn.XLOOKUP(H1114,#REF!,#REF!,0,0)</f>
        <v>#REF!</v>
      </c>
    </row>
    <row r="1115" spans="1:20" x14ac:dyDescent="0.4">
      <c r="A1115" s="129" t="s">
        <v>753</v>
      </c>
      <c r="B1115" s="129" t="s">
        <v>3743</v>
      </c>
      <c r="C1115" s="129"/>
      <c r="D1115" s="129" t="s">
        <v>767</v>
      </c>
      <c r="E1115" s="130"/>
      <c r="F1115" s="129" t="s">
        <v>567</v>
      </c>
      <c r="G1115" s="130" t="s">
        <v>824</v>
      </c>
      <c r="H1115" s="130">
        <v>43052</v>
      </c>
      <c r="I1115" s="129" t="s">
        <v>3744</v>
      </c>
      <c r="J1115" s="129">
        <v>65483</v>
      </c>
      <c r="K1115" s="130" t="s">
        <v>3745</v>
      </c>
      <c r="L1115" s="129" t="s">
        <v>570</v>
      </c>
      <c r="M1115" s="129" t="s">
        <v>570</v>
      </c>
      <c r="N1115" s="129" t="s">
        <v>570</v>
      </c>
      <c r="O1115" s="129" t="s">
        <v>570</v>
      </c>
      <c r="P1115" s="409" t="s">
        <v>570</v>
      </c>
      <c r="Q1115" s="26"/>
      <c r="R1115" s="26"/>
      <c r="S1115" s="26"/>
      <c r="T1115" s="500" t="e">
        <f>_xlfn.XLOOKUP(H1115,#REF!,#REF!,0,0)</f>
        <v>#REF!</v>
      </c>
    </row>
    <row r="1116" spans="1:20" x14ac:dyDescent="0.4">
      <c r="A1116" s="129" t="s">
        <v>753</v>
      </c>
      <c r="B1116" s="129" t="s">
        <v>3696</v>
      </c>
      <c r="C1116" s="129"/>
      <c r="D1116" s="129" t="s">
        <v>767</v>
      </c>
      <c r="E1116" s="130"/>
      <c r="F1116" s="129" t="s">
        <v>3746</v>
      </c>
      <c r="G1116" s="130" t="s">
        <v>3747</v>
      </c>
      <c r="H1116" s="130">
        <v>42882</v>
      </c>
      <c r="I1116" s="129" t="s">
        <v>3748</v>
      </c>
      <c r="J1116" s="129">
        <v>68271</v>
      </c>
      <c r="K1116" s="130">
        <v>21465380957</v>
      </c>
      <c r="L1116" s="129" t="s">
        <v>570</v>
      </c>
      <c r="M1116" s="129" t="s">
        <v>570</v>
      </c>
      <c r="N1116" s="129" t="s">
        <v>570</v>
      </c>
      <c r="O1116" s="129" t="s">
        <v>570</v>
      </c>
      <c r="P1116" s="409" t="s">
        <v>570</v>
      </c>
      <c r="Q1116" s="26"/>
      <c r="R1116" s="26"/>
      <c r="S1116" s="26"/>
      <c r="T1116" s="500" t="e">
        <f>_xlfn.XLOOKUP(H1116,#REF!,#REF!,0,0)</f>
        <v>#REF!</v>
      </c>
    </row>
    <row r="1117" spans="1:20" x14ac:dyDescent="0.4">
      <c r="A1117" s="129" t="s">
        <v>753</v>
      </c>
      <c r="B1117" s="142" t="s">
        <v>823</v>
      </c>
      <c r="C1117" s="142"/>
      <c r="D1117" s="129" t="s">
        <v>767</v>
      </c>
      <c r="E1117" s="130"/>
      <c r="F1117" s="129" t="s">
        <v>567</v>
      </c>
      <c r="G1117" s="130" t="s">
        <v>824</v>
      </c>
      <c r="H1117" s="130">
        <v>43052</v>
      </c>
      <c r="I1117" s="129" t="s">
        <v>825</v>
      </c>
      <c r="J1117" s="129">
        <v>65482</v>
      </c>
      <c r="K1117" s="130" t="s">
        <v>826</v>
      </c>
      <c r="L1117" s="129" t="s">
        <v>570</v>
      </c>
      <c r="M1117" s="129" t="s">
        <v>570</v>
      </c>
      <c r="N1117" s="129" t="s">
        <v>570</v>
      </c>
      <c r="O1117" s="129" t="s">
        <v>570</v>
      </c>
      <c r="P1117" s="409" t="s">
        <v>570</v>
      </c>
      <c r="Q1117" s="26"/>
      <c r="R1117" s="26"/>
      <c r="S1117" s="26"/>
      <c r="T1117" s="500" t="e">
        <f>_xlfn.XLOOKUP(H1117,#REF!,#REF!,0,0)</f>
        <v>#REF!</v>
      </c>
    </row>
    <row r="1118" spans="1:20" x14ac:dyDescent="0.4">
      <c r="A1118" s="129" t="s">
        <v>3749</v>
      </c>
      <c r="B1118" s="129" t="s">
        <v>3750</v>
      </c>
      <c r="C1118" s="129"/>
      <c r="D1118" s="129" t="s">
        <v>693</v>
      </c>
      <c r="E1118" s="130"/>
      <c r="F1118" s="129" t="s">
        <v>3746</v>
      </c>
      <c r="G1118" s="130" t="s">
        <v>3751</v>
      </c>
      <c r="H1118" s="130">
        <v>43671</v>
      </c>
      <c r="I1118" s="129" t="s">
        <v>3752</v>
      </c>
      <c r="J1118" s="129">
        <v>69357</v>
      </c>
      <c r="K1118" s="130"/>
      <c r="L1118" s="129" t="s">
        <v>364</v>
      </c>
      <c r="M1118" s="129" t="s">
        <v>364</v>
      </c>
      <c r="N1118" s="129" t="s">
        <v>364</v>
      </c>
      <c r="O1118" s="129" t="s">
        <v>364</v>
      </c>
      <c r="P1118" s="409" t="s">
        <v>364</v>
      </c>
      <c r="Q1118" s="26"/>
      <c r="R1118" s="26"/>
      <c r="S1118" s="26"/>
      <c r="T1118" s="500" t="e">
        <f>_xlfn.XLOOKUP(H1118,#REF!,#REF!,0,0)</f>
        <v>#REF!</v>
      </c>
    </row>
    <row r="1119" spans="1:20" s="503" customFormat="1" x14ac:dyDescent="0.4">
      <c r="A1119" s="129" t="s">
        <v>3753</v>
      </c>
      <c r="B1119" s="129" t="s">
        <v>3754</v>
      </c>
      <c r="C1119" s="129"/>
      <c r="D1119" s="129" t="s">
        <v>718</v>
      </c>
      <c r="E1119" s="256" t="s">
        <v>567</v>
      </c>
      <c r="F1119" s="129" t="s">
        <v>190</v>
      </c>
      <c r="G1119" s="130" t="s">
        <v>60</v>
      </c>
      <c r="H1119" s="130">
        <v>64697</v>
      </c>
      <c r="I1119" s="129" t="s">
        <v>3718</v>
      </c>
      <c r="J1119" s="129" t="s">
        <v>364</v>
      </c>
      <c r="K1119" s="130" t="s">
        <v>570</v>
      </c>
      <c r="L1119" s="129" t="s">
        <v>570</v>
      </c>
      <c r="M1119" s="129" t="s">
        <v>570</v>
      </c>
      <c r="N1119" s="129" t="s">
        <v>364</v>
      </c>
      <c r="O1119" s="129" t="s">
        <v>3755</v>
      </c>
      <c r="P1119" s="317"/>
      <c r="Q1119" s="129"/>
      <c r="R1119" s="129"/>
      <c r="S1119" s="307"/>
      <c r="T1119" s="512" t="e">
        <f>_xlfn.XLOOKUP(H1119,#REF!,#REF!,0,0)</f>
        <v>#REF!</v>
      </c>
    </row>
    <row r="1120" spans="1:20" s="503" customFormat="1" x14ac:dyDescent="0.4">
      <c r="A1120" s="129" t="s">
        <v>3756</v>
      </c>
      <c r="B1120" s="129" t="s">
        <v>3757</v>
      </c>
      <c r="C1120" s="129"/>
      <c r="D1120" s="129" t="s">
        <v>3758</v>
      </c>
      <c r="E1120" s="256" t="s">
        <v>567</v>
      </c>
      <c r="F1120" s="142" t="s">
        <v>167</v>
      </c>
      <c r="G1120" s="130" t="s">
        <v>1912</v>
      </c>
      <c r="H1120" s="130">
        <v>63528</v>
      </c>
      <c r="I1120" s="129" t="s">
        <v>3718</v>
      </c>
      <c r="J1120" s="129" t="s">
        <v>364</v>
      </c>
      <c r="K1120" s="130" t="s">
        <v>570</v>
      </c>
      <c r="L1120" s="129" t="s">
        <v>570</v>
      </c>
      <c r="M1120" s="129" t="s">
        <v>570</v>
      </c>
      <c r="N1120" s="129" t="s">
        <v>364</v>
      </c>
      <c r="O1120" s="129" t="s">
        <v>3759</v>
      </c>
      <c r="P1120" s="317"/>
      <c r="Q1120" s="129"/>
      <c r="R1120" s="129"/>
      <c r="S1120" s="307"/>
      <c r="T1120" s="512" t="e">
        <f>_xlfn.XLOOKUP(H1120,#REF!,#REF!,0,0)</f>
        <v>#REF!</v>
      </c>
    </row>
    <row r="1121" spans="1:20" s="503" customFormat="1" x14ac:dyDescent="0.4">
      <c r="A1121" s="129" t="s">
        <v>3760</v>
      </c>
      <c r="B1121" s="129" t="s">
        <v>3761</v>
      </c>
      <c r="C1121" s="129"/>
      <c r="D1121" s="129" t="s">
        <v>3758</v>
      </c>
      <c r="E1121" s="256" t="s">
        <v>567</v>
      </c>
      <c r="F1121" s="142" t="s">
        <v>167</v>
      </c>
      <c r="G1121" s="130" t="s">
        <v>61</v>
      </c>
      <c r="H1121" s="130">
        <v>64827</v>
      </c>
      <c r="I1121" s="129" t="s">
        <v>3718</v>
      </c>
      <c r="J1121" s="129" t="s">
        <v>364</v>
      </c>
      <c r="K1121" s="130" t="s">
        <v>570</v>
      </c>
      <c r="L1121" s="129" t="s">
        <v>570</v>
      </c>
      <c r="M1121" s="129" t="s">
        <v>570</v>
      </c>
      <c r="N1121" s="129" t="s">
        <v>364</v>
      </c>
      <c r="O1121" s="129" t="s">
        <v>3762</v>
      </c>
      <c r="P1121" s="317"/>
      <c r="Q1121" s="129"/>
      <c r="R1121" s="129"/>
      <c r="S1121" s="307"/>
      <c r="T1121" s="512" t="e">
        <f>_xlfn.XLOOKUP(H1121,#REF!,#REF!,0,0)</f>
        <v>#REF!</v>
      </c>
    </row>
    <row r="1122" spans="1:20" s="503" customFormat="1" x14ac:dyDescent="0.4">
      <c r="A1122" s="129" t="s">
        <v>3763</v>
      </c>
      <c r="B1122" s="129" t="s">
        <v>3764</v>
      </c>
      <c r="C1122" s="129"/>
      <c r="D1122" s="129" t="s">
        <v>3758</v>
      </c>
      <c r="E1122" s="256" t="s">
        <v>567</v>
      </c>
      <c r="F1122" s="142" t="s">
        <v>167</v>
      </c>
      <c r="G1122" s="130" t="s">
        <v>1928</v>
      </c>
      <c r="H1122" s="130">
        <v>63546</v>
      </c>
      <c r="I1122" s="129" t="s">
        <v>3718</v>
      </c>
      <c r="J1122" s="129" t="s">
        <v>364</v>
      </c>
      <c r="K1122" s="130" t="s">
        <v>570</v>
      </c>
      <c r="L1122" s="129" t="s">
        <v>570</v>
      </c>
      <c r="M1122" s="129" t="s">
        <v>570</v>
      </c>
      <c r="N1122" s="129" t="s">
        <v>364</v>
      </c>
      <c r="O1122" s="129" t="s">
        <v>3765</v>
      </c>
      <c r="P1122" s="317"/>
      <c r="Q1122" s="129"/>
      <c r="R1122" s="129"/>
      <c r="S1122" s="307"/>
      <c r="T1122" s="512" t="e">
        <f>_xlfn.XLOOKUP(H1122,#REF!,#REF!,0,0)</f>
        <v>#REF!</v>
      </c>
    </row>
    <row r="1123" spans="1:20" s="503" customFormat="1" x14ac:dyDescent="0.4">
      <c r="A1123" s="129" t="s">
        <v>3766</v>
      </c>
      <c r="B1123" s="129" t="s">
        <v>3767</v>
      </c>
      <c r="C1123" s="129"/>
      <c r="D1123" s="129" t="s">
        <v>3758</v>
      </c>
      <c r="E1123" s="256" t="s">
        <v>567</v>
      </c>
      <c r="F1123" s="129" t="s">
        <v>190</v>
      </c>
      <c r="G1123" s="130" t="s">
        <v>3768</v>
      </c>
      <c r="H1123" s="130">
        <v>64689</v>
      </c>
      <c r="I1123" s="129" t="s">
        <v>3718</v>
      </c>
      <c r="J1123" s="129" t="s">
        <v>364</v>
      </c>
      <c r="K1123" s="130" t="s">
        <v>570</v>
      </c>
      <c r="L1123" s="129" t="s">
        <v>570</v>
      </c>
      <c r="M1123" s="129" t="s">
        <v>570</v>
      </c>
      <c r="N1123" s="129" t="s">
        <v>364</v>
      </c>
      <c r="O1123" s="129" t="s">
        <v>3769</v>
      </c>
      <c r="P1123" s="317"/>
      <c r="Q1123" s="129"/>
      <c r="R1123" s="129"/>
      <c r="S1123" s="307"/>
      <c r="T1123" s="512" t="e">
        <f>_xlfn.XLOOKUP(H1123,#REF!,#REF!,0,0)</f>
        <v>#REF!</v>
      </c>
    </row>
    <row r="1124" spans="1:20" s="504" customFormat="1" x14ac:dyDescent="0.4">
      <c r="A1124" s="129"/>
      <c r="B1124" s="129" t="s">
        <v>3770</v>
      </c>
      <c r="C1124" s="129"/>
      <c r="D1124" s="129" t="s">
        <v>3758</v>
      </c>
      <c r="E1124" s="256" t="s">
        <v>567</v>
      </c>
      <c r="F1124" s="142" t="s">
        <v>242</v>
      </c>
      <c r="G1124" s="130" t="s">
        <v>3771</v>
      </c>
      <c r="H1124" s="130">
        <v>70531</v>
      </c>
      <c r="I1124" s="129" t="s">
        <v>3718</v>
      </c>
      <c r="J1124" s="129" t="s">
        <v>364</v>
      </c>
      <c r="K1124" s="130" t="s">
        <v>570</v>
      </c>
      <c r="L1124" s="129" t="s">
        <v>570</v>
      </c>
      <c r="M1124" s="129" t="s">
        <v>570</v>
      </c>
      <c r="N1124" s="129" t="s">
        <v>3772</v>
      </c>
      <c r="O1124" s="129" t="s">
        <v>3773</v>
      </c>
      <c r="P1124" s="318"/>
      <c r="Q1124" s="90"/>
      <c r="R1124" s="90"/>
      <c r="S1124" s="308"/>
      <c r="T1124" s="512" t="e">
        <f>_xlfn.XLOOKUP(H1124,#REF!,#REF!,0,0)</f>
        <v>#REF!</v>
      </c>
    </row>
    <row r="1125" spans="1:20" s="504" customFormat="1" x14ac:dyDescent="0.4">
      <c r="A1125" s="129"/>
      <c r="B1125" s="129" t="s">
        <v>3774</v>
      </c>
      <c r="C1125" s="129"/>
      <c r="D1125" s="129" t="s">
        <v>3758</v>
      </c>
      <c r="E1125" s="130" t="s">
        <v>567</v>
      </c>
      <c r="F1125" s="129" t="s">
        <v>242</v>
      </c>
      <c r="G1125" s="130" t="s">
        <v>3775</v>
      </c>
      <c r="H1125" s="130">
        <v>70522</v>
      </c>
      <c r="I1125" s="129" t="s">
        <v>3718</v>
      </c>
      <c r="J1125" s="129" t="s">
        <v>364</v>
      </c>
      <c r="K1125" s="130" t="s">
        <v>570</v>
      </c>
      <c r="L1125" s="129" t="s">
        <v>570</v>
      </c>
      <c r="M1125" s="129" t="s">
        <v>570</v>
      </c>
      <c r="N1125" s="129" t="s">
        <v>3772</v>
      </c>
      <c r="O1125" s="129" t="s">
        <v>3773</v>
      </c>
      <c r="P1125" s="318"/>
      <c r="Q1125" s="90"/>
      <c r="R1125" s="90"/>
      <c r="S1125" s="308"/>
      <c r="T1125" s="512" t="e">
        <f>_xlfn.XLOOKUP(H1125,#REF!,#REF!,0,0)</f>
        <v>#REF!</v>
      </c>
    </row>
    <row r="1126" spans="1:20" s="504" customFormat="1" x14ac:dyDescent="0.4">
      <c r="A1126" s="129"/>
      <c r="B1126" s="129" t="s">
        <v>3776</v>
      </c>
      <c r="C1126" s="129"/>
      <c r="D1126" s="129" t="s">
        <v>3758</v>
      </c>
      <c r="E1126" s="130" t="s">
        <v>567</v>
      </c>
      <c r="F1126" s="129" t="s">
        <v>190</v>
      </c>
      <c r="G1126" s="130" t="s">
        <v>250</v>
      </c>
      <c r="H1126" s="130">
        <v>70489</v>
      </c>
      <c r="I1126" s="129" t="s">
        <v>3718</v>
      </c>
      <c r="J1126" s="129" t="s">
        <v>364</v>
      </c>
      <c r="K1126" s="130" t="s">
        <v>570</v>
      </c>
      <c r="L1126" s="129" t="s">
        <v>570</v>
      </c>
      <c r="M1126" s="129" t="s">
        <v>570</v>
      </c>
      <c r="N1126" s="129" t="s">
        <v>3772</v>
      </c>
      <c r="O1126" s="129" t="s">
        <v>3773</v>
      </c>
      <c r="P1126" s="318"/>
      <c r="Q1126" s="90"/>
      <c r="R1126" s="90"/>
      <c r="S1126" s="308"/>
      <c r="T1126" s="512" t="e">
        <f>_xlfn.XLOOKUP(H1126,#REF!,#REF!,0,0)</f>
        <v>#REF!</v>
      </c>
    </row>
    <row r="1127" spans="1:20" x14ac:dyDescent="0.4">
      <c r="A1127" s="129"/>
      <c r="B1127" s="129" t="s">
        <v>3777</v>
      </c>
      <c r="C1127" s="129"/>
      <c r="D1127" s="129" t="s">
        <v>3778</v>
      </c>
      <c r="E1127" s="130" t="s">
        <v>567</v>
      </c>
      <c r="F1127" s="129" t="s">
        <v>190</v>
      </c>
      <c r="G1127" s="130" t="s">
        <v>1180</v>
      </c>
      <c r="H1127" s="130">
        <v>70446</v>
      </c>
      <c r="I1127" s="129"/>
      <c r="J1127" s="129" t="s">
        <v>570</v>
      </c>
      <c r="K1127" s="130"/>
      <c r="L1127" s="129"/>
      <c r="M1127" s="129" t="s">
        <v>570</v>
      </c>
      <c r="N1127" s="129"/>
      <c r="O1127" s="129" t="s">
        <v>3779</v>
      </c>
      <c r="P1127" s="319"/>
      <c r="Q1127" s="26"/>
      <c r="R1127" s="26"/>
      <c r="S1127" s="26"/>
      <c r="T1127" s="500" t="e">
        <f>_xlfn.XLOOKUP(H1127,#REF!,#REF!,0,0)</f>
        <v>#REF!</v>
      </c>
    </row>
    <row r="1128" spans="1:20" x14ac:dyDescent="0.4">
      <c r="A1128" s="129"/>
      <c r="B1128" s="129" t="s">
        <v>3780</v>
      </c>
      <c r="C1128" s="129"/>
      <c r="D1128" s="129" t="s">
        <v>718</v>
      </c>
      <c r="E1128" s="130" t="s">
        <v>567</v>
      </c>
      <c r="F1128" s="129" t="s">
        <v>190</v>
      </c>
      <c r="G1128" s="130" t="s">
        <v>3781</v>
      </c>
      <c r="H1128" s="130">
        <v>70438</v>
      </c>
      <c r="I1128" s="129"/>
      <c r="J1128" s="129" t="s">
        <v>570</v>
      </c>
      <c r="K1128" s="130"/>
      <c r="L1128" s="129"/>
      <c r="M1128" s="129" t="s">
        <v>570</v>
      </c>
      <c r="N1128" s="129"/>
      <c r="O1128" s="129" t="s">
        <v>3782</v>
      </c>
      <c r="P1128" s="319"/>
      <c r="Q1128" s="26"/>
      <c r="R1128" s="26"/>
      <c r="S1128" s="26"/>
      <c r="T1128" s="500" t="e">
        <f>_xlfn.XLOOKUP(H1128,#REF!,#REF!,0,0)</f>
        <v>#REF!</v>
      </c>
    </row>
    <row r="1129" spans="1:20" x14ac:dyDescent="0.4">
      <c r="A1129" s="129" t="s">
        <v>3783</v>
      </c>
      <c r="B1129" s="129" t="s">
        <v>3784</v>
      </c>
      <c r="C1129" s="129"/>
      <c r="D1129" s="129"/>
      <c r="E1129" s="130" t="s">
        <v>3785</v>
      </c>
      <c r="F1129" s="129" t="s">
        <v>3786</v>
      </c>
      <c r="G1129" s="130" t="s">
        <v>3787</v>
      </c>
      <c r="H1129" s="130">
        <v>70627</v>
      </c>
      <c r="I1129" s="129"/>
      <c r="J1129" s="129" t="s">
        <v>332</v>
      </c>
      <c r="K1129" s="130" t="s">
        <v>3788</v>
      </c>
      <c r="L1129" s="129" t="s">
        <v>3788</v>
      </c>
      <c r="M1129" s="129" t="s">
        <v>3788</v>
      </c>
      <c r="N1129" s="257">
        <v>44333</v>
      </c>
      <c r="O1129" s="129" t="s">
        <v>332</v>
      </c>
      <c r="P1129" s="449"/>
      <c r="Q1129" s="26"/>
      <c r="R1129" s="26"/>
      <c r="S1129" s="26"/>
      <c r="T1129" s="500" t="e">
        <f>_xlfn.XLOOKUP(H1129,#REF!,#REF!,0,0)</f>
        <v>#REF!</v>
      </c>
    </row>
    <row r="1130" spans="1:20" x14ac:dyDescent="0.4">
      <c r="A1130" s="71" t="s">
        <v>3789</v>
      </c>
      <c r="B1130" s="71" t="s">
        <v>3790</v>
      </c>
      <c r="C1130" s="71"/>
      <c r="D1130" s="71"/>
      <c r="E1130" s="23" t="s">
        <v>3785</v>
      </c>
      <c r="F1130" s="121" t="s">
        <v>3786</v>
      </c>
      <c r="G1130" s="23" t="s">
        <v>257</v>
      </c>
      <c r="H1130" s="23">
        <v>70630</v>
      </c>
      <c r="I1130" s="71"/>
      <c r="J1130" s="71" t="s">
        <v>332</v>
      </c>
      <c r="K1130" s="23" t="s">
        <v>3788</v>
      </c>
      <c r="L1130" s="71" t="s">
        <v>3788</v>
      </c>
      <c r="M1130" s="71" t="s">
        <v>3788</v>
      </c>
      <c r="N1130" s="122">
        <v>44333</v>
      </c>
      <c r="O1130" s="71" t="s">
        <v>332</v>
      </c>
      <c r="P1130" s="449"/>
      <c r="Q1130" s="26"/>
      <c r="R1130" s="26"/>
      <c r="S1130" s="26"/>
      <c r="T1130" s="500" t="e">
        <f>_xlfn.XLOOKUP(H1130,#REF!,#REF!,0,0)</f>
        <v>#REF!</v>
      </c>
    </row>
    <row r="1131" spans="1:20" x14ac:dyDescent="0.4">
      <c r="A1131" s="71" t="s">
        <v>3791</v>
      </c>
      <c r="B1131" s="71" t="s">
        <v>3792</v>
      </c>
      <c r="C1131" s="71"/>
      <c r="D1131" s="71"/>
      <c r="E1131" s="23" t="s">
        <v>3785</v>
      </c>
      <c r="F1131" s="121" t="s">
        <v>3786</v>
      </c>
      <c r="G1131" s="23" t="s">
        <v>3793</v>
      </c>
      <c r="H1131" s="23">
        <v>70636</v>
      </c>
      <c r="I1131" s="71"/>
      <c r="J1131" s="71" t="s">
        <v>332</v>
      </c>
      <c r="K1131" s="23" t="s">
        <v>3788</v>
      </c>
      <c r="L1131" s="71" t="s">
        <v>332</v>
      </c>
      <c r="M1131" s="71" t="s">
        <v>332</v>
      </c>
      <c r="N1131" s="122">
        <v>44334</v>
      </c>
      <c r="O1131" s="71"/>
      <c r="P1131" s="449"/>
      <c r="Q1131" s="26"/>
      <c r="R1131" s="26"/>
      <c r="S1131" s="26"/>
      <c r="T1131" s="500" t="e">
        <f>_xlfn.XLOOKUP(H1131,#REF!,#REF!,0,0)</f>
        <v>#REF!</v>
      </c>
    </row>
    <row r="1132" spans="1:20" x14ac:dyDescent="0.4">
      <c r="A1132" s="134" t="s">
        <v>570</v>
      </c>
      <c r="B1132" s="134" t="s">
        <v>3794</v>
      </c>
      <c r="C1132" s="134"/>
      <c r="D1132" s="134"/>
      <c r="E1132" s="18" t="s">
        <v>3795</v>
      </c>
      <c r="F1132" s="10">
        <v>41747</v>
      </c>
      <c r="G1132" s="18" t="s">
        <v>3796</v>
      </c>
      <c r="H1132" s="18">
        <v>58837</v>
      </c>
      <c r="I1132" s="134" t="s">
        <v>3797</v>
      </c>
      <c r="J1132" s="134" t="s">
        <v>3798</v>
      </c>
      <c r="K1132" s="19" t="s">
        <v>570</v>
      </c>
      <c r="L1132" s="134" t="s">
        <v>570</v>
      </c>
      <c r="M1132" s="134" t="s">
        <v>570</v>
      </c>
      <c r="N1132" s="134" t="s">
        <v>570</v>
      </c>
      <c r="O1132" s="134" t="s">
        <v>570</v>
      </c>
      <c r="P1132" s="449"/>
      <c r="Q1132" s="26"/>
      <c r="R1132" s="26"/>
      <c r="S1132" s="26"/>
      <c r="T1132" s="500" t="e">
        <f>_xlfn.XLOOKUP(H1132,#REF!,#REF!,0,0)</f>
        <v>#REF!</v>
      </c>
    </row>
    <row r="1133" spans="1:20" x14ac:dyDescent="0.4">
      <c r="A1133" s="134" t="s">
        <v>570</v>
      </c>
      <c r="B1133" s="134" t="s">
        <v>3794</v>
      </c>
      <c r="C1133" s="134"/>
      <c r="D1133" s="134"/>
      <c r="E1133" s="18" t="s">
        <v>3795</v>
      </c>
      <c r="F1133" s="10">
        <v>41747</v>
      </c>
      <c r="G1133" s="18" t="s">
        <v>3796</v>
      </c>
      <c r="H1133" s="18">
        <v>58837</v>
      </c>
      <c r="I1133" s="134" t="s">
        <v>3797</v>
      </c>
      <c r="J1133" s="134" t="s">
        <v>3798</v>
      </c>
      <c r="K1133" s="19" t="s">
        <v>570</v>
      </c>
      <c r="L1133" s="134" t="s">
        <v>570</v>
      </c>
      <c r="M1133" s="134" t="s">
        <v>570</v>
      </c>
      <c r="N1133" s="134" t="s">
        <v>570</v>
      </c>
      <c r="O1133" s="134" t="s">
        <v>570</v>
      </c>
      <c r="P1133" s="449"/>
      <c r="Q1133" s="26"/>
      <c r="R1133" s="26"/>
      <c r="S1133" s="26"/>
      <c r="T1133" s="500" t="e">
        <f>_xlfn.XLOOKUP(H1133,#REF!,#REF!,0,0)</f>
        <v>#REF!</v>
      </c>
    </row>
    <row r="1134" spans="1:20" x14ac:dyDescent="0.4">
      <c r="A1134" s="134" t="s">
        <v>570</v>
      </c>
      <c r="B1134" s="134" t="s">
        <v>2944</v>
      </c>
      <c r="C1134" s="134"/>
      <c r="D1134" s="134"/>
      <c r="E1134" s="18" t="s">
        <v>3795</v>
      </c>
      <c r="F1134" s="10">
        <v>41747</v>
      </c>
      <c r="G1134" s="18" t="s">
        <v>3799</v>
      </c>
      <c r="H1134" s="18">
        <v>58838</v>
      </c>
      <c r="I1134" s="134" t="s">
        <v>3800</v>
      </c>
      <c r="J1134" s="134" t="s">
        <v>3801</v>
      </c>
      <c r="K1134" s="19" t="s">
        <v>570</v>
      </c>
      <c r="L1134" s="134" t="s">
        <v>570</v>
      </c>
      <c r="M1134" s="134" t="s">
        <v>570</v>
      </c>
      <c r="N1134" s="134" t="s">
        <v>570</v>
      </c>
      <c r="O1134" s="134" t="s">
        <v>570</v>
      </c>
      <c r="P1134" s="449"/>
      <c r="Q1134" s="26"/>
      <c r="R1134" s="26"/>
      <c r="S1134" s="26"/>
      <c r="T1134" s="500" t="e">
        <f>_xlfn.XLOOKUP(H1134,#REF!,#REF!,0,0)</f>
        <v>#REF!</v>
      </c>
    </row>
    <row r="1135" spans="1:20" x14ac:dyDescent="0.4">
      <c r="A1135" s="134" t="s">
        <v>570</v>
      </c>
      <c r="B1135" s="135" t="s">
        <v>3802</v>
      </c>
      <c r="C1135" s="135"/>
      <c r="D1135" s="134"/>
      <c r="E1135" s="18" t="s">
        <v>3795</v>
      </c>
      <c r="F1135" s="10">
        <v>41747</v>
      </c>
      <c r="G1135" s="18" t="s">
        <v>3803</v>
      </c>
      <c r="H1135" s="18">
        <v>58839</v>
      </c>
      <c r="I1135" s="134" t="s">
        <v>3804</v>
      </c>
      <c r="J1135" s="134" t="s">
        <v>3805</v>
      </c>
      <c r="K1135" s="19" t="s">
        <v>570</v>
      </c>
      <c r="L1135" s="134" t="s">
        <v>570</v>
      </c>
      <c r="M1135" s="134" t="s">
        <v>570</v>
      </c>
      <c r="N1135" s="134" t="s">
        <v>570</v>
      </c>
      <c r="O1135" s="134" t="s">
        <v>570</v>
      </c>
      <c r="P1135" s="449"/>
      <c r="Q1135" s="26"/>
      <c r="R1135" s="26"/>
      <c r="S1135" s="26"/>
      <c r="T1135" s="500" t="e">
        <f>_xlfn.XLOOKUP(H1135,#REF!,#REF!,0,0)</f>
        <v>#REF!</v>
      </c>
    </row>
    <row r="1136" spans="1:20" x14ac:dyDescent="0.4">
      <c r="A1136" s="134" t="s">
        <v>570</v>
      </c>
      <c r="B1136" s="135" t="s">
        <v>3802</v>
      </c>
      <c r="C1136" s="135"/>
      <c r="D1136" s="134"/>
      <c r="E1136" s="18" t="s">
        <v>3795</v>
      </c>
      <c r="F1136" s="10">
        <v>41747</v>
      </c>
      <c r="G1136" s="18" t="s">
        <v>3803</v>
      </c>
      <c r="H1136" s="18">
        <v>58839</v>
      </c>
      <c r="I1136" s="134" t="s">
        <v>3804</v>
      </c>
      <c r="J1136" s="134" t="s">
        <v>3805</v>
      </c>
      <c r="K1136" s="19" t="s">
        <v>570</v>
      </c>
      <c r="L1136" s="134" t="s">
        <v>570</v>
      </c>
      <c r="M1136" s="134" t="s">
        <v>570</v>
      </c>
      <c r="N1136" s="134" t="s">
        <v>570</v>
      </c>
      <c r="O1136" s="134" t="s">
        <v>570</v>
      </c>
      <c r="P1136" s="449"/>
      <c r="Q1136" s="26"/>
      <c r="R1136" s="26"/>
      <c r="S1136" s="26"/>
      <c r="T1136" s="500" t="e">
        <f>_xlfn.XLOOKUP(H1136,#REF!,#REF!,0,0)</f>
        <v>#REF!</v>
      </c>
    </row>
    <row r="1137" spans="1:20" x14ac:dyDescent="0.4">
      <c r="A1137" s="134" t="s">
        <v>570</v>
      </c>
      <c r="B1137" s="135" t="s">
        <v>3806</v>
      </c>
      <c r="C1137" s="135"/>
      <c r="D1137" s="134" t="s">
        <v>567</v>
      </c>
      <c r="E1137" s="18" t="s">
        <v>3807</v>
      </c>
      <c r="F1137" s="10">
        <v>41747</v>
      </c>
      <c r="G1137" s="18" t="s">
        <v>3808</v>
      </c>
      <c r="H1137" s="18">
        <v>58840</v>
      </c>
      <c r="I1137" s="134" t="s">
        <v>3809</v>
      </c>
      <c r="J1137" s="134" t="s">
        <v>3810</v>
      </c>
      <c r="K1137" s="19" t="s">
        <v>570</v>
      </c>
      <c r="L1137" s="134" t="s">
        <v>570</v>
      </c>
      <c r="M1137" s="134" t="s">
        <v>570</v>
      </c>
      <c r="N1137" s="134" t="s">
        <v>570</v>
      </c>
      <c r="O1137" s="134" t="s">
        <v>570</v>
      </c>
      <c r="P1137" s="449"/>
      <c r="Q1137" s="26"/>
      <c r="R1137" s="26"/>
      <c r="S1137" s="26"/>
      <c r="T1137" s="500" t="e">
        <f>_xlfn.XLOOKUP(H1137,#REF!,#REF!,0,0)</f>
        <v>#REF!</v>
      </c>
    </row>
    <row r="1138" spans="1:20" x14ac:dyDescent="0.4">
      <c r="A1138" s="134" t="s">
        <v>570</v>
      </c>
      <c r="B1138" s="135" t="s">
        <v>3811</v>
      </c>
      <c r="C1138" s="135"/>
      <c r="D1138" s="134" t="s">
        <v>567</v>
      </c>
      <c r="E1138" s="18" t="s">
        <v>3807</v>
      </c>
      <c r="F1138" s="10">
        <v>41747</v>
      </c>
      <c r="G1138" s="18" t="s">
        <v>3812</v>
      </c>
      <c r="H1138" s="18">
        <v>58841</v>
      </c>
      <c r="I1138" s="134" t="s">
        <v>3813</v>
      </c>
      <c r="J1138" s="134" t="s">
        <v>3814</v>
      </c>
      <c r="K1138" s="19" t="s">
        <v>570</v>
      </c>
      <c r="L1138" s="134" t="s">
        <v>570</v>
      </c>
      <c r="M1138" s="134" t="s">
        <v>570</v>
      </c>
      <c r="N1138" s="134" t="s">
        <v>570</v>
      </c>
      <c r="O1138" s="134" t="s">
        <v>570</v>
      </c>
      <c r="P1138" s="449"/>
      <c r="Q1138" s="26"/>
      <c r="R1138" s="26"/>
      <c r="S1138" s="26"/>
      <c r="T1138" s="500" t="e">
        <f>_xlfn.XLOOKUP(H1138,#REF!,#REF!,0,0)</f>
        <v>#REF!</v>
      </c>
    </row>
    <row r="1139" spans="1:20" x14ac:dyDescent="0.4">
      <c r="A1139" s="134" t="s">
        <v>570</v>
      </c>
      <c r="B1139" s="134" t="s">
        <v>3815</v>
      </c>
      <c r="C1139" s="134"/>
      <c r="D1139" s="134"/>
      <c r="E1139" s="18" t="s">
        <v>3795</v>
      </c>
      <c r="F1139" s="10">
        <v>41747</v>
      </c>
      <c r="G1139" s="18" t="s">
        <v>3816</v>
      </c>
      <c r="H1139" s="18">
        <v>58842</v>
      </c>
      <c r="I1139" s="134" t="s">
        <v>3817</v>
      </c>
      <c r="J1139" s="134" t="s">
        <v>3818</v>
      </c>
      <c r="K1139" s="19" t="s">
        <v>570</v>
      </c>
      <c r="L1139" s="134" t="s">
        <v>570</v>
      </c>
      <c r="M1139" s="134" t="s">
        <v>570</v>
      </c>
      <c r="N1139" s="134" t="s">
        <v>570</v>
      </c>
      <c r="O1139" s="134" t="s">
        <v>570</v>
      </c>
      <c r="P1139" s="449"/>
      <c r="Q1139" s="26"/>
      <c r="R1139" s="26"/>
      <c r="S1139" s="26"/>
      <c r="T1139" s="500" t="e">
        <f>_xlfn.XLOOKUP(H1139,#REF!,#REF!,0,0)</f>
        <v>#REF!</v>
      </c>
    </row>
    <row r="1140" spans="1:20" x14ac:dyDescent="0.4">
      <c r="A1140" s="134" t="s">
        <v>570</v>
      </c>
      <c r="B1140" s="134" t="s">
        <v>3819</v>
      </c>
      <c r="C1140" s="134"/>
      <c r="D1140" s="134"/>
      <c r="E1140" s="18" t="s">
        <v>3807</v>
      </c>
      <c r="F1140" s="10">
        <v>41747</v>
      </c>
      <c r="G1140" s="18" t="s">
        <v>3820</v>
      </c>
      <c r="H1140" s="18">
        <v>58843</v>
      </c>
      <c r="I1140" s="134" t="s">
        <v>3800</v>
      </c>
      <c r="J1140" s="134" t="s">
        <v>3821</v>
      </c>
      <c r="K1140" s="19" t="s">
        <v>570</v>
      </c>
      <c r="L1140" s="134" t="s">
        <v>570</v>
      </c>
      <c r="M1140" s="134" t="s">
        <v>570</v>
      </c>
      <c r="N1140" s="134" t="s">
        <v>570</v>
      </c>
      <c r="O1140" s="134" t="s">
        <v>570</v>
      </c>
      <c r="P1140" s="449"/>
      <c r="Q1140" s="26"/>
      <c r="R1140" s="26"/>
      <c r="S1140" s="26"/>
      <c r="T1140" s="500" t="e">
        <f>_xlfn.XLOOKUP(H1140,#REF!,#REF!,0,0)</f>
        <v>#REF!</v>
      </c>
    </row>
    <row r="1141" spans="1:20" x14ac:dyDescent="0.4">
      <c r="A1141" s="134" t="s">
        <v>570</v>
      </c>
      <c r="B1141" s="134" t="s">
        <v>3819</v>
      </c>
      <c r="C1141" s="134"/>
      <c r="D1141" s="134"/>
      <c r="E1141" s="18" t="s">
        <v>3807</v>
      </c>
      <c r="F1141" s="10">
        <v>41747</v>
      </c>
      <c r="G1141" s="18" t="s">
        <v>3822</v>
      </c>
      <c r="H1141" s="18">
        <v>58844</v>
      </c>
      <c r="I1141" s="134" t="s">
        <v>3823</v>
      </c>
      <c r="J1141" s="134" t="s">
        <v>3824</v>
      </c>
      <c r="K1141" s="19" t="s">
        <v>570</v>
      </c>
      <c r="L1141" s="134" t="s">
        <v>570</v>
      </c>
      <c r="M1141" s="134" t="s">
        <v>570</v>
      </c>
      <c r="N1141" s="134" t="s">
        <v>570</v>
      </c>
      <c r="O1141" s="134" t="s">
        <v>570</v>
      </c>
      <c r="P1141" s="449"/>
      <c r="Q1141" s="26"/>
      <c r="R1141" s="26"/>
      <c r="S1141" s="26"/>
      <c r="T1141" s="500" t="e">
        <f>_xlfn.XLOOKUP(H1141,#REF!,#REF!,0,0)</f>
        <v>#REF!</v>
      </c>
    </row>
    <row r="1142" spans="1:20" x14ac:dyDescent="0.4">
      <c r="A1142" s="134" t="s">
        <v>570</v>
      </c>
      <c r="B1142" s="134" t="s">
        <v>3825</v>
      </c>
      <c r="C1142" s="134"/>
      <c r="D1142" s="134"/>
      <c r="E1142" s="18" t="s">
        <v>3795</v>
      </c>
      <c r="F1142" s="10">
        <v>41747</v>
      </c>
      <c r="G1142" s="18" t="s">
        <v>9</v>
      </c>
      <c r="H1142" s="18">
        <v>58845</v>
      </c>
      <c r="I1142" s="134" t="s">
        <v>3800</v>
      </c>
      <c r="J1142" s="134" t="s">
        <v>3826</v>
      </c>
      <c r="K1142" s="19" t="s">
        <v>570</v>
      </c>
      <c r="L1142" s="134" t="s">
        <v>570</v>
      </c>
      <c r="M1142" s="134" t="s">
        <v>570</v>
      </c>
      <c r="N1142" s="134" t="s">
        <v>570</v>
      </c>
      <c r="O1142" s="134" t="s">
        <v>570</v>
      </c>
      <c r="P1142" s="449"/>
      <c r="Q1142" s="26"/>
      <c r="R1142" s="26"/>
      <c r="S1142" s="26"/>
      <c r="T1142" s="500" t="e">
        <f>_xlfn.XLOOKUP(H1142,#REF!,#REF!,0,0)</f>
        <v>#REF!</v>
      </c>
    </row>
    <row r="1143" spans="1:20" x14ac:dyDescent="0.4">
      <c r="A1143" s="134" t="s">
        <v>570</v>
      </c>
      <c r="B1143" s="134" t="s">
        <v>3825</v>
      </c>
      <c r="C1143" s="134"/>
      <c r="D1143" s="134"/>
      <c r="E1143" s="18" t="s">
        <v>3795</v>
      </c>
      <c r="F1143" s="10">
        <v>41747</v>
      </c>
      <c r="G1143" s="18" t="s">
        <v>9</v>
      </c>
      <c r="H1143" s="18">
        <v>58845</v>
      </c>
      <c r="I1143" s="134" t="s">
        <v>3800</v>
      </c>
      <c r="J1143" s="134" t="s">
        <v>3826</v>
      </c>
      <c r="K1143" s="19" t="s">
        <v>570</v>
      </c>
      <c r="L1143" s="134" t="s">
        <v>570</v>
      </c>
      <c r="M1143" s="134" t="s">
        <v>570</v>
      </c>
      <c r="N1143" s="134" t="s">
        <v>570</v>
      </c>
      <c r="O1143" s="134" t="s">
        <v>570</v>
      </c>
      <c r="P1143" s="449"/>
      <c r="Q1143" s="26"/>
      <c r="R1143" s="26"/>
      <c r="S1143" s="26"/>
      <c r="T1143" s="500" t="e">
        <f>_xlfn.XLOOKUP(H1143,#REF!,#REF!,0,0)</f>
        <v>#REF!</v>
      </c>
    </row>
    <row r="1144" spans="1:20" x14ac:dyDescent="0.4">
      <c r="A1144" s="134" t="s">
        <v>570</v>
      </c>
      <c r="B1144" s="134" t="s">
        <v>3827</v>
      </c>
      <c r="C1144" s="134"/>
      <c r="D1144" s="134"/>
      <c r="E1144" s="18" t="s">
        <v>3795</v>
      </c>
      <c r="F1144" s="10">
        <v>41747</v>
      </c>
      <c r="G1144" s="18" t="s">
        <v>3828</v>
      </c>
      <c r="H1144" s="18">
        <v>58846</v>
      </c>
      <c r="I1144" s="134" t="s">
        <v>3829</v>
      </c>
      <c r="J1144" s="134" t="s">
        <v>3830</v>
      </c>
      <c r="K1144" s="19" t="s">
        <v>570</v>
      </c>
      <c r="L1144" s="134" t="s">
        <v>570</v>
      </c>
      <c r="M1144" s="134" t="s">
        <v>570</v>
      </c>
      <c r="N1144" s="134" t="s">
        <v>570</v>
      </c>
      <c r="O1144" s="134" t="s">
        <v>570</v>
      </c>
      <c r="P1144" s="449"/>
      <c r="Q1144" s="26"/>
      <c r="R1144" s="26"/>
      <c r="S1144" s="26"/>
      <c r="T1144" s="500" t="e">
        <f>_xlfn.XLOOKUP(H1144,#REF!,#REF!,0,0)</f>
        <v>#REF!</v>
      </c>
    </row>
    <row r="1145" spans="1:20" x14ac:dyDescent="0.4">
      <c r="A1145" s="134" t="s">
        <v>570</v>
      </c>
      <c r="B1145" s="134" t="s">
        <v>3646</v>
      </c>
      <c r="C1145" s="134"/>
      <c r="D1145" s="134"/>
      <c r="E1145" s="18" t="s">
        <v>3807</v>
      </c>
      <c r="F1145" s="10">
        <v>41837</v>
      </c>
      <c r="G1145" s="18" t="s">
        <v>839</v>
      </c>
      <c r="H1145" s="18">
        <v>59046</v>
      </c>
      <c r="I1145" s="134" t="s">
        <v>3831</v>
      </c>
      <c r="J1145" s="134" t="s">
        <v>3832</v>
      </c>
      <c r="K1145" s="19" t="s">
        <v>570</v>
      </c>
      <c r="L1145" s="134" t="s">
        <v>570</v>
      </c>
      <c r="M1145" s="134" t="s">
        <v>570</v>
      </c>
      <c r="N1145" s="134" t="s">
        <v>570</v>
      </c>
      <c r="O1145" s="134" t="s">
        <v>570</v>
      </c>
      <c r="P1145" s="449"/>
      <c r="Q1145" s="26"/>
      <c r="R1145" s="26"/>
      <c r="S1145" s="26"/>
      <c r="T1145" s="500" t="e">
        <f>_xlfn.XLOOKUP(H1145,#REF!,#REF!,0,0)</f>
        <v>#REF!</v>
      </c>
    </row>
    <row r="1146" spans="1:20" x14ac:dyDescent="0.4">
      <c r="A1146" s="134" t="s">
        <v>570</v>
      </c>
      <c r="B1146" s="135" t="s">
        <v>3833</v>
      </c>
      <c r="C1146" s="135"/>
      <c r="D1146" s="135" t="s">
        <v>567</v>
      </c>
      <c r="E1146" s="19" t="s">
        <v>3807</v>
      </c>
      <c r="F1146" s="20">
        <v>41837</v>
      </c>
      <c r="G1146" s="19" t="s">
        <v>844</v>
      </c>
      <c r="H1146" s="19">
        <v>59048</v>
      </c>
      <c r="I1146" s="135" t="s">
        <v>3834</v>
      </c>
      <c r="J1146" s="135" t="s">
        <v>845</v>
      </c>
      <c r="K1146" s="19" t="s">
        <v>570</v>
      </c>
      <c r="L1146" s="134" t="s">
        <v>570</v>
      </c>
      <c r="M1146" s="134" t="s">
        <v>570</v>
      </c>
      <c r="N1146" s="134" t="s">
        <v>570</v>
      </c>
      <c r="O1146" s="134" t="s">
        <v>570</v>
      </c>
      <c r="P1146" s="449"/>
      <c r="Q1146" s="26"/>
      <c r="R1146" s="26"/>
      <c r="S1146" s="26"/>
      <c r="T1146" s="500" t="e">
        <f>_xlfn.XLOOKUP(H1146,#REF!,#REF!,0,0)</f>
        <v>#REF!</v>
      </c>
    </row>
    <row r="1147" spans="1:20" x14ac:dyDescent="0.4">
      <c r="A1147" s="134" t="s">
        <v>570</v>
      </c>
      <c r="B1147" s="134" t="s">
        <v>3835</v>
      </c>
      <c r="C1147" s="134"/>
      <c r="D1147" s="134" t="s">
        <v>567</v>
      </c>
      <c r="E1147" s="18" t="s">
        <v>3807</v>
      </c>
      <c r="F1147" s="10">
        <v>41837</v>
      </c>
      <c r="G1147" s="18" t="s">
        <v>3836</v>
      </c>
      <c r="H1147" s="18">
        <v>59049</v>
      </c>
      <c r="I1147" s="134" t="s">
        <v>3837</v>
      </c>
      <c r="J1147" s="134" t="s">
        <v>3838</v>
      </c>
      <c r="K1147" s="19" t="s">
        <v>570</v>
      </c>
      <c r="L1147" s="134" t="s">
        <v>570</v>
      </c>
      <c r="M1147" s="134" t="s">
        <v>570</v>
      </c>
      <c r="N1147" s="134" t="s">
        <v>570</v>
      </c>
      <c r="O1147" s="134" t="s">
        <v>570</v>
      </c>
      <c r="P1147" s="449"/>
      <c r="Q1147" s="26"/>
      <c r="R1147" s="26"/>
      <c r="S1147" s="26"/>
      <c r="T1147" s="500" t="e">
        <f>_xlfn.XLOOKUP(H1147,#REF!,#REF!,0,0)</f>
        <v>#REF!</v>
      </c>
    </row>
    <row r="1148" spans="1:20" x14ac:dyDescent="0.4">
      <c r="A1148" s="134" t="s">
        <v>570</v>
      </c>
      <c r="B1148" s="134" t="s">
        <v>3839</v>
      </c>
      <c r="C1148" s="134"/>
      <c r="D1148" s="134" t="s">
        <v>567</v>
      </c>
      <c r="E1148" s="18" t="s">
        <v>3807</v>
      </c>
      <c r="F1148" s="10">
        <v>41837</v>
      </c>
      <c r="G1148" s="18" t="s">
        <v>850</v>
      </c>
      <c r="H1148" s="18">
        <v>59050</v>
      </c>
      <c r="I1148" s="134" t="s">
        <v>3840</v>
      </c>
      <c r="J1148" s="134" t="s">
        <v>851</v>
      </c>
      <c r="K1148" s="19" t="s">
        <v>570</v>
      </c>
      <c r="L1148" s="134" t="s">
        <v>570</v>
      </c>
      <c r="M1148" s="134" t="s">
        <v>570</v>
      </c>
      <c r="N1148" s="134" t="s">
        <v>570</v>
      </c>
      <c r="O1148" s="134" t="s">
        <v>570</v>
      </c>
      <c r="P1148" s="449"/>
      <c r="Q1148" s="26"/>
      <c r="R1148" s="26"/>
      <c r="S1148" s="26"/>
      <c r="T1148" s="500" t="e">
        <f>_xlfn.XLOOKUP(H1148,#REF!,#REF!,0,0)</f>
        <v>#REF!</v>
      </c>
    </row>
    <row r="1149" spans="1:20" x14ac:dyDescent="0.4">
      <c r="A1149" s="134" t="s">
        <v>570</v>
      </c>
      <c r="B1149" s="134" t="s">
        <v>3835</v>
      </c>
      <c r="C1149" s="134"/>
      <c r="D1149" s="134" t="s">
        <v>567</v>
      </c>
      <c r="E1149" s="18" t="s">
        <v>3807</v>
      </c>
      <c r="F1149" s="10">
        <v>41837</v>
      </c>
      <c r="G1149" s="18" t="s">
        <v>3841</v>
      </c>
      <c r="H1149" s="18">
        <v>59051</v>
      </c>
      <c r="I1149" s="134" t="s">
        <v>3842</v>
      </c>
      <c r="J1149" s="134" t="s">
        <v>3843</v>
      </c>
      <c r="K1149" s="19" t="s">
        <v>570</v>
      </c>
      <c r="L1149" s="134" t="s">
        <v>570</v>
      </c>
      <c r="M1149" s="134" t="s">
        <v>570</v>
      </c>
      <c r="N1149" s="134" t="s">
        <v>570</v>
      </c>
      <c r="O1149" s="134" t="s">
        <v>570</v>
      </c>
      <c r="P1149" s="449"/>
      <c r="Q1149" s="26"/>
      <c r="R1149" s="26"/>
      <c r="S1149" s="26"/>
      <c r="T1149" s="500" t="e">
        <f>_xlfn.XLOOKUP(H1149,#REF!,#REF!,0,0)</f>
        <v>#REF!</v>
      </c>
    </row>
    <row r="1150" spans="1:20" x14ac:dyDescent="0.4">
      <c r="A1150" s="134" t="s">
        <v>570</v>
      </c>
      <c r="B1150" s="135" t="s">
        <v>3844</v>
      </c>
      <c r="C1150" s="135"/>
      <c r="D1150" s="135" t="s">
        <v>567</v>
      </c>
      <c r="E1150" s="19" t="s">
        <v>3807</v>
      </c>
      <c r="F1150" s="20">
        <v>41837</v>
      </c>
      <c r="G1150" s="19" t="s">
        <v>3845</v>
      </c>
      <c r="H1150" s="19">
        <v>59052</v>
      </c>
      <c r="I1150" s="135" t="s">
        <v>3846</v>
      </c>
      <c r="J1150" s="135" t="s">
        <v>3847</v>
      </c>
      <c r="K1150" s="19" t="s">
        <v>570</v>
      </c>
      <c r="L1150" s="134" t="s">
        <v>570</v>
      </c>
      <c r="M1150" s="134" t="s">
        <v>570</v>
      </c>
      <c r="N1150" s="134" t="s">
        <v>570</v>
      </c>
      <c r="O1150" s="134" t="s">
        <v>570</v>
      </c>
      <c r="P1150" s="449"/>
      <c r="Q1150" s="26"/>
      <c r="R1150" s="26"/>
      <c r="S1150" s="26"/>
      <c r="T1150" s="500" t="e">
        <f>_xlfn.XLOOKUP(H1150,#REF!,#REF!,0,0)</f>
        <v>#REF!</v>
      </c>
    </row>
    <row r="1151" spans="1:20" x14ac:dyDescent="0.4">
      <c r="A1151" s="134" t="s">
        <v>570</v>
      </c>
      <c r="B1151" s="134" t="s">
        <v>3848</v>
      </c>
      <c r="C1151" s="134"/>
      <c r="D1151" s="134" t="s">
        <v>567</v>
      </c>
      <c r="E1151" s="18" t="s">
        <v>3807</v>
      </c>
      <c r="F1151" s="10">
        <v>41837</v>
      </c>
      <c r="G1151" s="18" t="s">
        <v>3849</v>
      </c>
      <c r="H1151" s="18">
        <v>59053</v>
      </c>
      <c r="I1151" s="135" t="s">
        <v>3850</v>
      </c>
      <c r="J1151" s="134" t="s">
        <v>3851</v>
      </c>
      <c r="K1151" s="19" t="s">
        <v>570</v>
      </c>
      <c r="L1151" s="134" t="s">
        <v>570</v>
      </c>
      <c r="M1151" s="134" t="s">
        <v>570</v>
      </c>
      <c r="N1151" s="134" t="s">
        <v>570</v>
      </c>
      <c r="O1151" s="134" t="s">
        <v>570</v>
      </c>
      <c r="P1151" s="449"/>
      <c r="Q1151" s="26"/>
      <c r="R1151" s="26"/>
      <c r="S1151" s="26"/>
      <c r="T1151" s="500" t="e">
        <f>_xlfn.XLOOKUP(H1151,#REF!,#REF!,0,0)</f>
        <v>#REF!</v>
      </c>
    </row>
    <row r="1152" spans="1:20" x14ac:dyDescent="0.4">
      <c r="A1152" s="134" t="s">
        <v>570</v>
      </c>
      <c r="B1152" s="135" t="s">
        <v>3852</v>
      </c>
      <c r="C1152" s="135"/>
      <c r="D1152" s="135" t="s">
        <v>567</v>
      </c>
      <c r="E1152" s="19" t="s">
        <v>3807</v>
      </c>
      <c r="F1152" s="20">
        <v>41837</v>
      </c>
      <c r="G1152" s="19" t="s">
        <v>3853</v>
      </c>
      <c r="H1152" s="19">
        <v>59054</v>
      </c>
      <c r="I1152" s="135" t="s">
        <v>3854</v>
      </c>
      <c r="J1152" s="135" t="s">
        <v>3855</v>
      </c>
      <c r="K1152" s="19" t="s">
        <v>570</v>
      </c>
      <c r="L1152" s="134" t="s">
        <v>570</v>
      </c>
      <c r="M1152" s="134" t="s">
        <v>570</v>
      </c>
      <c r="N1152" s="134" t="s">
        <v>570</v>
      </c>
      <c r="O1152" s="134" t="s">
        <v>570</v>
      </c>
      <c r="P1152" s="449"/>
      <c r="Q1152" s="26"/>
      <c r="R1152" s="26"/>
      <c r="S1152" s="26"/>
      <c r="T1152" s="500" t="e">
        <f>_xlfn.XLOOKUP(H1152,#REF!,#REF!,0,0)</f>
        <v>#REF!</v>
      </c>
    </row>
    <row r="1153" spans="1:20" x14ac:dyDescent="0.4">
      <c r="A1153" s="134" t="s">
        <v>570</v>
      </c>
      <c r="B1153" s="134" t="s">
        <v>3835</v>
      </c>
      <c r="C1153" s="134"/>
      <c r="D1153" s="134" t="s">
        <v>567</v>
      </c>
      <c r="E1153" s="18" t="s">
        <v>3807</v>
      </c>
      <c r="F1153" s="10">
        <v>41837</v>
      </c>
      <c r="G1153" s="18" t="s">
        <v>3856</v>
      </c>
      <c r="H1153" s="18">
        <v>59055</v>
      </c>
      <c r="I1153" s="134" t="s">
        <v>3857</v>
      </c>
      <c r="J1153" s="134" t="s">
        <v>3858</v>
      </c>
      <c r="K1153" s="19" t="s">
        <v>570</v>
      </c>
      <c r="L1153" s="134" t="s">
        <v>570</v>
      </c>
      <c r="M1153" s="134" t="s">
        <v>570</v>
      </c>
      <c r="N1153" s="134" t="s">
        <v>570</v>
      </c>
      <c r="O1153" s="134" t="s">
        <v>570</v>
      </c>
      <c r="P1153" s="449"/>
      <c r="Q1153" s="26"/>
      <c r="R1153" s="26"/>
      <c r="S1153" s="26"/>
      <c r="T1153" s="500" t="e">
        <f>_xlfn.XLOOKUP(H1153,#REF!,#REF!,0,0)</f>
        <v>#REF!</v>
      </c>
    </row>
    <row r="1154" spans="1:20" x14ac:dyDescent="0.4">
      <c r="A1154" s="134" t="s">
        <v>570</v>
      </c>
      <c r="B1154" s="134" t="s">
        <v>3859</v>
      </c>
      <c r="C1154" s="134"/>
      <c r="D1154" s="134" t="s">
        <v>567</v>
      </c>
      <c r="E1154" s="18" t="s">
        <v>3807</v>
      </c>
      <c r="F1154" s="10">
        <v>41843</v>
      </c>
      <c r="G1154" s="18" t="s">
        <v>3860</v>
      </c>
      <c r="H1154" s="18">
        <v>59084</v>
      </c>
      <c r="I1154" s="134" t="s">
        <v>3861</v>
      </c>
      <c r="J1154" s="134" t="s">
        <v>3862</v>
      </c>
      <c r="K1154" s="19" t="s">
        <v>570</v>
      </c>
      <c r="L1154" s="134" t="s">
        <v>570</v>
      </c>
      <c r="M1154" s="134" t="s">
        <v>570</v>
      </c>
      <c r="N1154" s="134" t="s">
        <v>570</v>
      </c>
      <c r="O1154" s="134" t="s">
        <v>570</v>
      </c>
      <c r="P1154" s="449"/>
      <c r="Q1154" s="26"/>
      <c r="R1154" s="26"/>
      <c r="S1154" s="26"/>
      <c r="T1154" s="500" t="e">
        <f>_xlfn.XLOOKUP(H1154,#REF!,#REF!,0,0)</f>
        <v>#REF!</v>
      </c>
    </row>
    <row r="1155" spans="1:20" x14ac:dyDescent="0.4">
      <c r="A1155" s="134" t="s">
        <v>570</v>
      </c>
      <c r="B1155" s="134" t="s">
        <v>3859</v>
      </c>
      <c r="C1155" s="134"/>
      <c r="D1155" s="134" t="s">
        <v>567</v>
      </c>
      <c r="E1155" s="18" t="s">
        <v>3807</v>
      </c>
      <c r="F1155" s="10">
        <v>41843</v>
      </c>
      <c r="G1155" s="18" t="s">
        <v>11</v>
      </c>
      <c r="H1155" s="18">
        <v>59085</v>
      </c>
      <c r="I1155" s="134" t="s">
        <v>3863</v>
      </c>
      <c r="J1155" s="134" t="s">
        <v>3864</v>
      </c>
      <c r="K1155" s="19" t="s">
        <v>570</v>
      </c>
      <c r="L1155" s="134" t="s">
        <v>570</v>
      </c>
      <c r="M1155" s="134" t="s">
        <v>570</v>
      </c>
      <c r="N1155" s="134" t="s">
        <v>570</v>
      </c>
      <c r="O1155" s="134" t="s">
        <v>570</v>
      </c>
      <c r="P1155" s="449"/>
      <c r="Q1155" s="26"/>
      <c r="R1155" s="26"/>
      <c r="S1155" s="26"/>
      <c r="T1155" s="500" t="e">
        <f>_xlfn.XLOOKUP(H1155,#REF!,#REF!,0,0)</f>
        <v>#REF!</v>
      </c>
    </row>
    <row r="1156" spans="1:20" x14ac:dyDescent="0.4">
      <c r="A1156" s="134" t="s">
        <v>570</v>
      </c>
      <c r="B1156" s="134" t="s">
        <v>3859</v>
      </c>
      <c r="C1156" s="134"/>
      <c r="D1156" s="134" t="s">
        <v>567</v>
      </c>
      <c r="E1156" s="18" t="s">
        <v>3807</v>
      </c>
      <c r="F1156" s="10">
        <v>41843</v>
      </c>
      <c r="G1156" s="18" t="s">
        <v>3865</v>
      </c>
      <c r="H1156" s="18">
        <v>59086</v>
      </c>
      <c r="I1156" s="134" t="s">
        <v>3866</v>
      </c>
      <c r="J1156" s="134" t="s">
        <v>3867</v>
      </c>
      <c r="K1156" s="19" t="s">
        <v>570</v>
      </c>
      <c r="L1156" s="134" t="s">
        <v>570</v>
      </c>
      <c r="M1156" s="134" t="s">
        <v>570</v>
      </c>
      <c r="N1156" s="134" t="s">
        <v>570</v>
      </c>
      <c r="O1156" s="134" t="s">
        <v>570</v>
      </c>
      <c r="P1156" s="449"/>
      <c r="Q1156" s="26"/>
      <c r="R1156" s="26"/>
      <c r="S1156" s="26"/>
      <c r="T1156" s="500" t="e">
        <f>_xlfn.XLOOKUP(H1156,#REF!,#REF!,0,0)</f>
        <v>#REF!</v>
      </c>
    </row>
    <row r="1157" spans="1:20" x14ac:dyDescent="0.4">
      <c r="A1157" s="134" t="s">
        <v>570</v>
      </c>
      <c r="B1157" s="134" t="s">
        <v>3859</v>
      </c>
      <c r="C1157" s="134"/>
      <c r="D1157" s="134" t="s">
        <v>567</v>
      </c>
      <c r="E1157" s="18" t="s">
        <v>3807</v>
      </c>
      <c r="F1157" s="10">
        <v>41843</v>
      </c>
      <c r="G1157" s="18" t="s">
        <v>3868</v>
      </c>
      <c r="H1157" s="18">
        <v>59087</v>
      </c>
      <c r="I1157" s="134" t="s">
        <v>3869</v>
      </c>
      <c r="J1157" s="134" t="s">
        <v>3870</v>
      </c>
      <c r="K1157" s="19" t="s">
        <v>570</v>
      </c>
      <c r="L1157" s="134" t="s">
        <v>570</v>
      </c>
      <c r="M1157" s="134" t="s">
        <v>570</v>
      </c>
      <c r="N1157" s="134" t="s">
        <v>570</v>
      </c>
      <c r="O1157" s="134" t="s">
        <v>570</v>
      </c>
      <c r="P1157" s="449"/>
      <c r="Q1157" s="26"/>
      <c r="R1157" s="26"/>
      <c r="S1157" s="26"/>
      <c r="T1157" s="500" t="e">
        <f>_xlfn.XLOOKUP(H1157,#REF!,#REF!,0,0)</f>
        <v>#REF!</v>
      </c>
    </row>
    <row r="1158" spans="1:20" x14ac:dyDescent="0.4">
      <c r="A1158" s="134" t="s">
        <v>570</v>
      </c>
      <c r="B1158" s="134" t="s">
        <v>3871</v>
      </c>
      <c r="C1158" s="134"/>
      <c r="D1158" s="134" t="s">
        <v>567</v>
      </c>
      <c r="E1158" s="18" t="s">
        <v>3807</v>
      </c>
      <c r="F1158" s="10">
        <v>41912</v>
      </c>
      <c r="G1158" s="18" t="s">
        <v>3872</v>
      </c>
      <c r="H1158" s="18">
        <v>59298</v>
      </c>
      <c r="I1158" s="134" t="s">
        <v>3873</v>
      </c>
      <c r="J1158" s="134" t="s">
        <v>3874</v>
      </c>
      <c r="K1158" s="19" t="s">
        <v>570</v>
      </c>
      <c r="L1158" s="134" t="s">
        <v>570</v>
      </c>
      <c r="M1158" s="134" t="s">
        <v>570</v>
      </c>
      <c r="N1158" s="134" t="s">
        <v>570</v>
      </c>
      <c r="O1158" s="134" t="s">
        <v>570</v>
      </c>
      <c r="P1158" s="449"/>
      <c r="Q1158" s="26"/>
      <c r="R1158" s="26"/>
      <c r="S1158" s="26"/>
      <c r="T1158" s="500" t="e">
        <f>_xlfn.XLOOKUP(H1158,#REF!,#REF!,0,0)</f>
        <v>#REF!</v>
      </c>
    </row>
    <row r="1159" spans="1:20" x14ac:dyDescent="0.4">
      <c r="A1159" s="134" t="s">
        <v>570</v>
      </c>
      <c r="B1159" s="134" t="s">
        <v>3875</v>
      </c>
      <c r="C1159" s="134"/>
      <c r="D1159" s="134" t="s">
        <v>567</v>
      </c>
      <c r="E1159" s="18" t="s">
        <v>3807</v>
      </c>
      <c r="F1159" s="10">
        <v>41912</v>
      </c>
      <c r="G1159" s="18" t="s">
        <v>3876</v>
      </c>
      <c r="H1159" s="18">
        <v>59299</v>
      </c>
      <c r="I1159" s="134" t="s">
        <v>3877</v>
      </c>
      <c r="J1159" s="134" t="s">
        <v>3878</v>
      </c>
      <c r="K1159" s="19" t="s">
        <v>570</v>
      </c>
      <c r="L1159" s="134" t="s">
        <v>570</v>
      </c>
      <c r="M1159" s="134" t="s">
        <v>570</v>
      </c>
      <c r="N1159" s="134" t="s">
        <v>570</v>
      </c>
      <c r="O1159" s="134" t="s">
        <v>570</v>
      </c>
      <c r="P1159" s="449"/>
      <c r="Q1159" s="26"/>
      <c r="R1159" s="26"/>
      <c r="S1159" s="26"/>
      <c r="T1159" s="500" t="e">
        <f>_xlfn.XLOOKUP(H1159,#REF!,#REF!,0,0)</f>
        <v>#REF!</v>
      </c>
    </row>
    <row r="1160" spans="1:20" x14ac:dyDescent="0.4">
      <c r="A1160" s="134" t="s">
        <v>570</v>
      </c>
      <c r="B1160" s="134" t="s">
        <v>2200</v>
      </c>
      <c r="C1160" s="134"/>
      <c r="D1160" s="134" t="s">
        <v>567</v>
      </c>
      <c r="E1160" s="18" t="s">
        <v>3807</v>
      </c>
      <c r="F1160" s="10">
        <v>41912</v>
      </c>
      <c r="G1160" s="18" t="s">
        <v>3879</v>
      </c>
      <c r="H1160" s="18">
        <v>59300</v>
      </c>
      <c r="I1160" s="134" t="s">
        <v>3880</v>
      </c>
      <c r="J1160" s="134" t="s">
        <v>3881</v>
      </c>
      <c r="K1160" s="19" t="s">
        <v>570</v>
      </c>
      <c r="L1160" s="134" t="s">
        <v>570</v>
      </c>
      <c r="M1160" s="134" t="s">
        <v>570</v>
      </c>
      <c r="N1160" s="134" t="s">
        <v>570</v>
      </c>
      <c r="O1160" s="134" t="s">
        <v>570</v>
      </c>
      <c r="P1160" s="449"/>
      <c r="Q1160" s="26"/>
      <c r="R1160" s="26"/>
      <c r="S1160" s="26"/>
      <c r="T1160" s="500" t="e">
        <f>_xlfn.XLOOKUP(H1160,#REF!,#REF!,0,0)</f>
        <v>#REF!</v>
      </c>
    </row>
    <row r="1161" spans="1:20" x14ac:dyDescent="0.4">
      <c r="A1161" s="134" t="s">
        <v>570</v>
      </c>
      <c r="B1161" s="134" t="s">
        <v>3835</v>
      </c>
      <c r="C1161" s="134"/>
      <c r="D1161" s="134" t="s">
        <v>567</v>
      </c>
      <c r="E1161" s="18" t="s">
        <v>3807</v>
      </c>
      <c r="F1161" s="10">
        <v>41912</v>
      </c>
      <c r="G1161" s="18" t="s">
        <v>3882</v>
      </c>
      <c r="H1161" s="18">
        <v>59301</v>
      </c>
      <c r="I1161" s="134" t="s">
        <v>3883</v>
      </c>
      <c r="J1161" s="134" t="s">
        <v>3884</v>
      </c>
      <c r="K1161" s="19" t="s">
        <v>570</v>
      </c>
      <c r="L1161" s="134" t="s">
        <v>570</v>
      </c>
      <c r="M1161" s="134" t="s">
        <v>570</v>
      </c>
      <c r="N1161" s="134" t="s">
        <v>570</v>
      </c>
      <c r="O1161" s="134" t="s">
        <v>570</v>
      </c>
      <c r="P1161" s="449"/>
      <c r="Q1161" s="26"/>
      <c r="R1161" s="26"/>
      <c r="S1161" s="26"/>
      <c r="T1161" s="500" t="e">
        <f>_xlfn.XLOOKUP(H1161,#REF!,#REF!,0,0)</f>
        <v>#REF!</v>
      </c>
    </row>
    <row r="1162" spans="1:20" x14ac:dyDescent="0.4">
      <c r="A1162" s="134" t="s">
        <v>570</v>
      </c>
      <c r="B1162" s="134" t="s">
        <v>3885</v>
      </c>
      <c r="C1162" s="134"/>
      <c r="D1162" s="134" t="s">
        <v>567</v>
      </c>
      <c r="E1162" s="18" t="s">
        <v>3807</v>
      </c>
      <c r="F1162" s="10">
        <v>41912</v>
      </c>
      <c r="G1162" s="18" t="s">
        <v>3886</v>
      </c>
      <c r="H1162" s="18">
        <v>59302</v>
      </c>
      <c r="I1162" s="134" t="s">
        <v>3887</v>
      </c>
      <c r="J1162" s="134" t="s">
        <v>3888</v>
      </c>
      <c r="K1162" s="19" t="s">
        <v>570</v>
      </c>
      <c r="L1162" s="134" t="s">
        <v>570</v>
      </c>
      <c r="M1162" s="134" t="s">
        <v>570</v>
      </c>
      <c r="N1162" s="134" t="s">
        <v>570</v>
      </c>
      <c r="O1162" s="134" t="s">
        <v>570</v>
      </c>
      <c r="P1162" s="449"/>
      <c r="Q1162" s="26"/>
      <c r="R1162" s="26"/>
      <c r="S1162" s="26"/>
      <c r="T1162" s="500" t="e">
        <f>_xlfn.XLOOKUP(H1162,#REF!,#REF!,0,0)</f>
        <v>#REF!</v>
      </c>
    </row>
    <row r="1163" spans="1:20" x14ac:dyDescent="0.4">
      <c r="A1163" s="134" t="s">
        <v>570</v>
      </c>
      <c r="B1163" s="134" t="s">
        <v>3889</v>
      </c>
      <c r="C1163" s="134"/>
      <c r="D1163" s="134" t="s">
        <v>567</v>
      </c>
      <c r="E1163" s="18" t="s">
        <v>3807</v>
      </c>
      <c r="F1163" s="10">
        <v>41912</v>
      </c>
      <c r="G1163" s="18" t="s">
        <v>3890</v>
      </c>
      <c r="H1163" s="18">
        <v>59305</v>
      </c>
      <c r="I1163" s="134" t="s">
        <v>3891</v>
      </c>
      <c r="J1163" s="134" t="s">
        <v>3892</v>
      </c>
      <c r="K1163" s="19" t="s">
        <v>570</v>
      </c>
      <c r="L1163" s="134" t="s">
        <v>570</v>
      </c>
      <c r="M1163" s="134" t="s">
        <v>570</v>
      </c>
      <c r="N1163" s="134" t="s">
        <v>570</v>
      </c>
      <c r="O1163" s="134" t="s">
        <v>570</v>
      </c>
      <c r="P1163" s="449"/>
      <c r="Q1163" s="26"/>
      <c r="R1163" s="26"/>
      <c r="S1163" s="26"/>
      <c r="T1163" s="500" t="e">
        <f>_xlfn.XLOOKUP(H1163,#REF!,#REF!,0,0)</f>
        <v>#REF!</v>
      </c>
    </row>
    <row r="1164" spans="1:20" x14ac:dyDescent="0.4">
      <c r="A1164" s="134" t="s">
        <v>570</v>
      </c>
      <c r="B1164" s="134" t="s">
        <v>3893</v>
      </c>
      <c r="C1164" s="134"/>
      <c r="D1164" s="134" t="s">
        <v>567</v>
      </c>
      <c r="E1164" s="18" t="s">
        <v>3807</v>
      </c>
      <c r="F1164" s="10">
        <v>41912</v>
      </c>
      <c r="G1164" s="18" t="s">
        <v>3894</v>
      </c>
      <c r="H1164" s="18">
        <v>59306</v>
      </c>
      <c r="I1164" s="134" t="s">
        <v>3895</v>
      </c>
      <c r="J1164" s="134" t="s">
        <v>3896</v>
      </c>
      <c r="K1164" s="19" t="s">
        <v>570</v>
      </c>
      <c r="L1164" s="134" t="s">
        <v>570</v>
      </c>
      <c r="M1164" s="134" t="s">
        <v>570</v>
      </c>
      <c r="N1164" s="134" t="s">
        <v>570</v>
      </c>
      <c r="O1164" s="134" t="s">
        <v>570</v>
      </c>
      <c r="P1164" s="449"/>
      <c r="Q1164" s="26"/>
      <c r="R1164" s="26"/>
      <c r="S1164" s="26"/>
      <c r="T1164" s="500" t="e">
        <f>_xlfn.XLOOKUP(H1164,#REF!,#REF!,0,0)</f>
        <v>#REF!</v>
      </c>
    </row>
    <row r="1165" spans="1:20" x14ac:dyDescent="0.4">
      <c r="A1165" s="134" t="s">
        <v>570</v>
      </c>
      <c r="B1165" s="134" t="s">
        <v>3897</v>
      </c>
      <c r="C1165" s="134"/>
      <c r="D1165" s="134" t="s">
        <v>567</v>
      </c>
      <c r="E1165" s="18" t="s">
        <v>3807</v>
      </c>
      <c r="F1165" s="10">
        <v>41912</v>
      </c>
      <c r="G1165" s="18" t="s">
        <v>3898</v>
      </c>
      <c r="H1165" s="18">
        <v>59307</v>
      </c>
      <c r="I1165" s="134" t="s">
        <v>3899</v>
      </c>
      <c r="J1165" s="134" t="s">
        <v>3900</v>
      </c>
      <c r="K1165" s="19" t="s">
        <v>570</v>
      </c>
      <c r="L1165" s="134" t="s">
        <v>570</v>
      </c>
      <c r="M1165" s="134" t="s">
        <v>570</v>
      </c>
      <c r="N1165" s="134" t="s">
        <v>570</v>
      </c>
      <c r="O1165" s="134" t="s">
        <v>570</v>
      </c>
      <c r="P1165" s="449"/>
      <c r="Q1165" s="26"/>
      <c r="R1165" s="26"/>
      <c r="S1165" s="26"/>
      <c r="T1165" s="500" t="e">
        <f>_xlfn.XLOOKUP(H1165,#REF!,#REF!,0,0)</f>
        <v>#REF!</v>
      </c>
    </row>
    <row r="1166" spans="1:20" x14ac:dyDescent="0.4">
      <c r="A1166" s="134" t="s">
        <v>570</v>
      </c>
      <c r="B1166" s="134" t="s">
        <v>3901</v>
      </c>
      <c r="C1166" s="134"/>
      <c r="D1166" s="134" t="s">
        <v>567</v>
      </c>
      <c r="E1166" s="18" t="s">
        <v>3807</v>
      </c>
      <c r="F1166" s="10">
        <v>41912</v>
      </c>
      <c r="G1166" s="18" t="s">
        <v>3902</v>
      </c>
      <c r="H1166" s="18">
        <v>59304</v>
      </c>
      <c r="I1166" s="134" t="s">
        <v>3903</v>
      </c>
      <c r="J1166" s="134" t="s">
        <v>3904</v>
      </c>
      <c r="K1166" s="19" t="s">
        <v>570</v>
      </c>
      <c r="L1166" s="134" t="s">
        <v>570</v>
      </c>
      <c r="M1166" s="134" t="s">
        <v>570</v>
      </c>
      <c r="N1166" s="134" t="s">
        <v>570</v>
      </c>
      <c r="O1166" s="134" t="s">
        <v>570</v>
      </c>
      <c r="P1166" s="449"/>
      <c r="Q1166" s="26"/>
      <c r="R1166" s="26"/>
      <c r="S1166" s="26"/>
      <c r="T1166" s="500" t="e">
        <f>_xlfn.XLOOKUP(H1166,#REF!,#REF!,0,0)</f>
        <v>#REF!</v>
      </c>
    </row>
    <row r="1167" spans="1:20" x14ac:dyDescent="0.4">
      <c r="A1167" s="134" t="s">
        <v>570</v>
      </c>
      <c r="B1167" s="135" t="s">
        <v>3905</v>
      </c>
      <c r="C1167" s="135"/>
      <c r="D1167" s="135" t="s">
        <v>567</v>
      </c>
      <c r="E1167" s="19" t="s">
        <v>3807</v>
      </c>
      <c r="F1167" s="20">
        <v>41912</v>
      </c>
      <c r="G1167" s="19" t="s">
        <v>3906</v>
      </c>
      <c r="H1167" s="19">
        <v>59303</v>
      </c>
      <c r="I1167" s="135" t="s">
        <v>3907</v>
      </c>
      <c r="J1167" s="135" t="s">
        <v>3908</v>
      </c>
      <c r="K1167" s="19" t="s">
        <v>570</v>
      </c>
      <c r="L1167" s="134" t="s">
        <v>570</v>
      </c>
      <c r="M1167" s="134" t="s">
        <v>570</v>
      </c>
      <c r="N1167" s="134" t="s">
        <v>570</v>
      </c>
      <c r="O1167" s="134" t="s">
        <v>570</v>
      </c>
      <c r="P1167" s="449"/>
      <c r="Q1167" s="26"/>
      <c r="R1167" s="26"/>
      <c r="S1167" s="26"/>
      <c r="T1167" s="500" t="e">
        <f>_xlfn.XLOOKUP(H1167,#REF!,#REF!,0,0)</f>
        <v>#REF!</v>
      </c>
    </row>
    <row r="1168" spans="1:20" x14ac:dyDescent="0.4">
      <c r="A1168" s="134" t="s">
        <v>570</v>
      </c>
      <c r="B1168" s="135" t="s">
        <v>3909</v>
      </c>
      <c r="C1168" s="135"/>
      <c r="D1168" s="135" t="s">
        <v>567</v>
      </c>
      <c r="E1168" s="19" t="s">
        <v>3807</v>
      </c>
      <c r="F1168" s="20"/>
      <c r="G1168" s="19" t="s">
        <v>839</v>
      </c>
      <c r="H1168" s="19">
        <v>59046</v>
      </c>
      <c r="I1168" s="135" t="s">
        <v>3831</v>
      </c>
      <c r="J1168" s="135"/>
      <c r="K1168" s="19" t="s">
        <v>570</v>
      </c>
      <c r="L1168" s="134" t="s">
        <v>570</v>
      </c>
      <c r="M1168" s="134" t="s">
        <v>570</v>
      </c>
      <c r="N1168" s="134" t="s">
        <v>570</v>
      </c>
      <c r="O1168" s="134" t="s">
        <v>570</v>
      </c>
      <c r="P1168" s="449"/>
      <c r="Q1168" s="26"/>
      <c r="R1168" s="26"/>
      <c r="S1168" s="26"/>
      <c r="T1168" s="500" t="e">
        <f>_xlfn.XLOOKUP(H1168,#REF!,#REF!,0,0)</f>
        <v>#REF!</v>
      </c>
    </row>
    <row r="1169" spans="1:20" x14ac:dyDescent="0.4">
      <c r="A1169" s="134" t="s">
        <v>570</v>
      </c>
      <c r="B1169" s="135" t="s">
        <v>3910</v>
      </c>
      <c r="C1169" s="135"/>
      <c r="D1169" s="135" t="s">
        <v>567</v>
      </c>
      <c r="E1169" s="19" t="s">
        <v>3807</v>
      </c>
      <c r="F1169" s="20"/>
      <c r="G1169" s="19" t="s">
        <v>3816</v>
      </c>
      <c r="H1169" s="19">
        <v>58842</v>
      </c>
      <c r="I1169" s="135" t="s">
        <v>3817</v>
      </c>
      <c r="J1169" s="135"/>
      <c r="K1169" s="19" t="s">
        <v>570</v>
      </c>
      <c r="L1169" s="134" t="s">
        <v>570</v>
      </c>
      <c r="M1169" s="134" t="s">
        <v>570</v>
      </c>
      <c r="N1169" s="134" t="s">
        <v>570</v>
      </c>
      <c r="O1169" s="134" t="s">
        <v>570</v>
      </c>
      <c r="P1169" s="449"/>
      <c r="Q1169" s="26"/>
      <c r="R1169" s="26"/>
      <c r="S1169" s="26"/>
      <c r="T1169" s="500" t="e">
        <f>_xlfn.XLOOKUP(H1169,#REF!,#REF!,0,0)</f>
        <v>#REF!</v>
      </c>
    </row>
    <row r="1170" spans="1:20" x14ac:dyDescent="0.4">
      <c r="A1170" s="134" t="s">
        <v>570</v>
      </c>
      <c r="B1170" s="135" t="s">
        <v>3911</v>
      </c>
      <c r="C1170" s="135"/>
      <c r="D1170" s="135" t="s">
        <v>567</v>
      </c>
      <c r="E1170" s="19" t="s">
        <v>3912</v>
      </c>
      <c r="F1170" s="20">
        <v>42194</v>
      </c>
      <c r="G1170" s="19" t="s">
        <v>3913</v>
      </c>
      <c r="H1170" s="19">
        <v>60174</v>
      </c>
      <c r="I1170" s="135" t="s">
        <v>3914</v>
      </c>
      <c r="J1170" s="135" t="s">
        <v>3915</v>
      </c>
      <c r="K1170" s="19" t="s">
        <v>570</v>
      </c>
      <c r="L1170" s="134" t="s">
        <v>570</v>
      </c>
      <c r="M1170" s="134" t="s">
        <v>570</v>
      </c>
      <c r="N1170" s="134" t="s">
        <v>570</v>
      </c>
      <c r="O1170" s="134" t="s">
        <v>570</v>
      </c>
      <c r="P1170" s="449"/>
      <c r="Q1170" s="26"/>
      <c r="R1170" s="26"/>
      <c r="S1170" s="26"/>
      <c r="T1170" s="500" t="e">
        <f>_xlfn.XLOOKUP(H1170,#REF!,#REF!,0,0)</f>
        <v>#REF!</v>
      </c>
    </row>
    <row r="1171" spans="1:20" x14ac:dyDescent="0.4">
      <c r="A1171" s="134" t="s">
        <v>570</v>
      </c>
      <c r="B1171" s="135" t="s">
        <v>3916</v>
      </c>
      <c r="C1171" s="135"/>
      <c r="D1171" s="135" t="s">
        <v>567</v>
      </c>
      <c r="E1171" s="19" t="s">
        <v>3807</v>
      </c>
      <c r="F1171" s="20" t="s">
        <v>3718</v>
      </c>
      <c r="G1171" s="19" t="s">
        <v>3808</v>
      </c>
      <c r="H1171" s="19">
        <v>58840</v>
      </c>
      <c r="I1171" s="135" t="s">
        <v>3718</v>
      </c>
      <c r="J1171" s="135" t="s">
        <v>3718</v>
      </c>
      <c r="K1171" s="19" t="s">
        <v>570</v>
      </c>
      <c r="L1171" s="134" t="s">
        <v>570</v>
      </c>
      <c r="M1171" s="134" t="s">
        <v>570</v>
      </c>
      <c r="N1171" s="134" t="s">
        <v>570</v>
      </c>
      <c r="O1171" s="134" t="s">
        <v>570</v>
      </c>
      <c r="P1171" s="449"/>
      <c r="Q1171" s="26"/>
      <c r="R1171" s="26"/>
      <c r="S1171" s="26"/>
      <c r="T1171" s="500" t="e">
        <f>_xlfn.XLOOKUP(H1171,#REF!,#REF!,0,0)</f>
        <v>#REF!</v>
      </c>
    </row>
    <row r="1172" spans="1:20" x14ac:dyDescent="0.4">
      <c r="A1172" s="134" t="s">
        <v>570</v>
      </c>
      <c r="B1172" s="135" t="s">
        <v>3916</v>
      </c>
      <c r="C1172" s="135"/>
      <c r="D1172" s="135" t="s">
        <v>567</v>
      </c>
      <c r="E1172" s="19" t="s">
        <v>3807</v>
      </c>
      <c r="F1172" s="20" t="s">
        <v>3718</v>
      </c>
      <c r="G1172" s="19" t="s">
        <v>3828</v>
      </c>
      <c r="H1172" s="19">
        <v>58846</v>
      </c>
      <c r="I1172" s="135" t="s">
        <v>3718</v>
      </c>
      <c r="J1172" s="135" t="s">
        <v>3718</v>
      </c>
      <c r="K1172" s="19" t="s">
        <v>570</v>
      </c>
      <c r="L1172" s="134" t="s">
        <v>570</v>
      </c>
      <c r="M1172" s="134" t="s">
        <v>570</v>
      </c>
      <c r="N1172" s="134" t="s">
        <v>570</v>
      </c>
      <c r="O1172" s="134" t="s">
        <v>570</v>
      </c>
      <c r="P1172" s="449"/>
      <c r="Q1172" s="26"/>
      <c r="R1172" s="26"/>
      <c r="S1172" s="26"/>
      <c r="T1172" s="500" t="e">
        <f>_xlfn.XLOOKUP(H1172,#REF!,#REF!,0,0)</f>
        <v>#REF!</v>
      </c>
    </row>
    <row r="1173" spans="1:20" x14ac:dyDescent="0.4">
      <c r="A1173" s="134" t="s">
        <v>570</v>
      </c>
      <c r="B1173" s="135" t="s">
        <v>3917</v>
      </c>
      <c r="C1173" s="135"/>
      <c r="D1173" s="135" t="s">
        <v>567</v>
      </c>
      <c r="E1173" s="19" t="s">
        <v>3807</v>
      </c>
      <c r="F1173" s="20">
        <v>42194</v>
      </c>
      <c r="G1173" s="19" t="s">
        <v>3918</v>
      </c>
      <c r="H1173" s="19">
        <v>60175</v>
      </c>
      <c r="I1173" s="135" t="s">
        <v>3919</v>
      </c>
      <c r="J1173" s="135" t="s">
        <v>3920</v>
      </c>
      <c r="K1173" s="19" t="s">
        <v>570</v>
      </c>
      <c r="L1173" s="134" t="s">
        <v>570</v>
      </c>
      <c r="M1173" s="134" t="s">
        <v>570</v>
      </c>
      <c r="N1173" s="134" t="s">
        <v>570</v>
      </c>
      <c r="O1173" s="134" t="s">
        <v>570</v>
      </c>
      <c r="P1173" s="449"/>
      <c r="Q1173" s="26"/>
      <c r="R1173" s="26"/>
      <c r="S1173" s="26"/>
      <c r="T1173" s="500" t="e">
        <f>_xlfn.XLOOKUP(H1173,#REF!,#REF!,0,0)</f>
        <v>#REF!</v>
      </c>
    </row>
    <row r="1174" spans="1:20" x14ac:dyDescent="0.4">
      <c r="A1174" s="134" t="s">
        <v>570</v>
      </c>
      <c r="B1174" s="135" t="s">
        <v>3921</v>
      </c>
      <c r="C1174" s="135"/>
      <c r="D1174" s="135" t="s">
        <v>567</v>
      </c>
      <c r="E1174" s="19" t="s">
        <v>3807</v>
      </c>
      <c r="F1174" s="20">
        <v>42194</v>
      </c>
      <c r="G1174" s="19" t="s">
        <v>3922</v>
      </c>
      <c r="H1174" s="19">
        <v>60177</v>
      </c>
      <c r="I1174" s="135" t="s">
        <v>3923</v>
      </c>
      <c r="J1174" s="135" t="s">
        <v>3924</v>
      </c>
      <c r="K1174" s="19" t="s">
        <v>570</v>
      </c>
      <c r="L1174" s="134" t="s">
        <v>570</v>
      </c>
      <c r="M1174" s="134" t="s">
        <v>570</v>
      </c>
      <c r="N1174" s="134" t="s">
        <v>570</v>
      </c>
      <c r="O1174" s="134" t="s">
        <v>570</v>
      </c>
      <c r="P1174" s="449"/>
      <c r="Q1174" s="26"/>
      <c r="R1174" s="26"/>
      <c r="S1174" s="26"/>
      <c r="T1174" s="500" t="e">
        <f>_xlfn.XLOOKUP(H1174,#REF!,#REF!,0,0)</f>
        <v>#REF!</v>
      </c>
    </row>
    <row r="1175" spans="1:20" x14ac:dyDescent="0.4">
      <c r="A1175" s="134" t="s">
        <v>570</v>
      </c>
      <c r="B1175" s="135" t="s">
        <v>3925</v>
      </c>
      <c r="C1175" s="135"/>
      <c r="D1175" s="135" t="s">
        <v>567</v>
      </c>
      <c r="E1175" s="19" t="s">
        <v>3807</v>
      </c>
      <c r="F1175" s="20">
        <v>42194</v>
      </c>
      <c r="G1175" s="19" t="s">
        <v>3926</v>
      </c>
      <c r="H1175" s="19">
        <v>60193</v>
      </c>
      <c r="I1175" s="135" t="s">
        <v>3927</v>
      </c>
      <c r="J1175" s="135" t="s">
        <v>3928</v>
      </c>
      <c r="K1175" s="19" t="s">
        <v>570</v>
      </c>
      <c r="L1175" s="134" t="s">
        <v>570</v>
      </c>
      <c r="M1175" s="134" t="s">
        <v>570</v>
      </c>
      <c r="N1175" s="134" t="s">
        <v>570</v>
      </c>
      <c r="O1175" s="134" t="s">
        <v>570</v>
      </c>
      <c r="P1175" s="449"/>
      <c r="Q1175" s="26"/>
      <c r="R1175" s="26"/>
      <c r="S1175" s="26"/>
      <c r="T1175" s="500" t="e">
        <f>_xlfn.XLOOKUP(H1175,#REF!,#REF!,0,0)</f>
        <v>#REF!</v>
      </c>
    </row>
    <row r="1176" spans="1:20" x14ac:dyDescent="0.4">
      <c r="A1176" s="134" t="s">
        <v>570</v>
      </c>
      <c r="B1176" s="135" t="s">
        <v>3929</v>
      </c>
      <c r="C1176" s="135"/>
      <c r="D1176" s="135" t="s">
        <v>567</v>
      </c>
      <c r="E1176" s="19" t="s">
        <v>3807</v>
      </c>
      <c r="F1176" s="20">
        <v>42194</v>
      </c>
      <c r="G1176" s="19" t="s">
        <v>3930</v>
      </c>
      <c r="H1176" s="19">
        <v>60176</v>
      </c>
      <c r="I1176" s="135" t="s">
        <v>3931</v>
      </c>
      <c r="J1176" s="135" t="s">
        <v>3932</v>
      </c>
      <c r="K1176" s="19" t="s">
        <v>570</v>
      </c>
      <c r="L1176" s="134" t="s">
        <v>570</v>
      </c>
      <c r="M1176" s="134" t="s">
        <v>570</v>
      </c>
      <c r="N1176" s="134" t="s">
        <v>570</v>
      </c>
      <c r="O1176" s="134" t="s">
        <v>570</v>
      </c>
      <c r="P1176" s="449"/>
      <c r="Q1176" s="26"/>
      <c r="R1176" s="26"/>
      <c r="S1176" s="26"/>
      <c r="T1176" s="500" t="e">
        <f>_xlfn.XLOOKUP(H1176,#REF!,#REF!,0,0)</f>
        <v>#REF!</v>
      </c>
    </row>
    <row r="1177" spans="1:20" x14ac:dyDescent="0.4">
      <c r="A1177" s="134" t="s">
        <v>570</v>
      </c>
      <c r="B1177" s="135" t="s">
        <v>3933</v>
      </c>
      <c r="C1177" s="135"/>
      <c r="D1177" s="135" t="s">
        <v>567</v>
      </c>
      <c r="E1177" s="19" t="s">
        <v>3807</v>
      </c>
      <c r="F1177" s="20">
        <v>42194</v>
      </c>
      <c r="G1177" s="19" t="s">
        <v>3934</v>
      </c>
      <c r="H1177" s="19">
        <v>60192</v>
      </c>
      <c r="I1177" s="135" t="s">
        <v>3935</v>
      </c>
      <c r="J1177" s="135" t="s">
        <v>3936</v>
      </c>
      <c r="K1177" s="19" t="s">
        <v>570</v>
      </c>
      <c r="L1177" s="134" t="s">
        <v>570</v>
      </c>
      <c r="M1177" s="134" t="s">
        <v>570</v>
      </c>
      <c r="N1177" s="134" t="s">
        <v>570</v>
      </c>
      <c r="O1177" s="134" t="s">
        <v>570</v>
      </c>
      <c r="P1177" s="449"/>
      <c r="Q1177" s="26"/>
      <c r="R1177" s="26"/>
      <c r="S1177" s="26"/>
      <c r="T1177" s="500" t="e">
        <f>_xlfn.XLOOKUP(H1177,#REF!,#REF!,0,0)</f>
        <v>#REF!</v>
      </c>
    </row>
    <row r="1178" spans="1:20" x14ac:dyDescent="0.4">
      <c r="A1178" s="134" t="s">
        <v>570</v>
      </c>
      <c r="B1178" s="135" t="s">
        <v>3937</v>
      </c>
      <c r="C1178" s="135"/>
      <c r="D1178" s="135" t="s">
        <v>567</v>
      </c>
      <c r="E1178" s="19" t="s">
        <v>3807</v>
      </c>
      <c r="F1178" s="20">
        <v>42194</v>
      </c>
      <c r="G1178" s="19" t="s">
        <v>846</v>
      </c>
      <c r="H1178" s="19">
        <v>60190</v>
      </c>
      <c r="I1178" s="135" t="s">
        <v>3938</v>
      </c>
      <c r="J1178" s="135" t="s">
        <v>847</v>
      </c>
      <c r="K1178" s="19" t="s">
        <v>570</v>
      </c>
      <c r="L1178" s="134" t="s">
        <v>570</v>
      </c>
      <c r="M1178" s="134" t="s">
        <v>570</v>
      </c>
      <c r="N1178" s="134" t="s">
        <v>570</v>
      </c>
      <c r="O1178" s="134" t="s">
        <v>570</v>
      </c>
      <c r="P1178" s="449"/>
      <c r="Q1178" s="26"/>
      <c r="R1178" s="26"/>
      <c r="S1178" s="26"/>
      <c r="T1178" s="500" t="e">
        <f>_xlfn.XLOOKUP(H1178,#REF!,#REF!,0,0)</f>
        <v>#REF!</v>
      </c>
    </row>
    <row r="1179" spans="1:20" x14ac:dyDescent="0.4">
      <c r="A1179" s="134" t="s">
        <v>570</v>
      </c>
      <c r="B1179" s="135" t="s">
        <v>3939</v>
      </c>
      <c r="C1179" s="135"/>
      <c r="D1179" s="135" t="s">
        <v>567</v>
      </c>
      <c r="E1179" s="19" t="s">
        <v>3807</v>
      </c>
      <c r="F1179" s="20">
        <v>42194</v>
      </c>
      <c r="G1179" s="19" t="s">
        <v>3940</v>
      </c>
      <c r="H1179" s="19">
        <v>60194</v>
      </c>
      <c r="I1179" s="135" t="s">
        <v>3941</v>
      </c>
      <c r="J1179" s="135" t="s">
        <v>3942</v>
      </c>
      <c r="K1179" s="19" t="s">
        <v>570</v>
      </c>
      <c r="L1179" s="134" t="s">
        <v>570</v>
      </c>
      <c r="M1179" s="134" t="s">
        <v>570</v>
      </c>
      <c r="N1179" s="134" t="s">
        <v>570</v>
      </c>
      <c r="O1179" s="134" t="s">
        <v>570</v>
      </c>
      <c r="P1179" s="449"/>
      <c r="Q1179" s="26"/>
      <c r="R1179" s="26"/>
      <c r="S1179" s="26"/>
      <c r="T1179" s="500" t="e">
        <f>_xlfn.XLOOKUP(H1179,#REF!,#REF!,0,0)</f>
        <v>#REF!</v>
      </c>
    </row>
    <row r="1180" spans="1:20" x14ac:dyDescent="0.4">
      <c r="A1180" s="134" t="s">
        <v>570</v>
      </c>
      <c r="B1180" s="135" t="s">
        <v>3943</v>
      </c>
      <c r="C1180" s="135"/>
      <c r="D1180" s="135" t="s">
        <v>567</v>
      </c>
      <c r="E1180" s="19" t="s">
        <v>3807</v>
      </c>
      <c r="F1180" s="20">
        <v>42194</v>
      </c>
      <c r="G1180" s="19" t="s">
        <v>3944</v>
      </c>
      <c r="H1180" s="19">
        <v>60191</v>
      </c>
      <c r="I1180" s="135" t="s">
        <v>3945</v>
      </c>
      <c r="J1180" s="135" t="s">
        <v>3946</v>
      </c>
      <c r="K1180" s="19" t="s">
        <v>570</v>
      </c>
      <c r="L1180" s="134" t="s">
        <v>570</v>
      </c>
      <c r="M1180" s="134" t="s">
        <v>570</v>
      </c>
      <c r="N1180" s="134" t="s">
        <v>570</v>
      </c>
      <c r="O1180" s="134" t="s">
        <v>570</v>
      </c>
      <c r="P1180" s="449"/>
      <c r="Q1180" s="26"/>
      <c r="R1180" s="26"/>
      <c r="S1180" s="26"/>
      <c r="T1180" s="500" t="e">
        <f>_xlfn.XLOOKUP(H1180,#REF!,#REF!,0,0)</f>
        <v>#REF!</v>
      </c>
    </row>
    <row r="1181" spans="1:20" x14ac:dyDescent="0.4">
      <c r="A1181" s="134" t="s">
        <v>570</v>
      </c>
      <c r="B1181" s="135" t="s">
        <v>3947</v>
      </c>
      <c r="C1181" s="135"/>
      <c r="D1181" s="135" t="s">
        <v>567</v>
      </c>
      <c r="E1181" s="19" t="s">
        <v>3807</v>
      </c>
      <c r="F1181" s="20">
        <v>42194</v>
      </c>
      <c r="G1181" s="19" t="s">
        <v>3948</v>
      </c>
      <c r="H1181" s="19">
        <v>60188</v>
      </c>
      <c r="I1181" s="135" t="s">
        <v>3949</v>
      </c>
      <c r="J1181" s="135" t="s">
        <v>3950</v>
      </c>
      <c r="K1181" s="19" t="s">
        <v>570</v>
      </c>
      <c r="L1181" s="134" t="s">
        <v>570</v>
      </c>
      <c r="M1181" s="134" t="s">
        <v>570</v>
      </c>
      <c r="N1181" s="134" t="s">
        <v>570</v>
      </c>
      <c r="O1181" s="134" t="s">
        <v>570</v>
      </c>
      <c r="P1181" s="449"/>
      <c r="Q1181" s="26"/>
      <c r="R1181" s="26"/>
      <c r="S1181" s="26"/>
      <c r="T1181" s="500" t="e">
        <f>_xlfn.XLOOKUP(H1181,#REF!,#REF!,0,0)</f>
        <v>#REF!</v>
      </c>
    </row>
    <row r="1182" spans="1:20" x14ac:dyDescent="0.4">
      <c r="A1182" s="134" t="s">
        <v>570</v>
      </c>
      <c r="B1182" s="135" t="s">
        <v>3951</v>
      </c>
      <c r="C1182" s="135"/>
      <c r="D1182" s="135" t="s">
        <v>567</v>
      </c>
      <c r="E1182" s="19" t="s">
        <v>3807</v>
      </c>
      <c r="F1182" s="20">
        <v>42194</v>
      </c>
      <c r="G1182" s="19" t="s">
        <v>3952</v>
      </c>
      <c r="H1182" s="19">
        <v>60189</v>
      </c>
      <c r="I1182" s="135" t="s">
        <v>3953</v>
      </c>
      <c r="J1182" s="135"/>
      <c r="K1182" s="19" t="s">
        <v>570</v>
      </c>
      <c r="L1182" s="134" t="s">
        <v>570</v>
      </c>
      <c r="M1182" s="134" t="s">
        <v>570</v>
      </c>
      <c r="N1182" s="134" t="s">
        <v>570</v>
      </c>
      <c r="O1182" s="134" t="s">
        <v>570</v>
      </c>
      <c r="P1182" s="449"/>
      <c r="Q1182" s="26"/>
      <c r="R1182" s="26"/>
      <c r="S1182" s="26"/>
      <c r="T1182" s="500" t="e">
        <f>_xlfn.XLOOKUP(H1182,#REF!,#REF!,0,0)</f>
        <v>#REF!</v>
      </c>
    </row>
    <row r="1183" spans="1:20" x14ac:dyDescent="0.4">
      <c r="A1183" s="135" t="s">
        <v>570</v>
      </c>
      <c r="B1183" s="135" t="s">
        <v>3954</v>
      </c>
      <c r="C1183" s="135"/>
      <c r="D1183" s="135" t="s">
        <v>567</v>
      </c>
      <c r="E1183" s="19" t="s">
        <v>3807</v>
      </c>
      <c r="F1183" s="20">
        <v>42194</v>
      </c>
      <c r="G1183" s="19" t="s">
        <v>3955</v>
      </c>
      <c r="H1183" s="19">
        <v>60185</v>
      </c>
      <c r="I1183" s="135" t="s">
        <v>3956</v>
      </c>
      <c r="J1183" s="135"/>
      <c r="K1183" s="19" t="s">
        <v>570</v>
      </c>
      <c r="L1183" s="134" t="s">
        <v>570</v>
      </c>
      <c r="M1183" s="134" t="s">
        <v>570</v>
      </c>
      <c r="N1183" s="134" t="s">
        <v>570</v>
      </c>
      <c r="O1183" s="134" t="s">
        <v>570</v>
      </c>
      <c r="P1183" s="449"/>
      <c r="Q1183" s="26"/>
      <c r="R1183" s="26"/>
      <c r="S1183" s="26"/>
      <c r="T1183" s="500" t="e">
        <f>_xlfn.XLOOKUP(H1183,#REF!,#REF!,0,0)</f>
        <v>#REF!</v>
      </c>
    </row>
    <row r="1184" spans="1:20" x14ac:dyDescent="0.4">
      <c r="A1184" s="135" t="s">
        <v>570</v>
      </c>
      <c r="B1184" s="135" t="s">
        <v>3957</v>
      </c>
      <c r="C1184" s="135"/>
      <c r="D1184" s="135" t="s">
        <v>567</v>
      </c>
      <c r="E1184" s="19" t="s">
        <v>3807</v>
      </c>
      <c r="F1184" s="20">
        <v>42194</v>
      </c>
      <c r="G1184" s="19" t="s">
        <v>16</v>
      </c>
      <c r="H1184" s="19">
        <v>60186</v>
      </c>
      <c r="I1184" s="135" t="s">
        <v>3958</v>
      </c>
      <c r="J1184" s="135"/>
      <c r="K1184" s="19" t="s">
        <v>570</v>
      </c>
      <c r="L1184" s="134" t="s">
        <v>570</v>
      </c>
      <c r="M1184" s="134" t="s">
        <v>570</v>
      </c>
      <c r="N1184" s="134" t="s">
        <v>570</v>
      </c>
      <c r="O1184" s="134" t="s">
        <v>570</v>
      </c>
      <c r="P1184" s="449"/>
      <c r="Q1184" s="26"/>
      <c r="R1184" s="26"/>
      <c r="S1184" s="26"/>
      <c r="T1184" s="500" t="e">
        <f>_xlfn.XLOOKUP(H1184,#REF!,#REF!,0,0)</f>
        <v>#REF!</v>
      </c>
    </row>
    <row r="1185" spans="1:20" x14ac:dyDescent="0.4">
      <c r="A1185" s="135" t="s">
        <v>570</v>
      </c>
      <c r="B1185" s="135" t="s">
        <v>3959</v>
      </c>
      <c r="C1185" s="135"/>
      <c r="D1185" s="135" t="s">
        <v>567</v>
      </c>
      <c r="E1185" s="19" t="s">
        <v>3807</v>
      </c>
      <c r="F1185" s="20">
        <v>42194</v>
      </c>
      <c r="G1185" s="19" t="s">
        <v>3960</v>
      </c>
      <c r="H1185" s="19">
        <v>60198</v>
      </c>
      <c r="I1185" s="135" t="s">
        <v>3961</v>
      </c>
      <c r="J1185" s="135"/>
      <c r="K1185" s="19" t="s">
        <v>570</v>
      </c>
      <c r="L1185" s="134" t="s">
        <v>570</v>
      </c>
      <c r="M1185" s="134" t="s">
        <v>570</v>
      </c>
      <c r="N1185" s="134" t="s">
        <v>570</v>
      </c>
      <c r="O1185" s="134" t="s">
        <v>570</v>
      </c>
      <c r="P1185" s="449"/>
      <c r="Q1185" s="26"/>
      <c r="R1185" s="26"/>
      <c r="S1185" s="26"/>
      <c r="T1185" s="500" t="e">
        <f>_xlfn.XLOOKUP(H1185,#REF!,#REF!,0,0)</f>
        <v>#REF!</v>
      </c>
    </row>
    <row r="1186" spans="1:20" x14ac:dyDescent="0.4">
      <c r="A1186" s="135" t="s">
        <v>570</v>
      </c>
      <c r="B1186" s="135" t="s">
        <v>3962</v>
      </c>
      <c r="C1186" s="135"/>
      <c r="D1186" s="135" t="s">
        <v>567</v>
      </c>
      <c r="E1186" s="19" t="s">
        <v>3807</v>
      </c>
      <c r="F1186" s="20">
        <v>42194</v>
      </c>
      <c r="G1186" s="19" t="s">
        <v>3963</v>
      </c>
      <c r="H1186" s="19">
        <v>60199</v>
      </c>
      <c r="I1186" s="135" t="s">
        <v>3964</v>
      </c>
      <c r="J1186" s="135"/>
      <c r="K1186" s="19" t="s">
        <v>570</v>
      </c>
      <c r="L1186" s="134" t="s">
        <v>570</v>
      </c>
      <c r="M1186" s="134" t="s">
        <v>570</v>
      </c>
      <c r="N1186" s="134" t="s">
        <v>570</v>
      </c>
      <c r="O1186" s="134" t="s">
        <v>570</v>
      </c>
      <c r="P1186" s="449"/>
      <c r="Q1186" s="26"/>
      <c r="R1186" s="26"/>
      <c r="S1186" s="26"/>
      <c r="T1186" s="500" t="e">
        <f>_xlfn.XLOOKUP(H1186,#REF!,#REF!,0,0)</f>
        <v>#REF!</v>
      </c>
    </row>
    <row r="1187" spans="1:20" x14ac:dyDescent="0.4">
      <c r="A1187" s="135" t="s">
        <v>570</v>
      </c>
      <c r="B1187" s="135" t="s">
        <v>3965</v>
      </c>
      <c r="C1187" s="135"/>
      <c r="D1187" s="135" t="s">
        <v>567</v>
      </c>
      <c r="E1187" s="19" t="s">
        <v>3807</v>
      </c>
      <c r="F1187" s="20">
        <v>42194</v>
      </c>
      <c r="G1187" s="19" t="s">
        <v>19</v>
      </c>
      <c r="H1187" s="19">
        <v>60200</v>
      </c>
      <c r="I1187" s="135" t="s">
        <v>3966</v>
      </c>
      <c r="J1187" s="135"/>
      <c r="K1187" s="19" t="s">
        <v>570</v>
      </c>
      <c r="L1187" s="134" t="s">
        <v>570</v>
      </c>
      <c r="M1187" s="134" t="s">
        <v>570</v>
      </c>
      <c r="N1187" s="134" t="s">
        <v>570</v>
      </c>
      <c r="O1187" s="134" t="s">
        <v>570</v>
      </c>
      <c r="P1187" s="449"/>
      <c r="Q1187" s="26"/>
      <c r="R1187" s="26"/>
      <c r="S1187" s="26"/>
      <c r="T1187" s="500" t="e">
        <f>_xlfn.XLOOKUP(H1187,#REF!,#REF!,0,0)</f>
        <v>#REF!</v>
      </c>
    </row>
    <row r="1188" spans="1:20" x14ac:dyDescent="0.4">
      <c r="A1188" s="135" t="s">
        <v>570</v>
      </c>
      <c r="B1188" s="135" t="s">
        <v>3967</v>
      </c>
      <c r="C1188" s="135"/>
      <c r="D1188" s="135" t="s">
        <v>567</v>
      </c>
      <c r="E1188" s="19" t="s">
        <v>3807</v>
      </c>
      <c r="F1188" s="20">
        <v>42194</v>
      </c>
      <c r="G1188" s="19" t="s">
        <v>3968</v>
      </c>
      <c r="H1188" s="19">
        <v>60206</v>
      </c>
      <c r="I1188" s="135" t="s">
        <v>3969</v>
      </c>
      <c r="J1188" s="135"/>
      <c r="K1188" s="19" t="s">
        <v>570</v>
      </c>
      <c r="L1188" s="134" t="s">
        <v>570</v>
      </c>
      <c r="M1188" s="134" t="s">
        <v>570</v>
      </c>
      <c r="N1188" s="134" t="s">
        <v>570</v>
      </c>
      <c r="O1188" s="134" t="s">
        <v>570</v>
      </c>
      <c r="P1188" s="449"/>
      <c r="Q1188" s="26"/>
      <c r="R1188" s="26"/>
      <c r="S1188" s="26"/>
      <c r="T1188" s="500" t="e">
        <f>_xlfn.XLOOKUP(H1188,#REF!,#REF!,0,0)</f>
        <v>#REF!</v>
      </c>
    </row>
    <row r="1189" spans="1:20" x14ac:dyDescent="0.4">
      <c r="A1189" s="135" t="s">
        <v>570</v>
      </c>
      <c r="B1189" s="135" t="s">
        <v>3970</v>
      </c>
      <c r="C1189" s="135"/>
      <c r="D1189" s="135" t="s">
        <v>567</v>
      </c>
      <c r="E1189" s="19" t="s">
        <v>3807</v>
      </c>
      <c r="F1189" s="20">
        <v>42194</v>
      </c>
      <c r="G1189" s="19" t="s">
        <v>17</v>
      </c>
      <c r="H1189" s="19">
        <v>60187</v>
      </c>
      <c r="I1189" s="135" t="s">
        <v>3971</v>
      </c>
      <c r="J1189" s="135"/>
      <c r="K1189" s="19" t="s">
        <v>570</v>
      </c>
      <c r="L1189" s="134" t="s">
        <v>570</v>
      </c>
      <c r="M1189" s="134" t="s">
        <v>570</v>
      </c>
      <c r="N1189" s="134" t="s">
        <v>570</v>
      </c>
      <c r="O1189" s="134" t="s">
        <v>570</v>
      </c>
      <c r="P1189" s="449"/>
      <c r="Q1189" s="26"/>
      <c r="R1189" s="26"/>
      <c r="S1189" s="26"/>
      <c r="T1189" s="500" t="e">
        <f>_xlfn.XLOOKUP(H1189,#REF!,#REF!,0,0)</f>
        <v>#REF!</v>
      </c>
    </row>
    <row r="1190" spans="1:20" x14ac:dyDescent="0.4">
      <c r="A1190" s="135" t="s">
        <v>570</v>
      </c>
      <c r="B1190" s="135" t="s">
        <v>3972</v>
      </c>
      <c r="C1190" s="135"/>
      <c r="D1190" s="135" t="s">
        <v>567</v>
      </c>
      <c r="E1190" s="19" t="s">
        <v>3807</v>
      </c>
      <c r="F1190" s="20">
        <v>42194</v>
      </c>
      <c r="G1190" s="19" t="s">
        <v>3973</v>
      </c>
      <c r="H1190" s="19">
        <v>60180</v>
      </c>
      <c r="I1190" s="135" t="s">
        <v>3974</v>
      </c>
      <c r="J1190" s="135"/>
      <c r="K1190" s="19" t="s">
        <v>570</v>
      </c>
      <c r="L1190" s="134" t="s">
        <v>570</v>
      </c>
      <c r="M1190" s="134" t="s">
        <v>570</v>
      </c>
      <c r="N1190" s="134" t="s">
        <v>570</v>
      </c>
      <c r="O1190" s="134" t="s">
        <v>570</v>
      </c>
      <c r="P1190" s="449"/>
      <c r="Q1190" s="26"/>
      <c r="R1190" s="26"/>
      <c r="S1190" s="26"/>
      <c r="T1190" s="500" t="e">
        <f>_xlfn.XLOOKUP(H1190,#REF!,#REF!,0,0)</f>
        <v>#REF!</v>
      </c>
    </row>
    <row r="1191" spans="1:20" x14ac:dyDescent="0.4">
      <c r="A1191" s="135" t="s">
        <v>570</v>
      </c>
      <c r="B1191" s="135" t="s">
        <v>3975</v>
      </c>
      <c r="C1191" s="135"/>
      <c r="D1191" s="135" t="s">
        <v>567</v>
      </c>
      <c r="E1191" s="19" t="s">
        <v>3807</v>
      </c>
      <c r="F1191" s="20">
        <v>42194</v>
      </c>
      <c r="G1191" s="19" t="s">
        <v>3976</v>
      </c>
      <c r="H1191" s="19">
        <v>60181</v>
      </c>
      <c r="I1191" s="135" t="s">
        <v>3977</v>
      </c>
      <c r="J1191" s="135"/>
      <c r="K1191" s="19" t="s">
        <v>570</v>
      </c>
      <c r="L1191" s="134" t="s">
        <v>570</v>
      </c>
      <c r="M1191" s="134" t="s">
        <v>570</v>
      </c>
      <c r="N1191" s="134" t="s">
        <v>570</v>
      </c>
      <c r="O1191" s="134" t="s">
        <v>570</v>
      </c>
      <c r="P1191" s="449"/>
      <c r="Q1191" s="26"/>
      <c r="R1191" s="26"/>
      <c r="S1191" s="26"/>
      <c r="T1191" s="500" t="e">
        <f>_xlfn.XLOOKUP(H1191,#REF!,#REF!,0,0)</f>
        <v>#REF!</v>
      </c>
    </row>
    <row r="1192" spans="1:20" x14ac:dyDescent="0.4">
      <c r="A1192" s="135" t="s">
        <v>570</v>
      </c>
      <c r="B1192" s="135" t="s">
        <v>3978</v>
      </c>
      <c r="C1192" s="135"/>
      <c r="D1192" s="135" t="s">
        <v>567</v>
      </c>
      <c r="E1192" s="19" t="s">
        <v>3807</v>
      </c>
      <c r="F1192" s="20">
        <v>42194</v>
      </c>
      <c r="G1192" s="19" t="s">
        <v>15</v>
      </c>
      <c r="H1192" s="19">
        <v>60182</v>
      </c>
      <c r="I1192" s="135" t="s">
        <v>3979</v>
      </c>
      <c r="J1192" s="135"/>
      <c r="K1192" s="19" t="s">
        <v>570</v>
      </c>
      <c r="L1192" s="134" t="s">
        <v>570</v>
      </c>
      <c r="M1192" s="134" t="s">
        <v>570</v>
      </c>
      <c r="N1192" s="134" t="s">
        <v>570</v>
      </c>
      <c r="O1192" s="134" t="s">
        <v>570</v>
      </c>
      <c r="P1192" s="449"/>
      <c r="Q1192" s="26"/>
      <c r="R1192" s="26"/>
      <c r="S1192" s="26"/>
      <c r="T1192" s="500" t="e">
        <f>_xlfn.XLOOKUP(H1192,#REF!,#REF!,0,0)</f>
        <v>#REF!</v>
      </c>
    </row>
    <row r="1193" spans="1:20" x14ac:dyDescent="0.4">
      <c r="A1193" s="135" t="s">
        <v>570</v>
      </c>
      <c r="B1193" s="135" t="s">
        <v>3980</v>
      </c>
      <c r="C1193" s="135"/>
      <c r="D1193" s="135" t="s">
        <v>567</v>
      </c>
      <c r="E1193" s="19" t="s">
        <v>3807</v>
      </c>
      <c r="F1193" s="20">
        <v>42194</v>
      </c>
      <c r="G1193" s="19" t="s">
        <v>3981</v>
      </c>
      <c r="H1193" s="19">
        <v>60184</v>
      </c>
      <c r="I1193" s="135" t="s">
        <v>3982</v>
      </c>
      <c r="J1193" s="135"/>
      <c r="K1193" s="19" t="s">
        <v>570</v>
      </c>
      <c r="L1193" s="134" t="s">
        <v>570</v>
      </c>
      <c r="M1193" s="134" t="s">
        <v>570</v>
      </c>
      <c r="N1193" s="134" t="s">
        <v>570</v>
      </c>
      <c r="O1193" s="134" t="s">
        <v>570</v>
      </c>
      <c r="P1193" s="449"/>
      <c r="Q1193" s="26"/>
      <c r="R1193" s="26"/>
      <c r="S1193" s="26"/>
      <c r="T1193" s="500" t="e">
        <f>_xlfn.XLOOKUP(H1193,#REF!,#REF!,0,0)</f>
        <v>#REF!</v>
      </c>
    </row>
    <row r="1194" spans="1:20" x14ac:dyDescent="0.4">
      <c r="A1194" s="135" t="s">
        <v>570</v>
      </c>
      <c r="B1194" s="135" t="s">
        <v>3983</v>
      </c>
      <c r="C1194" s="135"/>
      <c r="D1194" s="135" t="s">
        <v>567</v>
      </c>
      <c r="E1194" s="19" t="s">
        <v>3807</v>
      </c>
      <c r="F1194" s="20">
        <v>42194</v>
      </c>
      <c r="G1194" s="19" t="s">
        <v>20</v>
      </c>
      <c r="H1194" s="19">
        <v>60208</v>
      </c>
      <c r="I1194" s="135" t="s">
        <v>3984</v>
      </c>
      <c r="J1194" s="135"/>
      <c r="K1194" s="19" t="s">
        <v>570</v>
      </c>
      <c r="L1194" s="134" t="s">
        <v>570</v>
      </c>
      <c r="M1194" s="134" t="s">
        <v>570</v>
      </c>
      <c r="N1194" s="134" t="s">
        <v>570</v>
      </c>
      <c r="O1194" s="134" t="s">
        <v>570</v>
      </c>
      <c r="P1194" s="449"/>
      <c r="Q1194" s="26"/>
      <c r="R1194" s="26"/>
      <c r="S1194" s="26"/>
      <c r="T1194" s="500" t="e">
        <f>_xlfn.XLOOKUP(H1194,#REF!,#REF!,0,0)</f>
        <v>#REF!</v>
      </c>
    </row>
    <row r="1195" spans="1:20" x14ac:dyDescent="0.4">
      <c r="A1195" s="135" t="s">
        <v>570</v>
      </c>
      <c r="B1195" s="135" t="s">
        <v>3985</v>
      </c>
      <c r="C1195" s="135"/>
      <c r="D1195" s="135" t="s">
        <v>567</v>
      </c>
      <c r="E1195" s="19" t="s">
        <v>3807</v>
      </c>
      <c r="F1195" s="20">
        <v>42194</v>
      </c>
      <c r="G1195" s="19" t="s">
        <v>3986</v>
      </c>
      <c r="H1195" s="19">
        <v>60178</v>
      </c>
      <c r="I1195" s="135" t="s">
        <v>3987</v>
      </c>
      <c r="J1195" s="135" t="s">
        <v>3988</v>
      </c>
      <c r="K1195" s="19" t="s">
        <v>570</v>
      </c>
      <c r="L1195" s="134" t="s">
        <v>570</v>
      </c>
      <c r="M1195" s="134" t="s">
        <v>570</v>
      </c>
      <c r="N1195" s="134" t="s">
        <v>570</v>
      </c>
      <c r="O1195" s="134" t="s">
        <v>570</v>
      </c>
      <c r="P1195" s="449"/>
      <c r="Q1195" s="26"/>
      <c r="R1195" s="26"/>
      <c r="S1195" s="26"/>
      <c r="T1195" s="500" t="e">
        <f>_xlfn.XLOOKUP(H1195,#REF!,#REF!,0,0)</f>
        <v>#REF!</v>
      </c>
    </row>
    <row r="1196" spans="1:20" x14ac:dyDescent="0.4">
      <c r="A1196" s="135" t="s">
        <v>570</v>
      </c>
      <c r="B1196" s="135" t="s">
        <v>3989</v>
      </c>
      <c r="C1196" s="135"/>
      <c r="D1196" s="135" t="s">
        <v>567</v>
      </c>
      <c r="E1196" s="19" t="s">
        <v>3807</v>
      </c>
      <c r="F1196" s="20">
        <v>42194</v>
      </c>
      <c r="G1196" s="19" t="s">
        <v>3990</v>
      </c>
      <c r="H1196" s="19">
        <v>60201</v>
      </c>
      <c r="I1196" s="135" t="s">
        <v>3991</v>
      </c>
      <c r="J1196" s="135"/>
      <c r="K1196" s="19" t="s">
        <v>570</v>
      </c>
      <c r="L1196" s="134" t="s">
        <v>570</v>
      </c>
      <c r="M1196" s="134" t="s">
        <v>570</v>
      </c>
      <c r="N1196" s="134" t="s">
        <v>570</v>
      </c>
      <c r="O1196" s="134" t="s">
        <v>570</v>
      </c>
      <c r="P1196" s="449"/>
      <c r="Q1196" s="26"/>
      <c r="R1196" s="26"/>
      <c r="S1196" s="26"/>
      <c r="T1196" s="500" t="e">
        <f>_xlfn.XLOOKUP(H1196,#REF!,#REF!,0,0)</f>
        <v>#REF!</v>
      </c>
    </row>
    <row r="1197" spans="1:20" x14ac:dyDescent="0.4">
      <c r="A1197" s="135" t="s">
        <v>570</v>
      </c>
      <c r="B1197" s="135" t="s">
        <v>3992</v>
      </c>
      <c r="C1197" s="135"/>
      <c r="D1197" s="135" t="s">
        <v>567</v>
      </c>
      <c r="E1197" s="19" t="s">
        <v>3807</v>
      </c>
      <c r="F1197" s="20">
        <v>42194</v>
      </c>
      <c r="G1197" s="19" t="s">
        <v>3993</v>
      </c>
      <c r="H1197" s="19">
        <v>60202</v>
      </c>
      <c r="I1197" s="135" t="s">
        <v>3994</v>
      </c>
      <c r="J1197" s="135"/>
      <c r="K1197" s="19" t="s">
        <v>570</v>
      </c>
      <c r="L1197" s="134" t="s">
        <v>570</v>
      </c>
      <c r="M1197" s="134" t="s">
        <v>570</v>
      </c>
      <c r="N1197" s="134" t="s">
        <v>570</v>
      </c>
      <c r="O1197" s="134" t="s">
        <v>570</v>
      </c>
      <c r="P1197" s="449"/>
      <c r="Q1197" s="26"/>
      <c r="R1197" s="26"/>
      <c r="S1197" s="26"/>
      <c r="T1197" s="500" t="e">
        <f>_xlfn.XLOOKUP(H1197,#REF!,#REF!,0,0)</f>
        <v>#REF!</v>
      </c>
    </row>
    <row r="1198" spans="1:20" x14ac:dyDescent="0.4">
      <c r="A1198" s="135" t="s">
        <v>570</v>
      </c>
      <c r="B1198" s="135" t="s">
        <v>3995</v>
      </c>
      <c r="C1198" s="135"/>
      <c r="D1198" s="135" t="s">
        <v>567</v>
      </c>
      <c r="E1198" s="19" t="s">
        <v>3807</v>
      </c>
      <c r="F1198" s="20">
        <v>42194</v>
      </c>
      <c r="G1198" s="19" t="s">
        <v>3996</v>
      </c>
      <c r="H1198" s="19">
        <v>60203</v>
      </c>
      <c r="I1198" s="135" t="s">
        <v>3997</v>
      </c>
      <c r="J1198" s="135"/>
      <c r="K1198" s="19" t="s">
        <v>570</v>
      </c>
      <c r="L1198" s="134" t="s">
        <v>570</v>
      </c>
      <c r="M1198" s="134" t="s">
        <v>570</v>
      </c>
      <c r="N1198" s="134" t="s">
        <v>570</v>
      </c>
      <c r="O1198" s="134" t="s">
        <v>570</v>
      </c>
      <c r="P1198" s="449"/>
      <c r="Q1198" s="26"/>
      <c r="R1198" s="26"/>
      <c r="S1198" s="26"/>
      <c r="T1198" s="500" t="e">
        <f>_xlfn.XLOOKUP(H1198,#REF!,#REF!,0,0)</f>
        <v>#REF!</v>
      </c>
    </row>
    <row r="1199" spans="1:20" x14ac:dyDescent="0.4">
      <c r="A1199" s="135" t="s">
        <v>570</v>
      </c>
      <c r="B1199" s="135" t="s">
        <v>3998</v>
      </c>
      <c r="C1199" s="135"/>
      <c r="D1199" s="135" t="s">
        <v>567</v>
      </c>
      <c r="E1199" s="19" t="s">
        <v>3807</v>
      </c>
      <c r="F1199" s="20">
        <v>42194</v>
      </c>
      <c r="G1199" s="19" t="s">
        <v>3999</v>
      </c>
      <c r="H1199" s="19">
        <v>60204</v>
      </c>
      <c r="I1199" s="135" t="s">
        <v>4000</v>
      </c>
      <c r="J1199" s="135"/>
      <c r="K1199" s="19" t="s">
        <v>570</v>
      </c>
      <c r="L1199" s="134" t="s">
        <v>570</v>
      </c>
      <c r="M1199" s="134" t="s">
        <v>570</v>
      </c>
      <c r="N1199" s="134" t="s">
        <v>570</v>
      </c>
      <c r="O1199" s="134" t="s">
        <v>570</v>
      </c>
      <c r="P1199" s="449"/>
      <c r="Q1199" s="26"/>
      <c r="R1199" s="26"/>
      <c r="S1199" s="26"/>
      <c r="T1199" s="500" t="e">
        <f>_xlfn.XLOOKUP(H1199,#REF!,#REF!,0,0)</f>
        <v>#REF!</v>
      </c>
    </row>
    <row r="1200" spans="1:20" x14ac:dyDescent="0.4">
      <c r="A1200" s="135" t="s">
        <v>570</v>
      </c>
      <c r="B1200" s="135" t="s">
        <v>4001</v>
      </c>
      <c r="C1200" s="135"/>
      <c r="D1200" s="135" t="s">
        <v>567</v>
      </c>
      <c r="E1200" s="19" t="s">
        <v>3807</v>
      </c>
      <c r="F1200" s="20">
        <v>42194</v>
      </c>
      <c r="G1200" s="19" t="s">
        <v>848</v>
      </c>
      <c r="H1200" s="19">
        <v>60207</v>
      </c>
      <c r="I1200" s="135" t="s">
        <v>4002</v>
      </c>
      <c r="J1200" s="135"/>
      <c r="K1200" s="19" t="s">
        <v>570</v>
      </c>
      <c r="L1200" s="134" t="s">
        <v>570</v>
      </c>
      <c r="M1200" s="134" t="s">
        <v>570</v>
      </c>
      <c r="N1200" s="134" t="s">
        <v>570</v>
      </c>
      <c r="O1200" s="134" t="s">
        <v>570</v>
      </c>
      <c r="P1200" s="449"/>
      <c r="Q1200" s="26"/>
      <c r="R1200" s="26"/>
      <c r="S1200" s="26"/>
      <c r="T1200" s="500" t="e">
        <f>_xlfn.XLOOKUP(H1200,#REF!,#REF!,0,0)</f>
        <v>#REF!</v>
      </c>
    </row>
    <row r="1201" spans="1:20" x14ac:dyDescent="0.4">
      <c r="A1201" s="135" t="s">
        <v>570</v>
      </c>
      <c r="B1201" s="135" t="s">
        <v>4003</v>
      </c>
      <c r="C1201" s="135"/>
      <c r="D1201" s="135" t="s">
        <v>567</v>
      </c>
      <c r="E1201" s="19" t="s">
        <v>3807</v>
      </c>
      <c r="F1201" s="20">
        <v>42194</v>
      </c>
      <c r="G1201" s="19" t="s">
        <v>18</v>
      </c>
      <c r="H1201" s="19">
        <v>60196</v>
      </c>
      <c r="I1201" s="135" t="s">
        <v>4004</v>
      </c>
      <c r="J1201" s="135" t="s">
        <v>4005</v>
      </c>
      <c r="K1201" s="19" t="s">
        <v>4006</v>
      </c>
      <c r="L1201" s="134" t="s">
        <v>570</v>
      </c>
      <c r="M1201" s="134" t="s">
        <v>570</v>
      </c>
      <c r="N1201" s="134" t="s">
        <v>570</v>
      </c>
      <c r="O1201" s="134" t="s">
        <v>570</v>
      </c>
      <c r="P1201" s="449"/>
      <c r="Q1201" s="26"/>
      <c r="R1201" s="26"/>
      <c r="S1201" s="26"/>
      <c r="T1201" s="500" t="e">
        <f>_xlfn.XLOOKUP(H1201,#REF!,#REF!,0,0)</f>
        <v>#REF!</v>
      </c>
    </row>
    <row r="1202" spans="1:20" x14ac:dyDescent="0.4">
      <c r="A1202" s="135" t="s">
        <v>570</v>
      </c>
      <c r="B1202" s="135" t="s">
        <v>4007</v>
      </c>
      <c r="C1202" s="135"/>
      <c r="D1202" s="135" t="s">
        <v>567</v>
      </c>
      <c r="E1202" s="19" t="s">
        <v>3807</v>
      </c>
      <c r="F1202" s="20">
        <v>42194</v>
      </c>
      <c r="G1202" s="19" t="s">
        <v>4008</v>
      </c>
      <c r="H1202" s="19">
        <v>60197</v>
      </c>
      <c r="I1202" s="135" t="s">
        <v>4009</v>
      </c>
      <c r="J1202" s="135" t="s">
        <v>4010</v>
      </c>
      <c r="K1202" s="19" t="s">
        <v>4006</v>
      </c>
      <c r="L1202" s="134" t="s">
        <v>570</v>
      </c>
      <c r="M1202" s="134" t="s">
        <v>570</v>
      </c>
      <c r="N1202" s="134" t="s">
        <v>570</v>
      </c>
      <c r="O1202" s="134" t="s">
        <v>570</v>
      </c>
      <c r="P1202" s="449"/>
      <c r="Q1202" s="26"/>
      <c r="R1202" s="26"/>
      <c r="S1202" s="26"/>
      <c r="T1202" s="500" t="e">
        <f>_xlfn.XLOOKUP(H1202,#REF!,#REF!,0,0)</f>
        <v>#REF!</v>
      </c>
    </row>
    <row r="1203" spans="1:20" x14ac:dyDescent="0.4">
      <c r="A1203" s="135" t="s">
        <v>570</v>
      </c>
      <c r="B1203" s="135" t="s">
        <v>4011</v>
      </c>
      <c r="C1203" s="135"/>
      <c r="D1203" s="135" t="s">
        <v>567</v>
      </c>
      <c r="E1203" s="19" t="s">
        <v>3807</v>
      </c>
      <c r="F1203" s="20">
        <v>42194</v>
      </c>
      <c r="G1203" s="19" t="s">
        <v>4012</v>
      </c>
      <c r="H1203" s="19">
        <v>60209</v>
      </c>
      <c r="I1203" s="135" t="s">
        <v>4013</v>
      </c>
      <c r="J1203" s="135"/>
      <c r="K1203" s="19" t="s">
        <v>570</v>
      </c>
      <c r="L1203" s="134" t="s">
        <v>570</v>
      </c>
      <c r="M1203" s="134" t="s">
        <v>570</v>
      </c>
      <c r="N1203" s="134" t="s">
        <v>570</v>
      </c>
      <c r="O1203" s="134" t="s">
        <v>570</v>
      </c>
      <c r="P1203" s="449"/>
      <c r="Q1203" s="26"/>
      <c r="R1203" s="26"/>
      <c r="S1203" s="26"/>
      <c r="T1203" s="500" t="e">
        <f>_xlfn.XLOOKUP(H1203,#REF!,#REF!,0,0)</f>
        <v>#REF!</v>
      </c>
    </row>
    <row r="1204" spans="1:20" x14ac:dyDescent="0.4">
      <c r="A1204" s="135" t="s">
        <v>570</v>
      </c>
      <c r="B1204" s="135" t="s">
        <v>4014</v>
      </c>
      <c r="C1204" s="135"/>
      <c r="D1204" s="135" t="s">
        <v>567</v>
      </c>
      <c r="E1204" s="19" t="s">
        <v>3807</v>
      </c>
      <c r="F1204" s="20">
        <v>42194</v>
      </c>
      <c r="G1204" s="19" t="s">
        <v>4015</v>
      </c>
      <c r="H1204" s="19">
        <v>60179</v>
      </c>
      <c r="I1204" s="135" t="s">
        <v>4016</v>
      </c>
      <c r="J1204" s="135"/>
      <c r="K1204" s="19" t="s">
        <v>570</v>
      </c>
      <c r="L1204" s="134" t="s">
        <v>570</v>
      </c>
      <c r="M1204" s="134" t="s">
        <v>570</v>
      </c>
      <c r="N1204" s="134" t="s">
        <v>570</v>
      </c>
      <c r="O1204" s="134" t="s">
        <v>570</v>
      </c>
      <c r="P1204" s="449"/>
      <c r="Q1204" s="26"/>
      <c r="R1204" s="26"/>
      <c r="S1204" s="26"/>
      <c r="T1204" s="500" t="e">
        <f>_xlfn.XLOOKUP(H1204,#REF!,#REF!,0,0)</f>
        <v>#REF!</v>
      </c>
    </row>
    <row r="1205" spans="1:20" x14ac:dyDescent="0.4">
      <c r="A1205" s="135" t="s">
        <v>570</v>
      </c>
      <c r="B1205" s="135" t="s">
        <v>4014</v>
      </c>
      <c r="C1205" s="135"/>
      <c r="D1205" s="135" t="s">
        <v>567</v>
      </c>
      <c r="E1205" s="19" t="s">
        <v>3807</v>
      </c>
      <c r="F1205" s="20">
        <v>42194</v>
      </c>
      <c r="G1205" s="19" t="s">
        <v>4017</v>
      </c>
      <c r="H1205" s="19">
        <v>60195</v>
      </c>
      <c r="I1205" s="135" t="s">
        <v>4018</v>
      </c>
      <c r="J1205" s="135" t="s">
        <v>4019</v>
      </c>
      <c r="K1205" s="19" t="s">
        <v>570</v>
      </c>
      <c r="L1205" s="134" t="s">
        <v>570</v>
      </c>
      <c r="M1205" s="134" t="s">
        <v>570</v>
      </c>
      <c r="N1205" s="134" t="s">
        <v>570</v>
      </c>
      <c r="O1205" s="134" t="s">
        <v>570</v>
      </c>
      <c r="P1205" s="449"/>
      <c r="Q1205" s="26"/>
      <c r="R1205" s="26"/>
      <c r="S1205" s="26"/>
      <c r="T1205" s="500" t="e">
        <f>_xlfn.XLOOKUP(H1205,#REF!,#REF!,0,0)</f>
        <v>#REF!</v>
      </c>
    </row>
    <row r="1206" spans="1:20" x14ac:dyDescent="0.4">
      <c r="A1206" s="135" t="s">
        <v>570</v>
      </c>
      <c r="B1206" s="135" t="s">
        <v>4014</v>
      </c>
      <c r="C1206" s="135"/>
      <c r="D1206" s="135" t="s">
        <v>567</v>
      </c>
      <c r="E1206" s="19" t="s">
        <v>3807</v>
      </c>
      <c r="F1206" s="20">
        <v>42194</v>
      </c>
      <c r="G1206" s="19" t="s">
        <v>4020</v>
      </c>
      <c r="H1206" s="19">
        <v>60205</v>
      </c>
      <c r="I1206" s="135" t="s">
        <v>4021</v>
      </c>
      <c r="J1206" s="135"/>
      <c r="K1206" s="19" t="s">
        <v>570</v>
      </c>
      <c r="L1206" s="134" t="s">
        <v>570</v>
      </c>
      <c r="M1206" s="134" t="s">
        <v>570</v>
      </c>
      <c r="N1206" s="134" t="s">
        <v>570</v>
      </c>
      <c r="O1206" s="134" t="s">
        <v>570</v>
      </c>
      <c r="P1206" s="449"/>
      <c r="Q1206" s="26"/>
      <c r="R1206" s="26"/>
      <c r="S1206" s="26"/>
      <c r="T1206" s="500" t="e">
        <f>_xlfn.XLOOKUP(H1206,#REF!,#REF!,0,0)</f>
        <v>#REF!</v>
      </c>
    </row>
    <row r="1207" spans="1:20" x14ac:dyDescent="0.4">
      <c r="A1207" s="135" t="s">
        <v>570</v>
      </c>
      <c r="B1207" s="135" t="s">
        <v>4022</v>
      </c>
      <c r="C1207" s="135"/>
      <c r="D1207" s="135" t="s">
        <v>567</v>
      </c>
      <c r="E1207" s="19" t="s">
        <v>3807</v>
      </c>
      <c r="F1207" s="20">
        <v>42194</v>
      </c>
      <c r="G1207" s="19" t="s">
        <v>4023</v>
      </c>
      <c r="H1207" s="19">
        <v>60183</v>
      </c>
      <c r="I1207" s="135" t="s">
        <v>4024</v>
      </c>
      <c r="J1207" s="135"/>
      <c r="K1207" s="19" t="s">
        <v>570</v>
      </c>
      <c r="L1207" s="134" t="s">
        <v>570</v>
      </c>
      <c r="M1207" s="134" t="s">
        <v>570</v>
      </c>
      <c r="N1207" s="134" t="s">
        <v>570</v>
      </c>
      <c r="O1207" s="134" t="s">
        <v>570</v>
      </c>
      <c r="P1207" s="449"/>
      <c r="Q1207" s="26"/>
      <c r="R1207" s="26"/>
      <c r="S1207" s="26"/>
      <c r="T1207" s="500" t="e">
        <f>_xlfn.XLOOKUP(H1207,#REF!,#REF!,0,0)</f>
        <v>#REF!</v>
      </c>
    </row>
    <row r="1208" spans="1:20" x14ac:dyDescent="0.4">
      <c r="A1208" s="135" t="s">
        <v>570</v>
      </c>
      <c r="B1208" s="135" t="s">
        <v>4025</v>
      </c>
      <c r="C1208" s="135"/>
      <c r="D1208" s="135" t="s">
        <v>567</v>
      </c>
      <c r="E1208" s="19" t="s">
        <v>4026</v>
      </c>
      <c r="F1208" s="20">
        <v>42397</v>
      </c>
      <c r="G1208" s="19" t="s">
        <v>4027</v>
      </c>
      <c r="H1208" s="19">
        <v>60936</v>
      </c>
      <c r="I1208" s="135" t="s">
        <v>4028</v>
      </c>
      <c r="J1208" s="135" t="s">
        <v>4029</v>
      </c>
      <c r="K1208" s="19" t="s">
        <v>570</v>
      </c>
      <c r="L1208" s="134" t="s">
        <v>570</v>
      </c>
      <c r="M1208" s="134" t="s">
        <v>570</v>
      </c>
      <c r="N1208" s="134" t="s">
        <v>570</v>
      </c>
      <c r="O1208" s="134" t="s">
        <v>570</v>
      </c>
      <c r="P1208" s="449"/>
      <c r="Q1208" s="26"/>
      <c r="R1208" s="26"/>
      <c r="S1208" s="26"/>
      <c r="T1208" s="500" t="e">
        <f>_xlfn.XLOOKUP(H1208,#REF!,#REF!,0,0)</f>
        <v>#REF!</v>
      </c>
    </row>
    <row r="1209" spans="1:20" x14ac:dyDescent="0.4">
      <c r="A1209" s="135" t="s">
        <v>570</v>
      </c>
      <c r="B1209" s="135" t="s">
        <v>4025</v>
      </c>
      <c r="C1209" s="135"/>
      <c r="D1209" s="135" t="s">
        <v>567</v>
      </c>
      <c r="E1209" s="19" t="s">
        <v>4026</v>
      </c>
      <c r="F1209" s="20">
        <v>42397</v>
      </c>
      <c r="G1209" s="19" t="s">
        <v>4030</v>
      </c>
      <c r="H1209" s="19">
        <v>60937</v>
      </c>
      <c r="I1209" s="135" t="s">
        <v>4031</v>
      </c>
      <c r="J1209" s="135" t="s">
        <v>4032</v>
      </c>
      <c r="K1209" s="19" t="s">
        <v>570</v>
      </c>
      <c r="L1209" s="134" t="s">
        <v>570</v>
      </c>
      <c r="M1209" s="134" t="s">
        <v>570</v>
      </c>
      <c r="N1209" s="134" t="s">
        <v>570</v>
      </c>
      <c r="O1209" s="134" t="s">
        <v>570</v>
      </c>
      <c r="P1209" s="449"/>
      <c r="Q1209" s="26"/>
      <c r="R1209" s="26"/>
      <c r="S1209" s="26"/>
      <c r="T1209" s="500" t="e">
        <f>_xlfn.XLOOKUP(H1209,#REF!,#REF!,0,0)</f>
        <v>#REF!</v>
      </c>
    </row>
    <row r="1210" spans="1:20" x14ac:dyDescent="0.4">
      <c r="A1210" s="135" t="s">
        <v>570</v>
      </c>
      <c r="B1210" s="135" t="s">
        <v>4033</v>
      </c>
      <c r="C1210" s="135"/>
      <c r="D1210" s="135" t="s">
        <v>567</v>
      </c>
      <c r="E1210" s="19" t="s">
        <v>4026</v>
      </c>
      <c r="F1210" s="20">
        <v>42397</v>
      </c>
      <c r="G1210" s="19" t="s">
        <v>4034</v>
      </c>
      <c r="H1210" s="19">
        <v>60938</v>
      </c>
      <c r="I1210" s="135" t="s">
        <v>4035</v>
      </c>
      <c r="J1210" s="135" t="s">
        <v>4036</v>
      </c>
      <c r="K1210" s="19" t="s">
        <v>570</v>
      </c>
      <c r="L1210" s="134" t="s">
        <v>570</v>
      </c>
      <c r="M1210" s="134" t="s">
        <v>570</v>
      </c>
      <c r="N1210" s="134" t="s">
        <v>570</v>
      </c>
      <c r="O1210" s="134" t="s">
        <v>570</v>
      </c>
      <c r="P1210" s="449"/>
      <c r="Q1210" s="26"/>
      <c r="R1210" s="26"/>
      <c r="S1210" s="26"/>
      <c r="T1210" s="500" t="e">
        <f>_xlfn.XLOOKUP(H1210,#REF!,#REF!,0,0)</f>
        <v>#REF!</v>
      </c>
    </row>
    <row r="1211" spans="1:20" x14ac:dyDescent="0.4">
      <c r="A1211" s="135" t="s">
        <v>570</v>
      </c>
      <c r="B1211" s="135" t="s">
        <v>4037</v>
      </c>
      <c r="C1211" s="135"/>
      <c r="D1211" s="135" t="s">
        <v>567</v>
      </c>
      <c r="E1211" s="19" t="s">
        <v>4026</v>
      </c>
      <c r="F1211" s="20">
        <v>42397</v>
      </c>
      <c r="G1211" s="19" t="s">
        <v>842</v>
      </c>
      <c r="H1211" s="19">
        <v>60939</v>
      </c>
      <c r="I1211" s="135" t="s">
        <v>4038</v>
      </c>
      <c r="J1211" s="135" t="s">
        <v>843</v>
      </c>
      <c r="K1211" s="19" t="s">
        <v>570</v>
      </c>
      <c r="L1211" s="134" t="s">
        <v>570</v>
      </c>
      <c r="M1211" s="134" t="s">
        <v>570</v>
      </c>
      <c r="N1211" s="134" t="s">
        <v>570</v>
      </c>
      <c r="O1211" s="134" t="s">
        <v>570</v>
      </c>
      <c r="P1211" s="449"/>
      <c r="Q1211" s="26"/>
      <c r="R1211" s="26"/>
      <c r="S1211" s="26"/>
      <c r="T1211" s="500" t="e">
        <f>_xlfn.XLOOKUP(H1211,#REF!,#REF!,0,0)</f>
        <v>#REF!</v>
      </c>
    </row>
    <row r="1212" spans="1:20" x14ac:dyDescent="0.4">
      <c r="A1212" s="135" t="s">
        <v>570</v>
      </c>
      <c r="B1212" s="135" t="s">
        <v>4039</v>
      </c>
      <c r="C1212" s="135"/>
      <c r="D1212" s="135" t="s">
        <v>567</v>
      </c>
      <c r="E1212" s="19" t="s">
        <v>4026</v>
      </c>
      <c r="F1212" s="20">
        <v>42397</v>
      </c>
      <c r="G1212" s="19" t="s">
        <v>4040</v>
      </c>
      <c r="H1212" s="19">
        <v>60935</v>
      </c>
      <c r="I1212" s="135" t="s">
        <v>4041</v>
      </c>
      <c r="J1212" s="135" t="s">
        <v>4042</v>
      </c>
      <c r="K1212" s="19" t="s">
        <v>570</v>
      </c>
      <c r="L1212" s="134" t="s">
        <v>570</v>
      </c>
      <c r="M1212" s="134" t="s">
        <v>570</v>
      </c>
      <c r="N1212" s="134" t="s">
        <v>570</v>
      </c>
      <c r="O1212" s="134" t="s">
        <v>570</v>
      </c>
      <c r="P1212" s="449"/>
      <c r="Q1212" s="26"/>
      <c r="R1212" s="26"/>
      <c r="S1212" s="26"/>
      <c r="T1212" s="500" t="e">
        <f>_xlfn.XLOOKUP(H1212,#REF!,#REF!,0,0)</f>
        <v>#REF!</v>
      </c>
    </row>
    <row r="1213" spans="1:20" x14ac:dyDescent="0.4">
      <c r="A1213" s="135" t="s">
        <v>570</v>
      </c>
      <c r="B1213" s="135" t="s">
        <v>4043</v>
      </c>
      <c r="C1213" s="135"/>
      <c r="D1213" s="135" t="s">
        <v>567</v>
      </c>
      <c r="E1213" s="19" t="s">
        <v>3072</v>
      </c>
      <c r="F1213" s="20">
        <v>41845</v>
      </c>
      <c r="G1213" s="19" t="s">
        <v>39</v>
      </c>
      <c r="H1213" s="19">
        <v>59101</v>
      </c>
      <c r="I1213" s="135" t="s">
        <v>1265</v>
      </c>
      <c r="J1213" s="135"/>
      <c r="K1213" s="19" t="s">
        <v>570</v>
      </c>
      <c r="L1213" s="134" t="s">
        <v>570</v>
      </c>
      <c r="M1213" s="134" t="s">
        <v>570</v>
      </c>
      <c r="N1213" s="134" t="s">
        <v>570</v>
      </c>
      <c r="O1213" s="134" t="s">
        <v>570</v>
      </c>
      <c r="P1213" s="449"/>
      <c r="Q1213" s="26"/>
      <c r="R1213" s="26"/>
      <c r="S1213" s="26"/>
      <c r="T1213" s="500" t="e">
        <f>_xlfn.XLOOKUP(H1213,#REF!,#REF!,0,0)</f>
        <v>#REF!</v>
      </c>
    </row>
    <row r="1214" spans="1:20" x14ac:dyDescent="0.4">
      <c r="A1214" s="135" t="s">
        <v>570</v>
      </c>
      <c r="B1214" s="135" t="s">
        <v>4044</v>
      </c>
      <c r="C1214" s="135"/>
      <c r="D1214" s="135" t="s">
        <v>567</v>
      </c>
      <c r="E1214" s="19" t="s">
        <v>4045</v>
      </c>
      <c r="F1214" s="20">
        <v>42459</v>
      </c>
      <c r="G1214" s="19" t="s">
        <v>4046</v>
      </c>
      <c r="H1214" s="19">
        <v>60989</v>
      </c>
      <c r="I1214" s="135" t="s">
        <v>4047</v>
      </c>
      <c r="J1214" s="135"/>
      <c r="K1214" s="19" t="s">
        <v>570</v>
      </c>
      <c r="L1214" s="134" t="s">
        <v>570</v>
      </c>
      <c r="M1214" s="134" t="s">
        <v>570</v>
      </c>
      <c r="N1214" s="134" t="s">
        <v>570</v>
      </c>
      <c r="O1214" s="134" t="s">
        <v>570</v>
      </c>
      <c r="P1214" s="449"/>
      <c r="Q1214" s="26"/>
      <c r="R1214" s="26"/>
      <c r="S1214" s="26"/>
      <c r="T1214" s="500" t="e">
        <f>_xlfn.XLOOKUP(H1214,#REF!,#REF!,0,0)</f>
        <v>#REF!</v>
      </c>
    </row>
    <row r="1215" spans="1:20" s="301" customFormat="1" x14ac:dyDescent="0.4">
      <c r="A1215" s="135" t="s">
        <v>570</v>
      </c>
      <c r="B1215" s="135" t="s">
        <v>4048</v>
      </c>
      <c r="C1215" s="135"/>
      <c r="D1215" s="135" t="s">
        <v>567</v>
      </c>
      <c r="E1215" s="19" t="s">
        <v>829</v>
      </c>
      <c r="F1215" s="20">
        <v>42559</v>
      </c>
      <c r="G1215" s="19" t="s">
        <v>4049</v>
      </c>
      <c r="H1215" s="170">
        <v>63923</v>
      </c>
      <c r="I1215" s="135" t="s">
        <v>4050</v>
      </c>
      <c r="J1215" s="135" t="s">
        <v>4051</v>
      </c>
      <c r="K1215" s="19" t="s">
        <v>570</v>
      </c>
      <c r="L1215" s="134" t="s">
        <v>570</v>
      </c>
      <c r="M1215" s="134" t="s">
        <v>570</v>
      </c>
      <c r="N1215" s="134" t="s">
        <v>570</v>
      </c>
      <c r="O1215" s="134" t="s">
        <v>570</v>
      </c>
      <c r="P1215" s="421"/>
      <c r="Q1215" s="66"/>
      <c r="R1215" s="66"/>
      <c r="S1215" s="66"/>
      <c r="T1215" s="512" t="e">
        <f>_xlfn.XLOOKUP(H1215,#REF!,#REF!,0,0)</f>
        <v>#REF!</v>
      </c>
    </row>
    <row r="1216" spans="1:20" s="301" customFormat="1" x14ac:dyDescent="0.4">
      <c r="A1216" s="135" t="s">
        <v>570</v>
      </c>
      <c r="B1216" s="135" t="s">
        <v>4052</v>
      </c>
      <c r="C1216" s="135"/>
      <c r="D1216" s="135" t="s">
        <v>567</v>
      </c>
      <c r="E1216" s="19" t="s">
        <v>829</v>
      </c>
      <c r="F1216" s="20">
        <v>42559</v>
      </c>
      <c r="G1216" s="19" t="s">
        <v>4053</v>
      </c>
      <c r="H1216" s="19">
        <v>63928</v>
      </c>
      <c r="I1216" s="135" t="s">
        <v>4054</v>
      </c>
      <c r="J1216" s="135" t="s">
        <v>4055</v>
      </c>
      <c r="K1216" s="19" t="s">
        <v>570</v>
      </c>
      <c r="L1216" s="134" t="s">
        <v>570</v>
      </c>
      <c r="M1216" s="134" t="s">
        <v>570</v>
      </c>
      <c r="N1216" s="134" t="s">
        <v>570</v>
      </c>
      <c r="O1216" s="134" t="s">
        <v>570</v>
      </c>
      <c r="P1216" s="421"/>
      <c r="Q1216" s="66"/>
      <c r="R1216" s="66"/>
      <c r="S1216" s="66"/>
      <c r="T1216" s="512" t="e">
        <f>_xlfn.XLOOKUP(H1216,#REF!,#REF!,0,0)</f>
        <v>#REF!</v>
      </c>
    </row>
    <row r="1217" spans="1:20" s="301" customFormat="1" x14ac:dyDescent="0.4">
      <c r="A1217" s="135" t="s">
        <v>570</v>
      </c>
      <c r="B1217" s="135" t="s">
        <v>4056</v>
      </c>
      <c r="C1217" s="135"/>
      <c r="D1217" s="135" t="s">
        <v>567</v>
      </c>
      <c r="E1217" s="19" t="s">
        <v>829</v>
      </c>
      <c r="F1217" s="20">
        <v>42559</v>
      </c>
      <c r="G1217" s="19" t="s">
        <v>4057</v>
      </c>
      <c r="H1217" s="170">
        <v>63918</v>
      </c>
      <c r="I1217" s="135" t="s">
        <v>4058</v>
      </c>
      <c r="J1217" s="135" t="s">
        <v>4059</v>
      </c>
      <c r="K1217" s="19" t="s">
        <v>570</v>
      </c>
      <c r="L1217" s="134" t="s">
        <v>570</v>
      </c>
      <c r="M1217" s="134" t="s">
        <v>570</v>
      </c>
      <c r="N1217" s="134" t="s">
        <v>570</v>
      </c>
      <c r="O1217" s="134" t="s">
        <v>570</v>
      </c>
      <c r="P1217" s="421"/>
      <c r="Q1217" s="66"/>
      <c r="R1217" s="66"/>
      <c r="S1217" s="66"/>
      <c r="T1217" s="512" t="e">
        <f>_xlfn.XLOOKUP(H1217,#REF!,#REF!,0,0)</f>
        <v>#REF!</v>
      </c>
    </row>
    <row r="1218" spans="1:20" s="301" customFormat="1" x14ac:dyDescent="0.4">
      <c r="A1218" s="135" t="s">
        <v>570</v>
      </c>
      <c r="B1218" s="135" t="s">
        <v>4060</v>
      </c>
      <c r="C1218" s="135"/>
      <c r="D1218" s="135" t="s">
        <v>567</v>
      </c>
      <c r="E1218" s="19" t="s">
        <v>829</v>
      </c>
      <c r="F1218" s="20">
        <v>42559</v>
      </c>
      <c r="G1218" s="19" t="s">
        <v>4061</v>
      </c>
      <c r="H1218" s="170">
        <v>63925</v>
      </c>
      <c r="I1218" s="135" t="s">
        <v>4062</v>
      </c>
      <c r="J1218" s="135" t="s">
        <v>4063</v>
      </c>
      <c r="K1218" s="19" t="s">
        <v>570</v>
      </c>
      <c r="L1218" s="134" t="s">
        <v>570</v>
      </c>
      <c r="M1218" s="134" t="s">
        <v>570</v>
      </c>
      <c r="N1218" s="134" t="s">
        <v>570</v>
      </c>
      <c r="O1218" s="134" t="s">
        <v>570</v>
      </c>
      <c r="P1218" s="421"/>
      <c r="Q1218" s="66"/>
      <c r="R1218" s="66"/>
      <c r="S1218" s="66"/>
      <c r="T1218" s="512" t="e">
        <f>_xlfn.XLOOKUP(H1218,#REF!,#REF!,0,0)</f>
        <v>#REF!</v>
      </c>
    </row>
    <row r="1219" spans="1:20" s="301" customFormat="1" x14ac:dyDescent="0.4">
      <c r="A1219" s="135" t="s">
        <v>570</v>
      </c>
      <c r="B1219" s="135" t="s">
        <v>4064</v>
      </c>
      <c r="C1219" s="135"/>
      <c r="D1219" s="135" t="s">
        <v>567</v>
      </c>
      <c r="E1219" s="19" t="s">
        <v>52</v>
      </c>
      <c r="F1219" s="20">
        <v>42537</v>
      </c>
      <c r="G1219" s="19" t="s">
        <v>4065</v>
      </c>
      <c r="H1219" s="19">
        <v>63831</v>
      </c>
      <c r="I1219" s="135" t="s">
        <v>4066</v>
      </c>
      <c r="J1219" s="135" t="s">
        <v>4067</v>
      </c>
      <c r="K1219" s="19" t="s">
        <v>570</v>
      </c>
      <c r="L1219" s="134" t="s">
        <v>570</v>
      </c>
      <c r="M1219" s="134" t="s">
        <v>570</v>
      </c>
      <c r="N1219" s="134" t="s">
        <v>570</v>
      </c>
      <c r="O1219" s="134" t="s">
        <v>570</v>
      </c>
      <c r="P1219" s="421"/>
      <c r="Q1219" s="66"/>
      <c r="R1219" s="66"/>
      <c r="S1219" s="66"/>
      <c r="T1219" s="512" t="e">
        <f>_xlfn.XLOOKUP(H1219,#REF!,#REF!,0,0)</f>
        <v>#REF!</v>
      </c>
    </row>
    <row r="1220" spans="1:20" s="301" customFormat="1" x14ac:dyDescent="0.4">
      <c r="A1220" s="135" t="s">
        <v>570</v>
      </c>
      <c r="B1220" s="135" t="s">
        <v>4068</v>
      </c>
      <c r="C1220" s="135"/>
      <c r="D1220" s="135" t="s">
        <v>567</v>
      </c>
      <c r="E1220" s="19" t="s">
        <v>829</v>
      </c>
      <c r="F1220" s="20">
        <v>42559</v>
      </c>
      <c r="G1220" s="19" t="s">
        <v>4069</v>
      </c>
      <c r="H1220" s="170">
        <v>63926</v>
      </c>
      <c r="I1220" s="135" t="s">
        <v>4070</v>
      </c>
      <c r="J1220" s="135" t="s">
        <v>4071</v>
      </c>
      <c r="K1220" s="19" t="s">
        <v>570</v>
      </c>
      <c r="L1220" s="134" t="s">
        <v>570</v>
      </c>
      <c r="M1220" s="134" t="s">
        <v>570</v>
      </c>
      <c r="N1220" s="134" t="s">
        <v>570</v>
      </c>
      <c r="O1220" s="134" t="s">
        <v>570</v>
      </c>
      <c r="P1220" s="421"/>
      <c r="Q1220" s="66"/>
      <c r="R1220" s="66"/>
      <c r="S1220" s="66"/>
      <c r="T1220" s="512" t="e">
        <f>_xlfn.XLOOKUP(H1220,#REF!,#REF!,0,0)</f>
        <v>#REF!</v>
      </c>
    </row>
    <row r="1221" spans="1:20" s="301" customFormat="1" x14ac:dyDescent="0.4">
      <c r="A1221" s="135" t="s">
        <v>570</v>
      </c>
      <c r="B1221" s="135" t="s">
        <v>4072</v>
      </c>
      <c r="C1221" s="135"/>
      <c r="D1221" s="135" t="s">
        <v>567</v>
      </c>
      <c r="E1221" s="19" t="s">
        <v>829</v>
      </c>
      <c r="F1221" s="20">
        <v>42559</v>
      </c>
      <c r="G1221" s="19" t="s">
        <v>4073</v>
      </c>
      <c r="H1221" s="170">
        <v>63920</v>
      </c>
      <c r="I1221" s="135" t="s">
        <v>4074</v>
      </c>
      <c r="J1221" s="135" t="s">
        <v>4075</v>
      </c>
      <c r="K1221" s="19" t="s">
        <v>864</v>
      </c>
      <c r="L1221" s="134" t="s">
        <v>570</v>
      </c>
      <c r="M1221" s="134" t="s">
        <v>570</v>
      </c>
      <c r="N1221" s="134" t="s">
        <v>570</v>
      </c>
      <c r="O1221" s="134" t="s">
        <v>570</v>
      </c>
      <c r="P1221" s="421"/>
      <c r="Q1221" s="66"/>
      <c r="R1221" s="66"/>
      <c r="S1221" s="66"/>
      <c r="T1221" s="512" t="e">
        <f>_xlfn.XLOOKUP(H1221,#REF!,#REF!,0,0)</f>
        <v>#REF!</v>
      </c>
    </row>
    <row r="1222" spans="1:20" x14ac:dyDescent="0.4">
      <c r="A1222" s="129" t="s">
        <v>570</v>
      </c>
      <c r="B1222" s="129" t="s">
        <v>4076</v>
      </c>
      <c r="C1222" s="129"/>
      <c r="D1222" s="142" t="s">
        <v>2211</v>
      </c>
      <c r="E1222" s="130" t="s">
        <v>2201</v>
      </c>
      <c r="F1222" s="129" t="s">
        <v>567</v>
      </c>
      <c r="G1222" s="130" t="s">
        <v>829</v>
      </c>
      <c r="H1222" s="130">
        <v>42559</v>
      </c>
      <c r="I1222" s="129" t="s">
        <v>4077</v>
      </c>
      <c r="J1222" s="258">
        <v>63919</v>
      </c>
      <c r="K1222" s="130" t="s">
        <v>4078</v>
      </c>
      <c r="L1222" s="134" t="s">
        <v>570</v>
      </c>
      <c r="M1222" s="134" t="s">
        <v>570</v>
      </c>
      <c r="N1222" s="134" t="s">
        <v>570</v>
      </c>
      <c r="O1222" s="134" t="s">
        <v>570</v>
      </c>
      <c r="P1222" s="409" t="s">
        <v>570</v>
      </c>
      <c r="Q1222" s="26"/>
      <c r="R1222" s="26"/>
      <c r="S1222" s="26"/>
      <c r="T1222" s="500" t="e">
        <f>_xlfn.XLOOKUP(H1222,#REF!,#REF!,0,0)</f>
        <v>#REF!</v>
      </c>
    </row>
    <row r="1223" spans="1:20" x14ac:dyDescent="0.4">
      <c r="A1223" s="129" t="s">
        <v>570</v>
      </c>
      <c r="B1223" s="129" t="s">
        <v>4079</v>
      </c>
      <c r="C1223" s="129"/>
      <c r="D1223" s="129" t="s">
        <v>2215</v>
      </c>
      <c r="E1223" s="130" t="s">
        <v>4080</v>
      </c>
      <c r="F1223" s="129" t="s">
        <v>567</v>
      </c>
      <c r="G1223" s="130" t="s">
        <v>829</v>
      </c>
      <c r="H1223" s="130">
        <v>42559</v>
      </c>
      <c r="I1223" s="129" t="s">
        <v>4081</v>
      </c>
      <c r="J1223" s="259">
        <v>63917</v>
      </c>
      <c r="K1223" s="130" t="s">
        <v>4082</v>
      </c>
      <c r="L1223" s="134" t="s">
        <v>570</v>
      </c>
      <c r="M1223" s="134" t="s">
        <v>570</v>
      </c>
      <c r="N1223" s="134" t="s">
        <v>570</v>
      </c>
      <c r="O1223" s="134" t="s">
        <v>570</v>
      </c>
      <c r="P1223" s="409"/>
      <c r="Q1223" s="26"/>
      <c r="R1223" s="26"/>
      <c r="S1223" s="26"/>
      <c r="T1223" s="500" t="e">
        <f>_xlfn.XLOOKUP(H1223,#REF!,#REF!,0,0)</f>
        <v>#REF!</v>
      </c>
    </row>
    <row r="1224" spans="1:20" x14ac:dyDescent="0.4">
      <c r="A1224" s="129" t="s">
        <v>570</v>
      </c>
      <c r="B1224" s="129" t="s">
        <v>4083</v>
      </c>
      <c r="C1224" s="129"/>
      <c r="D1224" s="129" t="s">
        <v>2215</v>
      </c>
      <c r="E1224" s="130" t="s">
        <v>4080</v>
      </c>
      <c r="F1224" s="129" t="s">
        <v>567</v>
      </c>
      <c r="G1224" s="130" t="s">
        <v>829</v>
      </c>
      <c r="H1224" s="130">
        <v>42559</v>
      </c>
      <c r="I1224" s="129" t="s">
        <v>4084</v>
      </c>
      <c r="J1224" s="259">
        <v>63922</v>
      </c>
      <c r="K1224" s="130" t="s">
        <v>4085</v>
      </c>
      <c r="L1224" s="134" t="s">
        <v>570</v>
      </c>
      <c r="M1224" s="134" t="s">
        <v>570</v>
      </c>
      <c r="N1224" s="134" t="s">
        <v>570</v>
      </c>
      <c r="O1224" s="134" t="s">
        <v>570</v>
      </c>
      <c r="P1224" s="409"/>
      <c r="Q1224" s="26"/>
      <c r="R1224" s="26"/>
      <c r="S1224" s="26"/>
      <c r="T1224" s="500" t="e">
        <f>_xlfn.XLOOKUP(H1224,#REF!,#REF!,0,0)</f>
        <v>#REF!</v>
      </c>
    </row>
    <row r="1225" spans="1:20" x14ac:dyDescent="0.4">
      <c r="A1225" s="129" t="s">
        <v>570</v>
      </c>
      <c r="B1225" s="129" t="s">
        <v>4086</v>
      </c>
      <c r="C1225" s="129"/>
      <c r="D1225" s="129"/>
      <c r="E1225" s="130"/>
      <c r="F1225" s="129" t="s">
        <v>567</v>
      </c>
      <c r="G1225" s="130" t="s">
        <v>4026</v>
      </c>
      <c r="H1225" s="130"/>
      <c r="I1225" s="129" t="s">
        <v>3940</v>
      </c>
      <c r="J1225" s="259">
        <v>60194</v>
      </c>
      <c r="K1225" s="130"/>
      <c r="L1225" s="134" t="s">
        <v>570</v>
      </c>
      <c r="M1225" s="134" t="s">
        <v>570</v>
      </c>
      <c r="N1225" s="134" t="s">
        <v>570</v>
      </c>
      <c r="O1225" s="134" t="s">
        <v>570</v>
      </c>
      <c r="P1225" s="409" t="s">
        <v>570</v>
      </c>
      <c r="Q1225" s="26"/>
      <c r="R1225" s="26"/>
      <c r="S1225" s="26"/>
      <c r="T1225" s="500" t="e">
        <f>_xlfn.XLOOKUP(H1225,#REF!,#REF!,0,0)</f>
        <v>#REF!</v>
      </c>
    </row>
    <row r="1226" spans="1:20" x14ac:dyDescent="0.4">
      <c r="A1226" s="129"/>
      <c r="B1226" s="129" t="s">
        <v>4087</v>
      </c>
      <c r="C1226" s="129"/>
      <c r="D1226" s="129" t="s">
        <v>788</v>
      </c>
      <c r="E1226" s="130"/>
      <c r="F1226" s="129" t="s">
        <v>567</v>
      </c>
      <c r="G1226" s="130" t="s">
        <v>829</v>
      </c>
      <c r="H1226" s="130">
        <v>42559</v>
      </c>
      <c r="I1226" s="129" t="s">
        <v>4049</v>
      </c>
      <c r="J1226" s="259">
        <v>63923</v>
      </c>
      <c r="K1226" s="130"/>
      <c r="L1226" s="134" t="s">
        <v>570</v>
      </c>
      <c r="M1226" s="134" t="s">
        <v>570</v>
      </c>
      <c r="N1226" s="134" t="s">
        <v>570</v>
      </c>
      <c r="O1226" s="134" t="s">
        <v>570</v>
      </c>
      <c r="P1226" s="409"/>
      <c r="Q1226" s="26"/>
      <c r="R1226" s="26"/>
      <c r="S1226" s="26"/>
      <c r="T1226" s="500" t="e">
        <f>_xlfn.XLOOKUP(H1226,#REF!,#REF!,0,0)</f>
        <v>#REF!</v>
      </c>
    </row>
    <row r="1227" spans="1:20" x14ac:dyDescent="0.4">
      <c r="A1227" s="129" t="s">
        <v>570</v>
      </c>
      <c r="B1227" s="129" t="s">
        <v>4088</v>
      </c>
      <c r="C1227" s="129"/>
      <c r="D1227" s="129" t="s">
        <v>767</v>
      </c>
      <c r="E1227" s="130"/>
      <c r="F1227" s="129" t="s">
        <v>567</v>
      </c>
      <c r="G1227" s="130" t="s">
        <v>838</v>
      </c>
      <c r="H1227" s="130">
        <v>42256</v>
      </c>
      <c r="I1227" s="129" t="s">
        <v>3990</v>
      </c>
      <c r="J1227" s="129">
        <v>60201</v>
      </c>
      <c r="K1227" s="130" t="s">
        <v>4089</v>
      </c>
      <c r="L1227" s="134" t="s">
        <v>570</v>
      </c>
      <c r="M1227" s="134" t="s">
        <v>570</v>
      </c>
      <c r="N1227" s="134" t="s">
        <v>570</v>
      </c>
      <c r="O1227" s="134" t="s">
        <v>570</v>
      </c>
      <c r="P1227" s="409" t="s">
        <v>570</v>
      </c>
      <c r="Q1227" s="26"/>
      <c r="R1227" s="26"/>
      <c r="S1227" s="26"/>
      <c r="T1227" s="500" t="e">
        <f>_xlfn.XLOOKUP(H1227,#REF!,#REF!,0,0)</f>
        <v>#REF!</v>
      </c>
    </row>
    <row r="1228" spans="1:20" x14ac:dyDescent="0.4">
      <c r="A1228" s="129" t="s">
        <v>570</v>
      </c>
      <c r="B1228" s="129" t="s">
        <v>4090</v>
      </c>
      <c r="C1228" s="129"/>
      <c r="D1228" s="129" t="s">
        <v>767</v>
      </c>
      <c r="E1228" s="130"/>
      <c r="F1228" s="129" t="s">
        <v>567</v>
      </c>
      <c r="G1228" s="130" t="s">
        <v>4091</v>
      </c>
      <c r="H1228" s="130">
        <v>42397</v>
      </c>
      <c r="I1228" s="129" t="s">
        <v>4030</v>
      </c>
      <c r="J1228" s="129">
        <v>60937</v>
      </c>
      <c r="K1228" s="130" t="s">
        <v>4032</v>
      </c>
      <c r="L1228" s="134" t="s">
        <v>570</v>
      </c>
      <c r="M1228" s="134" t="s">
        <v>570</v>
      </c>
      <c r="N1228" s="134" t="s">
        <v>570</v>
      </c>
      <c r="O1228" s="134" t="s">
        <v>570</v>
      </c>
      <c r="P1228" s="409" t="s">
        <v>570</v>
      </c>
      <c r="Q1228" s="26"/>
      <c r="R1228" s="26"/>
      <c r="S1228" s="26"/>
      <c r="T1228" s="500" t="e">
        <f>_xlfn.XLOOKUP(H1228,#REF!,#REF!,0,0)</f>
        <v>#REF!</v>
      </c>
    </row>
    <row r="1229" spans="1:20" x14ac:dyDescent="0.4">
      <c r="A1229" s="129" t="s">
        <v>570</v>
      </c>
      <c r="B1229" s="129" t="s">
        <v>4092</v>
      </c>
      <c r="C1229" s="129"/>
      <c r="D1229" s="129" t="s">
        <v>767</v>
      </c>
      <c r="E1229" s="130"/>
      <c r="F1229" s="129" t="s">
        <v>567</v>
      </c>
      <c r="G1229" s="130" t="s">
        <v>4091</v>
      </c>
      <c r="H1229" s="130">
        <v>42397</v>
      </c>
      <c r="I1229" s="129" t="s">
        <v>4034</v>
      </c>
      <c r="J1229" s="129">
        <v>60938</v>
      </c>
      <c r="K1229" s="130" t="s">
        <v>4036</v>
      </c>
      <c r="L1229" s="134" t="s">
        <v>570</v>
      </c>
      <c r="M1229" s="134" t="s">
        <v>570</v>
      </c>
      <c r="N1229" s="134" t="s">
        <v>570</v>
      </c>
      <c r="O1229" s="134" t="s">
        <v>570</v>
      </c>
      <c r="P1229" s="409" t="s">
        <v>570</v>
      </c>
      <c r="Q1229" s="26"/>
      <c r="R1229" s="26"/>
      <c r="S1229" s="26"/>
      <c r="T1229" s="500" t="e">
        <f>_xlfn.XLOOKUP(H1229,#REF!,#REF!,0,0)</f>
        <v>#REF!</v>
      </c>
    </row>
    <row r="1230" spans="1:20" x14ac:dyDescent="0.4">
      <c r="A1230" s="129" t="s">
        <v>570</v>
      </c>
      <c r="B1230" s="129" t="s">
        <v>4093</v>
      </c>
      <c r="C1230" s="129"/>
      <c r="D1230" s="129" t="s">
        <v>767</v>
      </c>
      <c r="E1230" s="130"/>
      <c r="F1230" s="129" t="s">
        <v>567</v>
      </c>
      <c r="G1230" s="130" t="s">
        <v>4091</v>
      </c>
      <c r="H1230" s="130">
        <v>42397</v>
      </c>
      <c r="I1230" s="129" t="s">
        <v>842</v>
      </c>
      <c r="J1230" s="129">
        <v>60939</v>
      </c>
      <c r="K1230" s="130" t="s">
        <v>843</v>
      </c>
      <c r="L1230" s="134" t="s">
        <v>570</v>
      </c>
      <c r="M1230" s="134" t="s">
        <v>570</v>
      </c>
      <c r="N1230" s="134" t="s">
        <v>570</v>
      </c>
      <c r="O1230" s="134" t="s">
        <v>570</v>
      </c>
      <c r="P1230" s="409" t="s">
        <v>570</v>
      </c>
      <c r="Q1230" s="26"/>
      <c r="R1230" s="26"/>
      <c r="S1230" s="26"/>
      <c r="T1230" s="500" t="e">
        <f>_xlfn.XLOOKUP(H1230,#REF!,#REF!,0,0)</f>
        <v>#REF!</v>
      </c>
    </row>
    <row r="1231" spans="1:20" x14ac:dyDescent="0.4">
      <c r="A1231" s="134" t="s">
        <v>570</v>
      </c>
      <c r="B1231" s="134" t="s">
        <v>4094</v>
      </c>
      <c r="C1231" s="134"/>
      <c r="D1231" s="134"/>
      <c r="E1231" s="18" t="s">
        <v>4095</v>
      </c>
      <c r="F1231" s="10">
        <v>41731</v>
      </c>
      <c r="G1231" s="18" t="s">
        <v>4096</v>
      </c>
      <c r="H1231" s="18">
        <v>58825</v>
      </c>
      <c r="I1231" s="134" t="s">
        <v>4097</v>
      </c>
      <c r="J1231" s="134" t="s">
        <v>4098</v>
      </c>
      <c r="K1231" s="18" t="s">
        <v>570</v>
      </c>
      <c r="L1231" s="134" t="s">
        <v>570</v>
      </c>
      <c r="M1231" s="134" t="s">
        <v>570</v>
      </c>
      <c r="N1231" s="134" t="s">
        <v>570</v>
      </c>
      <c r="O1231" s="134" t="s">
        <v>570</v>
      </c>
      <c r="P1231" s="449"/>
      <c r="Q1231" s="26"/>
      <c r="R1231" s="26"/>
      <c r="S1231" s="26"/>
      <c r="T1231" s="500" t="e">
        <f>_xlfn.XLOOKUP(H1231,#REF!,#REF!,0,0)</f>
        <v>#REF!</v>
      </c>
    </row>
    <row r="1232" spans="1:20" x14ac:dyDescent="0.4">
      <c r="A1232" s="134" t="s">
        <v>570</v>
      </c>
      <c r="B1232" s="134" t="s">
        <v>4099</v>
      </c>
      <c r="C1232" s="134"/>
      <c r="D1232" s="134"/>
      <c r="E1232" s="18" t="s">
        <v>4095</v>
      </c>
      <c r="F1232" s="10">
        <v>41731</v>
      </c>
      <c r="G1232" s="18" t="s">
        <v>4100</v>
      </c>
      <c r="H1232" s="18">
        <v>58826</v>
      </c>
      <c r="I1232" s="134" t="s">
        <v>4101</v>
      </c>
      <c r="J1232" s="134" t="s">
        <v>4102</v>
      </c>
      <c r="K1232" s="18" t="s">
        <v>570</v>
      </c>
      <c r="L1232" s="134" t="s">
        <v>570</v>
      </c>
      <c r="M1232" s="134" t="s">
        <v>570</v>
      </c>
      <c r="N1232" s="134" t="s">
        <v>570</v>
      </c>
      <c r="O1232" s="134" t="s">
        <v>570</v>
      </c>
      <c r="P1232" s="449"/>
      <c r="Q1232" s="26"/>
      <c r="R1232" s="26"/>
      <c r="S1232" s="26"/>
      <c r="T1232" s="500" t="e">
        <f>_xlfn.XLOOKUP(H1232,#REF!,#REF!,0,0)</f>
        <v>#REF!</v>
      </c>
    </row>
    <row r="1233" spans="1:20" x14ac:dyDescent="0.4">
      <c r="A1233" s="134" t="s">
        <v>570</v>
      </c>
      <c r="B1233" s="134" t="s">
        <v>4103</v>
      </c>
      <c r="C1233" s="134"/>
      <c r="D1233" s="134"/>
      <c r="E1233" s="18" t="s">
        <v>4095</v>
      </c>
      <c r="F1233" s="10">
        <v>41731</v>
      </c>
      <c r="G1233" s="18" t="s">
        <v>4104</v>
      </c>
      <c r="H1233" s="18">
        <v>58827</v>
      </c>
      <c r="I1233" s="134" t="s">
        <v>4105</v>
      </c>
      <c r="J1233" s="134" t="s">
        <v>4106</v>
      </c>
      <c r="K1233" s="18" t="s">
        <v>570</v>
      </c>
      <c r="L1233" s="134" t="s">
        <v>570</v>
      </c>
      <c r="M1233" s="134" t="s">
        <v>570</v>
      </c>
      <c r="N1233" s="134" t="s">
        <v>570</v>
      </c>
      <c r="O1233" s="134" t="s">
        <v>570</v>
      </c>
      <c r="P1233" s="449"/>
      <c r="Q1233" s="26"/>
      <c r="R1233" s="26"/>
      <c r="S1233" s="26"/>
      <c r="T1233" s="500" t="e">
        <f>_xlfn.XLOOKUP(H1233,#REF!,#REF!,0,0)</f>
        <v>#REF!</v>
      </c>
    </row>
    <row r="1234" spans="1:20" x14ac:dyDescent="0.4">
      <c r="A1234" s="134" t="s">
        <v>570</v>
      </c>
      <c r="B1234" s="134" t="s">
        <v>3683</v>
      </c>
      <c r="C1234" s="134"/>
      <c r="D1234" s="134"/>
      <c r="E1234" s="18" t="s">
        <v>4095</v>
      </c>
      <c r="F1234" s="10">
        <v>41765</v>
      </c>
      <c r="G1234" s="18" t="s">
        <v>4107</v>
      </c>
      <c r="H1234" s="18">
        <v>58901</v>
      </c>
      <c r="I1234" s="134" t="s">
        <v>4108</v>
      </c>
      <c r="J1234" s="134" t="s">
        <v>4109</v>
      </c>
      <c r="K1234" s="18" t="s">
        <v>570</v>
      </c>
      <c r="L1234" s="134" t="s">
        <v>570</v>
      </c>
      <c r="M1234" s="134" t="s">
        <v>570</v>
      </c>
      <c r="N1234" s="134" t="s">
        <v>570</v>
      </c>
      <c r="O1234" s="134" t="s">
        <v>570</v>
      </c>
      <c r="P1234" s="449"/>
      <c r="Q1234" s="26"/>
      <c r="R1234" s="26"/>
      <c r="S1234" s="26"/>
      <c r="T1234" s="500" t="e">
        <f>_xlfn.XLOOKUP(H1234,#REF!,#REF!,0,0)</f>
        <v>#REF!</v>
      </c>
    </row>
    <row r="1235" spans="1:20" x14ac:dyDescent="0.4">
      <c r="A1235" s="134" t="s">
        <v>570</v>
      </c>
      <c r="B1235" s="134" t="s">
        <v>4110</v>
      </c>
      <c r="C1235" s="134"/>
      <c r="D1235" s="134"/>
      <c r="E1235" s="18" t="s">
        <v>4095</v>
      </c>
      <c r="F1235" s="10">
        <v>41765</v>
      </c>
      <c r="G1235" s="18" t="s">
        <v>4111</v>
      </c>
      <c r="H1235" s="18">
        <v>58902</v>
      </c>
      <c r="I1235" s="134" t="s">
        <v>4112</v>
      </c>
      <c r="J1235" s="134" t="s">
        <v>4113</v>
      </c>
      <c r="K1235" s="18" t="s">
        <v>570</v>
      </c>
      <c r="L1235" s="134" t="s">
        <v>570</v>
      </c>
      <c r="M1235" s="134" t="s">
        <v>570</v>
      </c>
      <c r="N1235" s="134" t="s">
        <v>570</v>
      </c>
      <c r="O1235" s="134" t="s">
        <v>570</v>
      </c>
      <c r="P1235" s="449"/>
      <c r="Q1235" s="26"/>
      <c r="R1235" s="26"/>
      <c r="S1235" s="26"/>
      <c r="T1235" s="500" t="e">
        <f>_xlfn.XLOOKUP(H1235,#REF!,#REF!,0,0)</f>
        <v>#REF!</v>
      </c>
    </row>
    <row r="1236" spans="1:20" x14ac:dyDescent="0.4">
      <c r="A1236" s="134" t="s">
        <v>570</v>
      </c>
      <c r="B1236" s="134" t="s">
        <v>4114</v>
      </c>
      <c r="C1236" s="134"/>
      <c r="D1236" s="134"/>
      <c r="E1236" s="18" t="s">
        <v>4095</v>
      </c>
      <c r="F1236" s="10">
        <v>41765</v>
      </c>
      <c r="G1236" s="18" t="s">
        <v>4115</v>
      </c>
      <c r="H1236" s="18">
        <v>58903</v>
      </c>
      <c r="I1236" s="134" t="s">
        <v>4116</v>
      </c>
      <c r="J1236" s="134" t="s">
        <v>4117</v>
      </c>
      <c r="K1236" s="18" t="s">
        <v>570</v>
      </c>
      <c r="L1236" s="134" t="s">
        <v>570</v>
      </c>
      <c r="M1236" s="134" t="s">
        <v>570</v>
      </c>
      <c r="N1236" s="134" t="s">
        <v>570</v>
      </c>
      <c r="O1236" s="134" t="s">
        <v>570</v>
      </c>
      <c r="P1236" s="449"/>
      <c r="Q1236" s="26"/>
      <c r="R1236" s="26"/>
      <c r="S1236" s="26"/>
      <c r="T1236" s="500" t="e">
        <f>_xlfn.XLOOKUP(H1236,#REF!,#REF!,0,0)</f>
        <v>#REF!</v>
      </c>
    </row>
    <row r="1237" spans="1:20" x14ac:dyDescent="0.4">
      <c r="A1237" s="134" t="s">
        <v>570</v>
      </c>
      <c r="B1237" s="135" t="s">
        <v>4118</v>
      </c>
      <c r="C1237" s="135"/>
      <c r="D1237" s="134"/>
      <c r="E1237" s="18" t="s">
        <v>4095</v>
      </c>
      <c r="F1237" s="10">
        <v>41765</v>
      </c>
      <c r="G1237" s="18" t="s">
        <v>34</v>
      </c>
      <c r="H1237" s="18">
        <v>58904</v>
      </c>
      <c r="I1237" s="134" t="s">
        <v>4116</v>
      </c>
      <c r="J1237" s="134" t="s">
        <v>4119</v>
      </c>
      <c r="K1237" s="18" t="s">
        <v>570</v>
      </c>
      <c r="L1237" s="134" t="s">
        <v>570</v>
      </c>
      <c r="M1237" s="134" t="s">
        <v>570</v>
      </c>
      <c r="N1237" s="134" t="s">
        <v>570</v>
      </c>
      <c r="O1237" s="134" t="s">
        <v>570</v>
      </c>
      <c r="P1237" s="449"/>
      <c r="Q1237" s="26"/>
      <c r="R1237" s="26"/>
      <c r="S1237" s="26"/>
      <c r="T1237" s="500" t="e">
        <f>_xlfn.XLOOKUP(H1237,#REF!,#REF!,0,0)</f>
        <v>#REF!</v>
      </c>
    </row>
    <row r="1238" spans="1:20" x14ac:dyDescent="0.4">
      <c r="A1238" s="134" t="s">
        <v>570</v>
      </c>
      <c r="B1238" s="134" t="s">
        <v>4120</v>
      </c>
      <c r="C1238" s="134"/>
      <c r="D1238" s="134"/>
      <c r="E1238" s="18" t="s">
        <v>4095</v>
      </c>
      <c r="F1238" s="10">
        <v>41765</v>
      </c>
      <c r="G1238" s="18" t="s">
        <v>4121</v>
      </c>
      <c r="H1238" s="18">
        <v>58905</v>
      </c>
      <c r="I1238" s="134" t="s">
        <v>4112</v>
      </c>
      <c r="J1238" s="134" t="s">
        <v>4122</v>
      </c>
      <c r="K1238" s="18" t="s">
        <v>570</v>
      </c>
      <c r="L1238" s="134" t="s">
        <v>570</v>
      </c>
      <c r="M1238" s="134" t="s">
        <v>570</v>
      </c>
      <c r="N1238" s="134" t="s">
        <v>570</v>
      </c>
      <c r="O1238" s="134" t="s">
        <v>570</v>
      </c>
      <c r="P1238" s="449"/>
      <c r="Q1238" s="26"/>
      <c r="R1238" s="26"/>
      <c r="S1238" s="26"/>
      <c r="T1238" s="500" t="e">
        <f>_xlfn.XLOOKUP(H1238,#REF!,#REF!,0,0)</f>
        <v>#REF!</v>
      </c>
    </row>
    <row r="1239" spans="1:20" x14ac:dyDescent="0.4">
      <c r="A1239" s="134" t="s">
        <v>570</v>
      </c>
      <c r="B1239" s="134" t="s">
        <v>4123</v>
      </c>
      <c r="C1239" s="134"/>
      <c r="D1239" s="134" t="s">
        <v>567</v>
      </c>
      <c r="E1239" s="18" t="s">
        <v>4124</v>
      </c>
      <c r="F1239" s="10">
        <v>41841</v>
      </c>
      <c r="G1239" s="18" t="s">
        <v>783</v>
      </c>
      <c r="H1239" s="18">
        <v>59073</v>
      </c>
      <c r="I1239" s="134" t="s">
        <v>4125</v>
      </c>
      <c r="J1239" s="134" t="s">
        <v>784</v>
      </c>
      <c r="K1239" s="18" t="s">
        <v>570</v>
      </c>
      <c r="L1239" s="134" t="s">
        <v>570</v>
      </c>
      <c r="M1239" s="134" t="s">
        <v>570</v>
      </c>
      <c r="N1239" s="134" t="s">
        <v>570</v>
      </c>
      <c r="O1239" s="134" t="s">
        <v>570</v>
      </c>
      <c r="P1239" s="449"/>
      <c r="Q1239" s="26"/>
      <c r="R1239" s="26"/>
      <c r="S1239" s="26"/>
      <c r="T1239" s="500" t="e">
        <f>_xlfn.XLOOKUP(H1239,#REF!,#REF!,0,0)</f>
        <v>#REF!</v>
      </c>
    </row>
    <row r="1240" spans="1:20" x14ac:dyDescent="0.4">
      <c r="A1240" s="134" t="s">
        <v>570</v>
      </c>
      <c r="B1240" s="134" t="s">
        <v>4126</v>
      </c>
      <c r="C1240" s="134"/>
      <c r="D1240" s="134" t="s">
        <v>567</v>
      </c>
      <c r="E1240" s="18" t="s">
        <v>4124</v>
      </c>
      <c r="F1240" s="10">
        <v>41841</v>
      </c>
      <c r="G1240" s="18" t="s">
        <v>4127</v>
      </c>
      <c r="H1240" s="18">
        <v>59069</v>
      </c>
      <c r="I1240" s="134" t="s">
        <v>4128</v>
      </c>
      <c r="J1240" s="134" t="s">
        <v>4129</v>
      </c>
      <c r="K1240" s="18" t="s">
        <v>570</v>
      </c>
      <c r="L1240" s="134" t="s">
        <v>570</v>
      </c>
      <c r="M1240" s="134" t="s">
        <v>570</v>
      </c>
      <c r="N1240" s="134" t="s">
        <v>570</v>
      </c>
      <c r="O1240" s="134" t="s">
        <v>570</v>
      </c>
      <c r="P1240" s="449"/>
      <c r="Q1240" s="26"/>
      <c r="R1240" s="26"/>
      <c r="S1240" s="26"/>
      <c r="T1240" s="500" t="e">
        <f>_xlfn.XLOOKUP(H1240,#REF!,#REF!,0,0)</f>
        <v>#REF!</v>
      </c>
    </row>
    <row r="1241" spans="1:20" x14ac:dyDescent="0.4">
      <c r="A1241" s="134" t="s">
        <v>570</v>
      </c>
      <c r="B1241" s="134" t="s">
        <v>4130</v>
      </c>
      <c r="C1241" s="134"/>
      <c r="D1241" s="134" t="s">
        <v>567</v>
      </c>
      <c r="E1241" s="18" t="s">
        <v>4124</v>
      </c>
      <c r="F1241" s="10">
        <v>41841</v>
      </c>
      <c r="G1241" s="18" t="s">
        <v>4131</v>
      </c>
      <c r="H1241" s="18">
        <v>59076</v>
      </c>
      <c r="I1241" s="134" t="s">
        <v>4132</v>
      </c>
      <c r="J1241" s="134" t="s">
        <v>4133</v>
      </c>
      <c r="K1241" s="18" t="s">
        <v>570</v>
      </c>
      <c r="L1241" s="134" t="s">
        <v>570</v>
      </c>
      <c r="M1241" s="134" t="s">
        <v>570</v>
      </c>
      <c r="N1241" s="134" t="s">
        <v>570</v>
      </c>
      <c r="O1241" s="134" t="s">
        <v>570</v>
      </c>
      <c r="P1241" s="449"/>
      <c r="Q1241" s="26"/>
      <c r="R1241" s="26"/>
      <c r="S1241" s="26"/>
      <c r="T1241" s="500" t="e">
        <f>_xlfn.XLOOKUP(H1241,#REF!,#REF!,0,0)</f>
        <v>#REF!</v>
      </c>
    </row>
    <row r="1242" spans="1:20" x14ac:dyDescent="0.4">
      <c r="A1242" s="134" t="s">
        <v>570</v>
      </c>
      <c r="B1242" s="134" t="s">
        <v>4134</v>
      </c>
      <c r="C1242" s="134"/>
      <c r="D1242" s="134" t="s">
        <v>567</v>
      </c>
      <c r="E1242" s="18" t="s">
        <v>4124</v>
      </c>
      <c r="F1242" s="10">
        <v>41841</v>
      </c>
      <c r="G1242" s="18" t="s">
        <v>4135</v>
      </c>
      <c r="H1242" s="18">
        <v>59074</v>
      </c>
      <c r="I1242" s="134" t="s">
        <v>4136</v>
      </c>
      <c r="J1242" s="134" t="s">
        <v>4137</v>
      </c>
      <c r="K1242" s="18" t="s">
        <v>570</v>
      </c>
      <c r="L1242" s="134" t="s">
        <v>570</v>
      </c>
      <c r="M1242" s="134" t="s">
        <v>570</v>
      </c>
      <c r="N1242" s="134" t="s">
        <v>570</v>
      </c>
      <c r="O1242" s="134" t="s">
        <v>570</v>
      </c>
      <c r="P1242" s="449"/>
      <c r="Q1242" s="26"/>
      <c r="R1242" s="26"/>
      <c r="S1242" s="26"/>
      <c r="T1242" s="500" t="e">
        <f>_xlfn.XLOOKUP(H1242,#REF!,#REF!,0,0)</f>
        <v>#REF!</v>
      </c>
    </row>
    <row r="1243" spans="1:20" x14ac:dyDescent="0.4">
      <c r="A1243" s="134" t="s">
        <v>570</v>
      </c>
      <c r="B1243" s="134" t="s">
        <v>4138</v>
      </c>
      <c r="C1243" s="134"/>
      <c r="D1243" s="134" t="s">
        <v>567</v>
      </c>
      <c r="E1243" s="18" t="s">
        <v>4124</v>
      </c>
      <c r="F1243" s="10">
        <v>41841</v>
      </c>
      <c r="G1243" s="18" t="s">
        <v>4139</v>
      </c>
      <c r="H1243" s="18">
        <v>59070</v>
      </c>
      <c r="I1243" s="134" t="s">
        <v>4140</v>
      </c>
      <c r="J1243" s="134" t="s">
        <v>4141</v>
      </c>
      <c r="K1243" s="18" t="s">
        <v>570</v>
      </c>
      <c r="L1243" s="134" t="s">
        <v>570</v>
      </c>
      <c r="M1243" s="134" t="s">
        <v>570</v>
      </c>
      <c r="N1243" s="134" t="s">
        <v>570</v>
      </c>
      <c r="O1243" s="134" t="s">
        <v>570</v>
      </c>
      <c r="P1243" s="449"/>
      <c r="Q1243" s="26"/>
      <c r="R1243" s="26"/>
      <c r="S1243" s="26"/>
      <c r="T1243" s="500" t="e">
        <f>_xlfn.XLOOKUP(H1243,#REF!,#REF!,0,0)</f>
        <v>#REF!</v>
      </c>
    </row>
    <row r="1244" spans="1:20" x14ac:dyDescent="0.4">
      <c r="A1244" s="134" t="s">
        <v>570</v>
      </c>
      <c r="B1244" s="134" t="s">
        <v>4142</v>
      </c>
      <c r="C1244" s="134"/>
      <c r="D1244" s="134" t="s">
        <v>567</v>
      </c>
      <c r="E1244" s="18" t="s">
        <v>4124</v>
      </c>
      <c r="F1244" s="10">
        <v>41841</v>
      </c>
      <c r="G1244" s="18" t="s">
        <v>4143</v>
      </c>
      <c r="H1244" s="18">
        <v>59071</v>
      </c>
      <c r="I1244" s="134" t="s">
        <v>4144</v>
      </c>
      <c r="J1244" s="134" t="s">
        <v>4145</v>
      </c>
      <c r="K1244" s="18" t="s">
        <v>570</v>
      </c>
      <c r="L1244" s="134" t="s">
        <v>570</v>
      </c>
      <c r="M1244" s="134" t="s">
        <v>570</v>
      </c>
      <c r="N1244" s="134" t="s">
        <v>570</v>
      </c>
      <c r="O1244" s="134" t="s">
        <v>570</v>
      </c>
      <c r="P1244" s="449"/>
      <c r="Q1244" s="26"/>
      <c r="R1244" s="26"/>
      <c r="S1244" s="26"/>
      <c r="T1244" s="500" t="e">
        <f>_xlfn.XLOOKUP(H1244,#REF!,#REF!,0,0)</f>
        <v>#REF!</v>
      </c>
    </row>
    <row r="1245" spans="1:20" x14ac:dyDescent="0.4">
      <c r="A1245" s="134" t="s">
        <v>570</v>
      </c>
      <c r="B1245" s="134" t="s">
        <v>4146</v>
      </c>
      <c r="C1245" s="134"/>
      <c r="D1245" s="134" t="s">
        <v>567</v>
      </c>
      <c r="E1245" s="18" t="s">
        <v>4124</v>
      </c>
      <c r="F1245" s="10">
        <v>41841</v>
      </c>
      <c r="G1245" s="18" t="s">
        <v>4147</v>
      </c>
      <c r="H1245" s="18">
        <v>59067</v>
      </c>
      <c r="I1245" s="134" t="s">
        <v>4148</v>
      </c>
      <c r="J1245" s="134" t="s">
        <v>4149</v>
      </c>
      <c r="K1245" s="18" t="s">
        <v>570</v>
      </c>
      <c r="L1245" s="134" t="s">
        <v>570</v>
      </c>
      <c r="M1245" s="134" t="s">
        <v>570</v>
      </c>
      <c r="N1245" s="134" t="s">
        <v>570</v>
      </c>
      <c r="O1245" s="134" t="s">
        <v>570</v>
      </c>
      <c r="P1245" s="449"/>
      <c r="Q1245" s="26"/>
      <c r="R1245" s="26"/>
      <c r="S1245" s="26"/>
      <c r="T1245" s="500" t="e">
        <f>_xlfn.XLOOKUP(H1245,#REF!,#REF!,0,0)</f>
        <v>#REF!</v>
      </c>
    </row>
    <row r="1246" spans="1:20" x14ac:dyDescent="0.4">
      <c r="A1246" s="134" t="s">
        <v>570</v>
      </c>
      <c r="B1246" s="134" t="s">
        <v>4150</v>
      </c>
      <c r="C1246" s="134"/>
      <c r="D1246" s="134" t="s">
        <v>567</v>
      </c>
      <c r="E1246" s="18" t="s">
        <v>4124</v>
      </c>
      <c r="F1246" s="10">
        <v>41841</v>
      </c>
      <c r="G1246" s="18" t="s">
        <v>37</v>
      </c>
      <c r="H1246" s="18">
        <v>59072</v>
      </c>
      <c r="I1246" s="134" t="s">
        <v>4151</v>
      </c>
      <c r="J1246" s="134" t="s">
        <v>4152</v>
      </c>
      <c r="K1246" s="18" t="s">
        <v>570</v>
      </c>
      <c r="L1246" s="134" t="s">
        <v>570</v>
      </c>
      <c r="M1246" s="134" t="s">
        <v>570</v>
      </c>
      <c r="N1246" s="134" t="s">
        <v>570</v>
      </c>
      <c r="O1246" s="134" t="s">
        <v>570</v>
      </c>
      <c r="P1246" s="449"/>
      <c r="Q1246" s="26"/>
      <c r="R1246" s="26"/>
      <c r="S1246" s="26"/>
      <c r="T1246" s="500" t="e">
        <f>_xlfn.XLOOKUP(H1246,#REF!,#REF!,0,0)</f>
        <v>#REF!</v>
      </c>
    </row>
    <row r="1247" spans="1:20" x14ac:dyDescent="0.4">
      <c r="A1247" s="134" t="s">
        <v>570</v>
      </c>
      <c r="B1247" s="134" t="s">
        <v>4153</v>
      </c>
      <c r="C1247" s="134"/>
      <c r="D1247" s="134" t="s">
        <v>567</v>
      </c>
      <c r="E1247" s="18" t="s">
        <v>4124</v>
      </c>
      <c r="F1247" s="10">
        <v>41841</v>
      </c>
      <c r="G1247" s="18" t="s">
        <v>4154</v>
      </c>
      <c r="H1247" s="18">
        <v>59068</v>
      </c>
      <c r="I1247" s="134" t="s">
        <v>4155</v>
      </c>
      <c r="J1247" s="134" t="s">
        <v>4156</v>
      </c>
      <c r="K1247" s="18" t="s">
        <v>570</v>
      </c>
      <c r="L1247" s="134" t="s">
        <v>570</v>
      </c>
      <c r="M1247" s="134" t="s">
        <v>570</v>
      </c>
      <c r="N1247" s="134" t="s">
        <v>570</v>
      </c>
      <c r="O1247" s="134" t="s">
        <v>570</v>
      </c>
      <c r="P1247" s="449"/>
      <c r="Q1247" s="26"/>
      <c r="R1247" s="26"/>
      <c r="S1247" s="26"/>
      <c r="T1247" s="500" t="e">
        <f>_xlfn.XLOOKUP(H1247,#REF!,#REF!,0,0)</f>
        <v>#REF!</v>
      </c>
    </row>
    <row r="1248" spans="1:20" x14ac:dyDescent="0.4">
      <c r="A1248" s="134" t="s">
        <v>570</v>
      </c>
      <c r="B1248" s="134" t="s">
        <v>4157</v>
      </c>
      <c r="C1248" s="134"/>
      <c r="D1248" s="134" t="s">
        <v>567</v>
      </c>
      <c r="E1248" s="18" t="s">
        <v>4158</v>
      </c>
      <c r="F1248" s="10">
        <v>41927</v>
      </c>
      <c r="G1248" s="18" t="s">
        <v>4159</v>
      </c>
      <c r="H1248" s="18">
        <v>59365</v>
      </c>
      <c r="I1248" s="134" t="s">
        <v>4160</v>
      </c>
      <c r="J1248" s="134" t="s">
        <v>4161</v>
      </c>
      <c r="K1248" s="18" t="s">
        <v>570</v>
      </c>
      <c r="L1248" s="134" t="s">
        <v>570</v>
      </c>
      <c r="M1248" s="134" t="s">
        <v>570</v>
      </c>
      <c r="N1248" s="134" t="s">
        <v>570</v>
      </c>
      <c r="O1248" s="134" t="s">
        <v>570</v>
      </c>
      <c r="P1248" s="449"/>
      <c r="Q1248" s="26"/>
      <c r="R1248" s="26"/>
      <c r="S1248" s="26"/>
      <c r="T1248" s="500" t="e">
        <f>_xlfn.XLOOKUP(H1248,#REF!,#REF!,0,0)</f>
        <v>#REF!</v>
      </c>
    </row>
    <row r="1249" spans="1:20" x14ac:dyDescent="0.4">
      <c r="A1249" s="134" t="s">
        <v>570</v>
      </c>
      <c r="B1249" s="134" t="s">
        <v>4162</v>
      </c>
      <c r="C1249" s="134"/>
      <c r="D1249" s="134" t="s">
        <v>567</v>
      </c>
      <c r="E1249" s="18" t="s">
        <v>4124</v>
      </c>
      <c r="F1249" s="10">
        <v>41841</v>
      </c>
      <c r="G1249" s="18" t="s">
        <v>4163</v>
      </c>
      <c r="H1249" s="18">
        <v>59075</v>
      </c>
      <c r="I1249" s="134" t="s">
        <v>4164</v>
      </c>
      <c r="J1249" s="134" t="s">
        <v>4165</v>
      </c>
      <c r="K1249" s="18" t="s">
        <v>570</v>
      </c>
      <c r="L1249" s="134" t="s">
        <v>570</v>
      </c>
      <c r="M1249" s="134" t="s">
        <v>570</v>
      </c>
      <c r="N1249" s="134" t="s">
        <v>570</v>
      </c>
      <c r="O1249" s="134" t="s">
        <v>570</v>
      </c>
      <c r="P1249" s="449"/>
      <c r="Q1249" s="26"/>
      <c r="R1249" s="26"/>
      <c r="S1249" s="26"/>
      <c r="T1249" s="500" t="e">
        <f>_xlfn.XLOOKUP(H1249,#REF!,#REF!,0,0)</f>
        <v>#REF!</v>
      </c>
    </row>
    <row r="1250" spans="1:20" x14ac:dyDescent="0.4">
      <c r="A1250" s="134" t="s">
        <v>570</v>
      </c>
      <c r="B1250" s="134" t="s">
        <v>4166</v>
      </c>
      <c r="C1250" s="134"/>
      <c r="D1250" s="134" t="s">
        <v>5</v>
      </c>
      <c r="E1250" s="18" t="s">
        <v>4167</v>
      </c>
      <c r="F1250" s="10" t="s">
        <v>3718</v>
      </c>
      <c r="G1250" s="18" t="s">
        <v>4168</v>
      </c>
      <c r="H1250" s="18">
        <v>55383</v>
      </c>
      <c r="I1250" s="134" t="s">
        <v>4169</v>
      </c>
      <c r="J1250" s="134" t="s">
        <v>3718</v>
      </c>
      <c r="K1250" s="18" t="s">
        <v>570</v>
      </c>
      <c r="L1250" s="134" t="s">
        <v>570</v>
      </c>
      <c r="M1250" s="134" t="s">
        <v>570</v>
      </c>
      <c r="N1250" s="134" t="s">
        <v>570</v>
      </c>
      <c r="O1250" s="134" t="s">
        <v>570</v>
      </c>
      <c r="P1250" s="449"/>
      <c r="Q1250" s="26"/>
      <c r="R1250" s="26"/>
      <c r="S1250" s="26"/>
      <c r="T1250" s="500" t="e">
        <f>_xlfn.XLOOKUP(H1250,#REF!,#REF!,0,0)</f>
        <v>#REF!</v>
      </c>
    </row>
    <row r="1251" spans="1:20" x14ac:dyDescent="0.4">
      <c r="A1251" s="134" t="s">
        <v>570</v>
      </c>
      <c r="B1251" s="134" t="s">
        <v>4170</v>
      </c>
      <c r="C1251" s="134"/>
      <c r="D1251" s="134" t="s">
        <v>4171</v>
      </c>
      <c r="E1251" s="18"/>
      <c r="F1251" s="10" t="s">
        <v>4172</v>
      </c>
      <c r="G1251" s="18">
        <v>56150</v>
      </c>
      <c r="H1251" s="18" t="s">
        <v>4173</v>
      </c>
      <c r="I1251" s="134" t="s">
        <v>4174</v>
      </c>
      <c r="J1251" s="134" t="s">
        <v>570</v>
      </c>
      <c r="K1251" s="18" t="s">
        <v>570</v>
      </c>
      <c r="L1251" s="134" t="s">
        <v>570</v>
      </c>
      <c r="M1251" s="134" t="s">
        <v>570</v>
      </c>
      <c r="N1251" s="134" t="s">
        <v>570</v>
      </c>
      <c r="O1251" s="134" t="s">
        <v>570</v>
      </c>
      <c r="P1251" s="449"/>
      <c r="Q1251" s="26"/>
      <c r="R1251" s="26"/>
      <c r="S1251" s="26"/>
      <c r="T1251" s="500" t="e">
        <f>_xlfn.XLOOKUP(H1251,#REF!,#REF!,0,0)</f>
        <v>#REF!</v>
      </c>
    </row>
    <row r="1252" spans="1:20" x14ac:dyDescent="0.4">
      <c r="A1252" s="134" t="s">
        <v>570</v>
      </c>
      <c r="B1252" s="134" t="s">
        <v>4175</v>
      </c>
      <c r="C1252" s="134"/>
      <c r="D1252" s="134" t="s">
        <v>4176</v>
      </c>
      <c r="E1252" s="18">
        <v>41218</v>
      </c>
      <c r="F1252" s="10" t="s">
        <v>4177</v>
      </c>
      <c r="G1252" s="18" t="s">
        <v>4178</v>
      </c>
      <c r="H1252" s="18" t="s">
        <v>4179</v>
      </c>
      <c r="I1252" s="134" t="s">
        <v>4180</v>
      </c>
      <c r="J1252" s="134" t="s">
        <v>570</v>
      </c>
      <c r="K1252" s="18" t="s">
        <v>570</v>
      </c>
      <c r="L1252" s="134" t="s">
        <v>570</v>
      </c>
      <c r="M1252" s="134" t="s">
        <v>570</v>
      </c>
      <c r="N1252" s="134" t="s">
        <v>570</v>
      </c>
      <c r="O1252" s="134" t="s">
        <v>570</v>
      </c>
      <c r="P1252" s="449"/>
      <c r="Q1252" s="26"/>
      <c r="R1252" s="26"/>
      <c r="S1252" s="26"/>
      <c r="T1252" s="500" t="e">
        <f>_xlfn.XLOOKUP(H1252,#REF!,#REF!,0,0)</f>
        <v>#REF!</v>
      </c>
    </row>
    <row r="1253" spans="1:20" x14ac:dyDescent="0.4">
      <c r="A1253" s="134" t="s">
        <v>570</v>
      </c>
      <c r="B1253" s="134" t="s">
        <v>4181</v>
      </c>
      <c r="C1253" s="134"/>
      <c r="D1253" s="134" t="s">
        <v>4182</v>
      </c>
      <c r="E1253" s="18">
        <v>41355</v>
      </c>
      <c r="F1253" s="10" t="s">
        <v>4183</v>
      </c>
      <c r="G1253" s="18" t="s">
        <v>4184</v>
      </c>
      <c r="H1253" s="18" t="s">
        <v>4185</v>
      </c>
      <c r="I1253" s="134" t="s">
        <v>4186</v>
      </c>
      <c r="J1253" s="134" t="s">
        <v>570</v>
      </c>
      <c r="K1253" s="18" t="s">
        <v>570</v>
      </c>
      <c r="L1253" s="134" t="s">
        <v>570</v>
      </c>
      <c r="M1253" s="134" t="s">
        <v>570</v>
      </c>
      <c r="N1253" s="134" t="s">
        <v>570</v>
      </c>
      <c r="O1253" s="134" t="s">
        <v>570</v>
      </c>
      <c r="P1253" s="449"/>
      <c r="Q1253" s="26"/>
      <c r="R1253" s="26"/>
      <c r="S1253" s="26"/>
      <c r="T1253" s="500" t="e">
        <f>_xlfn.XLOOKUP(H1253,#REF!,#REF!,0,0)</f>
        <v>#REF!</v>
      </c>
    </row>
    <row r="1254" spans="1:20" x14ac:dyDescent="0.4">
      <c r="A1254" s="134" t="s">
        <v>570</v>
      </c>
      <c r="B1254" s="134" t="s">
        <v>4187</v>
      </c>
      <c r="C1254" s="134"/>
      <c r="D1254" s="134" t="s">
        <v>4182</v>
      </c>
      <c r="E1254" s="18">
        <v>41355</v>
      </c>
      <c r="F1254" s="10" t="s">
        <v>4188</v>
      </c>
      <c r="G1254" s="18" t="s">
        <v>4189</v>
      </c>
      <c r="H1254" s="18" t="s">
        <v>4190</v>
      </c>
      <c r="I1254" s="134" t="s">
        <v>4191</v>
      </c>
      <c r="J1254" s="134" t="s">
        <v>570</v>
      </c>
      <c r="K1254" s="18" t="s">
        <v>570</v>
      </c>
      <c r="L1254" s="134" t="s">
        <v>570</v>
      </c>
      <c r="M1254" s="134" t="s">
        <v>570</v>
      </c>
      <c r="N1254" s="134" t="s">
        <v>570</v>
      </c>
      <c r="O1254" s="134" t="s">
        <v>570</v>
      </c>
      <c r="P1254" s="449"/>
      <c r="Q1254" s="26"/>
      <c r="R1254" s="26"/>
      <c r="S1254" s="26"/>
      <c r="T1254" s="500" t="e">
        <f>_xlfn.XLOOKUP(H1254,#REF!,#REF!,0,0)</f>
        <v>#REF!</v>
      </c>
    </row>
    <row r="1255" spans="1:20" x14ac:dyDescent="0.4">
      <c r="A1255" s="134" t="s">
        <v>570</v>
      </c>
      <c r="B1255" s="134" t="s">
        <v>4192</v>
      </c>
      <c r="C1255" s="134"/>
      <c r="D1255" s="134" t="s">
        <v>4182</v>
      </c>
      <c r="E1255" s="18">
        <v>41355</v>
      </c>
      <c r="F1255" s="10" t="s">
        <v>4193</v>
      </c>
      <c r="G1255" s="18" t="s">
        <v>4194</v>
      </c>
      <c r="H1255" s="18" t="s">
        <v>4195</v>
      </c>
      <c r="I1255" s="134" t="s">
        <v>4196</v>
      </c>
      <c r="J1255" s="134" t="s">
        <v>570</v>
      </c>
      <c r="K1255" s="18" t="s">
        <v>570</v>
      </c>
      <c r="L1255" s="134" t="s">
        <v>570</v>
      </c>
      <c r="M1255" s="134" t="s">
        <v>570</v>
      </c>
      <c r="N1255" s="134" t="s">
        <v>570</v>
      </c>
      <c r="O1255" s="134" t="s">
        <v>570</v>
      </c>
      <c r="P1255" s="449"/>
      <c r="Q1255" s="26"/>
      <c r="R1255" s="26"/>
      <c r="S1255" s="26"/>
      <c r="T1255" s="500" t="e">
        <f>_xlfn.XLOOKUP(H1255,#REF!,#REF!,0,0)</f>
        <v>#REF!</v>
      </c>
    </row>
    <row r="1256" spans="1:20" x14ac:dyDescent="0.4">
      <c r="A1256" s="134" t="s">
        <v>570</v>
      </c>
      <c r="B1256" s="134" t="s">
        <v>4197</v>
      </c>
      <c r="C1256" s="134"/>
      <c r="D1256" s="134" t="s">
        <v>4182</v>
      </c>
      <c r="E1256" s="18">
        <v>41355</v>
      </c>
      <c r="F1256" s="10" t="s">
        <v>4198</v>
      </c>
      <c r="G1256" s="18" t="s">
        <v>4199</v>
      </c>
      <c r="H1256" s="18" t="s">
        <v>4200</v>
      </c>
      <c r="I1256" s="134" t="s">
        <v>4201</v>
      </c>
      <c r="J1256" s="134" t="s">
        <v>570</v>
      </c>
      <c r="K1256" s="18" t="s">
        <v>570</v>
      </c>
      <c r="L1256" s="134" t="s">
        <v>570</v>
      </c>
      <c r="M1256" s="134" t="s">
        <v>570</v>
      </c>
      <c r="N1256" s="134" t="s">
        <v>570</v>
      </c>
      <c r="O1256" s="134" t="s">
        <v>570</v>
      </c>
      <c r="P1256" s="449"/>
      <c r="Q1256" s="26"/>
      <c r="R1256" s="26"/>
      <c r="S1256" s="26"/>
      <c r="T1256" s="500" t="e">
        <f>_xlfn.XLOOKUP(H1256,#REF!,#REF!,0,0)</f>
        <v>#REF!</v>
      </c>
    </row>
    <row r="1257" spans="1:20" x14ac:dyDescent="0.4">
      <c r="A1257" s="134" t="s">
        <v>570</v>
      </c>
      <c r="B1257" s="134" t="s">
        <v>4202</v>
      </c>
      <c r="C1257" s="134"/>
      <c r="D1257" s="134" t="s">
        <v>4182</v>
      </c>
      <c r="E1257" s="18">
        <v>41355</v>
      </c>
      <c r="F1257" s="10" t="s">
        <v>4203</v>
      </c>
      <c r="G1257" s="18" t="s">
        <v>4204</v>
      </c>
      <c r="H1257" s="18" t="s">
        <v>4205</v>
      </c>
      <c r="I1257" s="134" t="s">
        <v>4206</v>
      </c>
      <c r="J1257" s="134" t="s">
        <v>570</v>
      </c>
      <c r="K1257" s="18" t="s">
        <v>570</v>
      </c>
      <c r="L1257" s="134" t="s">
        <v>570</v>
      </c>
      <c r="M1257" s="134" t="s">
        <v>570</v>
      </c>
      <c r="N1257" s="134" t="s">
        <v>570</v>
      </c>
      <c r="O1257" s="134" t="s">
        <v>570</v>
      </c>
      <c r="P1257" s="449"/>
      <c r="Q1257" s="26"/>
      <c r="R1257" s="26"/>
      <c r="S1257" s="26"/>
      <c r="T1257" s="500" t="e">
        <f>_xlfn.XLOOKUP(H1257,#REF!,#REF!,0,0)</f>
        <v>#REF!</v>
      </c>
    </row>
    <row r="1258" spans="1:20" x14ac:dyDescent="0.4">
      <c r="A1258" s="134" t="s">
        <v>570</v>
      </c>
      <c r="B1258" s="134" t="s">
        <v>4207</v>
      </c>
      <c r="C1258" s="134"/>
      <c r="D1258" s="134" t="s">
        <v>4182</v>
      </c>
      <c r="E1258" s="18">
        <v>41355</v>
      </c>
      <c r="F1258" s="10" t="s">
        <v>4208</v>
      </c>
      <c r="G1258" s="18" t="s">
        <v>4209</v>
      </c>
      <c r="H1258" s="18" t="s">
        <v>4210</v>
      </c>
      <c r="I1258" s="134" t="s">
        <v>4211</v>
      </c>
      <c r="J1258" s="134" t="s">
        <v>570</v>
      </c>
      <c r="K1258" s="18" t="s">
        <v>570</v>
      </c>
      <c r="L1258" s="134" t="s">
        <v>570</v>
      </c>
      <c r="M1258" s="134" t="s">
        <v>570</v>
      </c>
      <c r="N1258" s="134" t="s">
        <v>570</v>
      </c>
      <c r="O1258" s="134" t="s">
        <v>570</v>
      </c>
      <c r="P1258" s="449"/>
      <c r="Q1258" s="26"/>
      <c r="R1258" s="26"/>
      <c r="S1258" s="26"/>
      <c r="T1258" s="500" t="e">
        <f>_xlfn.XLOOKUP(H1258,#REF!,#REF!,0,0)</f>
        <v>#REF!</v>
      </c>
    </row>
    <row r="1259" spans="1:20" x14ac:dyDescent="0.4">
      <c r="A1259" s="134" t="s">
        <v>570</v>
      </c>
      <c r="B1259" s="134" t="s">
        <v>4212</v>
      </c>
      <c r="C1259" s="134"/>
      <c r="D1259" s="134" t="s">
        <v>4182</v>
      </c>
      <c r="E1259" s="18">
        <v>41355</v>
      </c>
      <c r="F1259" s="10" t="s">
        <v>4213</v>
      </c>
      <c r="G1259" s="18" t="s">
        <v>4214</v>
      </c>
      <c r="H1259" s="18" t="s">
        <v>4215</v>
      </c>
      <c r="I1259" s="134" t="s">
        <v>4216</v>
      </c>
      <c r="J1259" s="134" t="s">
        <v>570</v>
      </c>
      <c r="K1259" s="18" t="s">
        <v>570</v>
      </c>
      <c r="L1259" s="134" t="s">
        <v>570</v>
      </c>
      <c r="M1259" s="134" t="s">
        <v>570</v>
      </c>
      <c r="N1259" s="134" t="s">
        <v>570</v>
      </c>
      <c r="O1259" s="134" t="s">
        <v>570</v>
      </c>
      <c r="P1259" s="449"/>
      <c r="Q1259" s="26"/>
      <c r="R1259" s="26"/>
      <c r="S1259" s="26"/>
      <c r="T1259" s="500" t="e">
        <f>_xlfn.XLOOKUP(H1259,#REF!,#REF!,0,0)</f>
        <v>#REF!</v>
      </c>
    </row>
    <row r="1260" spans="1:20" x14ac:dyDescent="0.4">
      <c r="A1260" s="134" t="s">
        <v>570</v>
      </c>
      <c r="B1260" s="134" t="s">
        <v>4217</v>
      </c>
      <c r="C1260" s="134"/>
      <c r="D1260" s="134" t="s">
        <v>4182</v>
      </c>
      <c r="E1260" s="18">
        <v>41355</v>
      </c>
      <c r="F1260" s="10" t="s">
        <v>4218</v>
      </c>
      <c r="G1260" s="18" t="s">
        <v>4219</v>
      </c>
      <c r="H1260" s="18" t="s">
        <v>4220</v>
      </c>
      <c r="I1260" s="134" t="s">
        <v>4221</v>
      </c>
      <c r="J1260" s="134" t="s">
        <v>570</v>
      </c>
      <c r="K1260" s="18" t="s">
        <v>570</v>
      </c>
      <c r="L1260" s="134" t="s">
        <v>570</v>
      </c>
      <c r="M1260" s="134" t="s">
        <v>570</v>
      </c>
      <c r="N1260" s="134" t="s">
        <v>570</v>
      </c>
      <c r="O1260" s="134" t="s">
        <v>570</v>
      </c>
      <c r="P1260" s="449"/>
      <c r="Q1260" s="26"/>
      <c r="R1260" s="26"/>
      <c r="S1260" s="26"/>
      <c r="T1260" s="500" t="e">
        <f>_xlfn.XLOOKUP(H1260,#REF!,#REF!,0,0)</f>
        <v>#REF!</v>
      </c>
    </row>
    <row r="1261" spans="1:20" x14ac:dyDescent="0.4">
      <c r="A1261" s="134" t="s">
        <v>570</v>
      </c>
      <c r="B1261" s="134" t="s">
        <v>4222</v>
      </c>
      <c r="C1261" s="134"/>
      <c r="D1261" s="134" t="s">
        <v>4182</v>
      </c>
      <c r="E1261" s="18">
        <v>41355</v>
      </c>
      <c r="F1261" s="10" t="s">
        <v>4223</v>
      </c>
      <c r="G1261" s="18" t="s">
        <v>4224</v>
      </c>
      <c r="H1261" s="18" t="s">
        <v>4225</v>
      </c>
      <c r="I1261" s="134" t="s">
        <v>4226</v>
      </c>
      <c r="J1261" s="134" t="s">
        <v>570</v>
      </c>
      <c r="K1261" s="18" t="s">
        <v>570</v>
      </c>
      <c r="L1261" s="134" t="s">
        <v>570</v>
      </c>
      <c r="M1261" s="134" t="s">
        <v>570</v>
      </c>
      <c r="N1261" s="134" t="s">
        <v>570</v>
      </c>
      <c r="O1261" s="134" t="s">
        <v>570</v>
      </c>
      <c r="P1261" s="449"/>
      <c r="Q1261" s="26"/>
      <c r="R1261" s="26"/>
      <c r="S1261" s="26"/>
      <c r="T1261" s="500" t="e">
        <f>_xlfn.XLOOKUP(H1261,#REF!,#REF!,0,0)</f>
        <v>#REF!</v>
      </c>
    </row>
    <row r="1262" spans="1:20" x14ac:dyDescent="0.4">
      <c r="A1262" s="134" t="s">
        <v>570</v>
      </c>
      <c r="B1262" s="134" t="s">
        <v>4227</v>
      </c>
      <c r="C1262" s="134"/>
      <c r="D1262" s="134" t="s">
        <v>4182</v>
      </c>
      <c r="E1262" s="18">
        <v>41355</v>
      </c>
      <c r="F1262" s="10" t="s">
        <v>4228</v>
      </c>
      <c r="G1262" s="18" t="s">
        <v>4229</v>
      </c>
      <c r="H1262" s="18" t="s">
        <v>4230</v>
      </c>
      <c r="I1262" s="134" t="s">
        <v>4231</v>
      </c>
      <c r="J1262" s="134" t="s">
        <v>570</v>
      </c>
      <c r="K1262" s="18" t="s">
        <v>570</v>
      </c>
      <c r="L1262" s="134" t="s">
        <v>570</v>
      </c>
      <c r="M1262" s="134" t="s">
        <v>570</v>
      </c>
      <c r="N1262" s="134" t="s">
        <v>570</v>
      </c>
      <c r="O1262" s="134" t="s">
        <v>570</v>
      </c>
      <c r="P1262" s="449"/>
      <c r="Q1262" s="26"/>
      <c r="R1262" s="26"/>
      <c r="S1262" s="26"/>
      <c r="T1262" s="500" t="e">
        <f>_xlfn.XLOOKUP(H1262,#REF!,#REF!,0,0)</f>
        <v>#REF!</v>
      </c>
    </row>
    <row r="1263" spans="1:20" x14ac:dyDescent="0.4">
      <c r="A1263" s="134" t="s">
        <v>570</v>
      </c>
      <c r="B1263" s="134" t="s">
        <v>4232</v>
      </c>
      <c r="C1263" s="134"/>
      <c r="D1263" s="134" t="s">
        <v>4182</v>
      </c>
      <c r="E1263" s="18">
        <v>41355</v>
      </c>
      <c r="F1263" s="10" t="s">
        <v>4233</v>
      </c>
      <c r="G1263" s="18" t="s">
        <v>4234</v>
      </c>
      <c r="H1263" s="18" t="s">
        <v>4235</v>
      </c>
      <c r="I1263" s="134" t="s">
        <v>4236</v>
      </c>
      <c r="J1263" s="134" t="s">
        <v>570</v>
      </c>
      <c r="K1263" s="18" t="s">
        <v>570</v>
      </c>
      <c r="L1263" s="134" t="s">
        <v>570</v>
      </c>
      <c r="M1263" s="134" t="s">
        <v>570</v>
      </c>
      <c r="N1263" s="134" t="s">
        <v>570</v>
      </c>
      <c r="O1263" s="134" t="s">
        <v>570</v>
      </c>
      <c r="P1263" s="449"/>
      <c r="Q1263" s="26"/>
      <c r="R1263" s="26"/>
      <c r="S1263" s="26"/>
      <c r="T1263" s="500" t="e">
        <f>_xlfn.XLOOKUP(H1263,#REF!,#REF!,0,0)</f>
        <v>#REF!</v>
      </c>
    </row>
    <row r="1264" spans="1:20" x14ac:dyDescent="0.4">
      <c r="A1264" s="134" t="s">
        <v>570</v>
      </c>
      <c r="B1264" s="134" t="s">
        <v>4237</v>
      </c>
      <c r="C1264" s="134"/>
      <c r="D1264" s="134" t="s">
        <v>4182</v>
      </c>
      <c r="E1264" s="18">
        <v>41355</v>
      </c>
      <c r="F1264" s="10" t="s">
        <v>4238</v>
      </c>
      <c r="G1264" s="18" t="s">
        <v>4239</v>
      </c>
      <c r="H1264" s="18" t="s">
        <v>4240</v>
      </c>
      <c r="I1264" s="134" t="s">
        <v>4241</v>
      </c>
      <c r="J1264" s="134" t="s">
        <v>570</v>
      </c>
      <c r="K1264" s="18" t="s">
        <v>570</v>
      </c>
      <c r="L1264" s="134" t="s">
        <v>570</v>
      </c>
      <c r="M1264" s="134" t="s">
        <v>570</v>
      </c>
      <c r="N1264" s="134" t="s">
        <v>570</v>
      </c>
      <c r="O1264" s="134" t="s">
        <v>570</v>
      </c>
      <c r="P1264" s="449"/>
      <c r="Q1264" s="26"/>
      <c r="R1264" s="26"/>
      <c r="S1264" s="26"/>
      <c r="T1264" s="500" t="e">
        <f>_xlfn.XLOOKUP(H1264,#REF!,#REF!,0,0)</f>
        <v>#REF!</v>
      </c>
    </row>
    <row r="1265" spans="1:20" x14ac:dyDescent="0.4">
      <c r="A1265" s="134" t="s">
        <v>570</v>
      </c>
      <c r="B1265" s="134" t="s">
        <v>4242</v>
      </c>
      <c r="C1265" s="134"/>
      <c r="D1265" s="134" t="s">
        <v>4182</v>
      </c>
      <c r="E1265" s="18">
        <v>41355</v>
      </c>
      <c r="F1265" s="10" t="s">
        <v>4243</v>
      </c>
      <c r="G1265" s="18">
        <v>58036</v>
      </c>
      <c r="H1265" s="18" t="s">
        <v>4244</v>
      </c>
      <c r="I1265" s="134" t="s">
        <v>4245</v>
      </c>
      <c r="J1265" s="134" t="s">
        <v>570</v>
      </c>
      <c r="K1265" s="18" t="s">
        <v>570</v>
      </c>
      <c r="L1265" s="134" t="s">
        <v>570</v>
      </c>
      <c r="M1265" s="134" t="s">
        <v>570</v>
      </c>
      <c r="N1265" s="134" t="s">
        <v>570</v>
      </c>
      <c r="O1265" s="134" t="s">
        <v>570</v>
      </c>
      <c r="P1265" s="449"/>
      <c r="Q1265" s="26"/>
      <c r="R1265" s="26"/>
      <c r="S1265" s="26"/>
      <c r="T1265" s="500" t="e">
        <f>_xlfn.XLOOKUP(H1265,#REF!,#REF!,0,0)</f>
        <v>#REF!</v>
      </c>
    </row>
    <row r="1266" spans="1:20" x14ac:dyDescent="0.4">
      <c r="A1266" s="134" t="s">
        <v>570</v>
      </c>
      <c r="B1266" s="134" t="s">
        <v>4246</v>
      </c>
      <c r="C1266" s="134"/>
      <c r="D1266" s="134" t="s">
        <v>4182</v>
      </c>
      <c r="E1266" s="18">
        <v>41355</v>
      </c>
      <c r="F1266" s="10" t="s">
        <v>4247</v>
      </c>
      <c r="G1266" s="18" t="s">
        <v>4248</v>
      </c>
      <c r="H1266" s="18" t="s">
        <v>4249</v>
      </c>
      <c r="I1266" s="134" t="s">
        <v>4250</v>
      </c>
      <c r="J1266" s="134" t="s">
        <v>570</v>
      </c>
      <c r="K1266" s="18" t="s">
        <v>570</v>
      </c>
      <c r="L1266" s="134" t="s">
        <v>570</v>
      </c>
      <c r="M1266" s="134" t="s">
        <v>570</v>
      </c>
      <c r="N1266" s="134" t="s">
        <v>570</v>
      </c>
      <c r="O1266" s="134" t="s">
        <v>570</v>
      </c>
      <c r="P1266" s="449"/>
      <c r="Q1266" s="26"/>
      <c r="R1266" s="26"/>
      <c r="S1266" s="26"/>
      <c r="T1266" s="500" t="e">
        <f>_xlfn.XLOOKUP(H1266,#REF!,#REF!,0,0)</f>
        <v>#REF!</v>
      </c>
    </row>
    <row r="1267" spans="1:20" x14ac:dyDescent="0.4">
      <c r="A1267" s="134" t="s">
        <v>570</v>
      </c>
      <c r="B1267" s="134" t="s">
        <v>4251</v>
      </c>
      <c r="C1267" s="134"/>
      <c r="D1267" s="134" t="s">
        <v>4182</v>
      </c>
      <c r="E1267" s="18">
        <v>41355</v>
      </c>
      <c r="F1267" s="10" t="s">
        <v>4252</v>
      </c>
      <c r="G1267" s="18" t="s">
        <v>4253</v>
      </c>
      <c r="H1267" s="18" t="s">
        <v>4254</v>
      </c>
      <c r="I1267" s="134" t="s">
        <v>4255</v>
      </c>
      <c r="J1267" s="134" t="s">
        <v>570</v>
      </c>
      <c r="K1267" s="18" t="s">
        <v>570</v>
      </c>
      <c r="L1267" s="134" t="s">
        <v>570</v>
      </c>
      <c r="M1267" s="134" t="s">
        <v>570</v>
      </c>
      <c r="N1267" s="134" t="s">
        <v>570</v>
      </c>
      <c r="O1267" s="134" t="s">
        <v>570</v>
      </c>
      <c r="P1267" s="449"/>
      <c r="Q1267" s="26"/>
      <c r="R1267" s="26"/>
      <c r="S1267" s="26"/>
      <c r="T1267" s="500" t="e">
        <f>_xlfn.XLOOKUP(H1267,#REF!,#REF!,0,0)</f>
        <v>#REF!</v>
      </c>
    </row>
    <row r="1268" spans="1:20" x14ac:dyDescent="0.4">
      <c r="A1268" s="134" t="s">
        <v>570</v>
      </c>
      <c r="B1268" s="134" t="s">
        <v>4256</v>
      </c>
      <c r="C1268" s="134"/>
      <c r="D1268" s="134" t="s">
        <v>4182</v>
      </c>
      <c r="E1268" s="18">
        <v>41355</v>
      </c>
      <c r="F1268" s="10" t="s">
        <v>4257</v>
      </c>
      <c r="G1268" s="18" t="s">
        <v>4258</v>
      </c>
      <c r="H1268" s="18" t="s">
        <v>4259</v>
      </c>
      <c r="I1268" s="134" t="s">
        <v>4260</v>
      </c>
      <c r="J1268" s="134" t="s">
        <v>570</v>
      </c>
      <c r="K1268" s="18" t="s">
        <v>570</v>
      </c>
      <c r="L1268" s="134" t="s">
        <v>570</v>
      </c>
      <c r="M1268" s="134" t="s">
        <v>570</v>
      </c>
      <c r="N1268" s="134" t="s">
        <v>570</v>
      </c>
      <c r="O1268" s="134" t="s">
        <v>570</v>
      </c>
      <c r="P1268" s="449"/>
      <c r="Q1268" s="26"/>
      <c r="R1268" s="26"/>
      <c r="S1268" s="26"/>
      <c r="T1268" s="500" t="e">
        <f>_xlfn.XLOOKUP(H1268,#REF!,#REF!,0,0)</f>
        <v>#REF!</v>
      </c>
    </row>
    <row r="1269" spans="1:20" x14ac:dyDescent="0.4">
      <c r="A1269" s="134" t="s">
        <v>570</v>
      </c>
      <c r="B1269" s="134" t="s">
        <v>4261</v>
      </c>
      <c r="C1269" s="134"/>
      <c r="D1269" s="134" t="s">
        <v>4182</v>
      </c>
      <c r="E1269" s="18">
        <v>41355</v>
      </c>
      <c r="F1269" s="10" t="s">
        <v>4262</v>
      </c>
      <c r="G1269" s="18" t="s">
        <v>4263</v>
      </c>
      <c r="H1269" s="18" t="s">
        <v>4264</v>
      </c>
      <c r="I1269" s="134" t="s">
        <v>4265</v>
      </c>
      <c r="J1269" s="134" t="s">
        <v>570</v>
      </c>
      <c r="K1269" s="18" t="s">
        <v>570</v>
      </c>
      <c r="L1269" s="134" t="s">
        <v>570</v>
      </c>
      <c r="M1269" s="134" t="s">
        <v>570</v>
      </c>
      <c r="N1269" s="134" t="s">
        <v>570</v>
      </c>
      <c r="O1269" s="134" t="s">
        <v>570</v>
      </c>
      <c r="P1269" s="449"/>
      <c r="Q1269" s="26"/>
      <c r="R1269" s="26"/>
      <c r="S1269" s="26"/>
      <c r="T1269" s="500" t="e">
        <f>_xlfn.XLOOKUP(H1269,#REF!,#REF!,0,0)</f>
        <v>#REF!</v>
      </c>
    </row>
    <row r="1270" spans="1:20" x14ac:dyDescent="0.4">
      <c r="A1270" s="134" t="s">
        <v>570</v>
      </c>
      <c r="B1270" s="134" t="s">
        <v>4266</v>
      </c>
      <c r="C1270" s="134"/>
      <c r="D1270" s="134" t="s">
        <v>4182</v>
      </c>
      <c r="E1270" s="18">
        <v>41355</v>
      </c>
      <c r="F1270" s="10" t="s">
        <v>4267</v>
      </c>
      <c r="G1270" s="18" t="s">
        <v>4268</v>
      </c>
      <c r="H1270" s="18" t="s">
        <v>4269</v>
      </c>
      <c r="I1270" s="134" t="s">
        <v>4270</v>
      </c>
      <c r="J1270" s="134" t="s">
        <v>570</v>
      </c>
      <c r="K1270" s="18" t="s">
        <v>570</v>
      </c>
      <c r="L1270" s="134" t="s">
        <v>570</v>
      </c>
      <c r="M1270" s="134" t="s">
        <v>570</v>
      </c>
      <c r="N1270" s="134" t="s">
        <v>570</v>
      </c>
      <c r="O1270" s="134" t="s">
        <v>570</v>
      </c>
      <c r="P1270" s="449"/>
      <c r="Q1270" s="26"/>
      <c r="R1270" s="26"/>
      <c r="S1270" s="26"/>
      <c r="T1270" s="500" t="e">
        <f>_xlfn.XLOOKUP(H1270,#REF!,#REF!,0,0)</f>
        <v>#REF!</v>
      </c>
    </row>
    <row r="1271" spans="1:20" x14ac:dyDescent="0.4">
      <c r="A1271" s="134" t="s">
        <v>570</v>
      </c>
      <c r="B1271" s="134" t="s">
        <v>4271</v>
      </c>
      <c r="C1271" s="134"/>
      <c r="D1271" s="134" t="s">
        <v>4182</v>
      </c>
      <c r="E1271" s="18">
        <v>41355</v>
      </c>
      <c r="F1271" s="10" t="s">
        <v>4272</v>
      </c>
      <c r="G1271" s="18" t="s">
        <v>4273</v>
      </c>
      <c r="H1271" s="18" t="s">
        <v>4274</v>
      </c>
      <c r="I1271" s="134" t="s">
        <v>4275</v>
      </c>
      <c r="J1271" s="134" t="s">
        <v>570</v>
      </c>
      <c r="K1271" s="18" t="s">
        <v>570</v>
      </c>
      <c r="L1271" s="134" t="s">
        <v>570</v>
      </c>
      <c r="M1271" s="134" t="s">
        <v>570</v>
      </c>
      <c r="N1271" s="134" t="s">
        <v>570</v>
      </c>
      <c r="O1271" s="134" t="s">
        <v>570</v>
      </c>
      <c r="P1271" s="449"/>
      <c r="Q1271" s="26"/>
      <c r="R1271" s="26"/>
      <c r="S1271" s="26"/>
      <c r="T1271" s="500" t="e">
        <f>_xlfn.XLOOKUP(H1271,#REF!,#REF!,0,0)</f>
        <v>#REF!</v>
      </c>
    </row>
    <row r="1272" spans="1:20" x14ac:dyDescent="0.4">
      <c r="A1272" s="134" t="s">
        <v>570</v>
      </c>
      <c r="B1272" s="134" t="s">
        <v>4276</v>
      </c>
      <c r="C1272" s="134"/>
      <c r="D1272" s="134" t="s">
        <v>4182</v>
      </c>
      <c r="E1272" s="18">
        <v>41355</v>
      </c>
      <c r="F1272" s="10" t="s">
        <v>4277</v>
      </c>
      <c r="G1272" s="18" t="s">
        <v>4278</v>
      </c>
      <c r="H1272" s="18" t="s">
        <v>4279</v>
      </c>
      <c r="I1272" s="134" t="s">
        <v>4280</v>
      </c>
      <c r="J1272" s="134" t="s">
        <v>570</v>
      </c>
      <c r="K1272" s="18" t="s">
        <v>570</v>
      </c>
      <c r="L1272" s="134" t="s">
        <v>570</v>
      </c>
      <c r="M1272" s="134" t="s">
        <v>570</v>
      </c>
      <c r="N1272" s="134" t="s">
        <v>570</v>
      </c>
      <c r="O1272" s="134" t="s">
        <v>570</v>
      </c>
      <c r="P1272" s="449"/>
      <c r="Q1272" s="26"/>
      <c r="R1272" s="26"/>
      <c r="S1272" s="26"/>
      <c r="T1272" s="500" t="e">
        <f>_xlfn.XLOOKUP(H1272,#REF!,#REF!,0,0)</f>
        <v>#REF!</v>
      </c>
    </row>
    <row r="1273" spans="1:20" x14ac:dyDescent="0.4">
      <c r="A1273" s="134" t="s">
        <v>570</v>
      </c>
      <c r="B1273" s="134" t="s">
        <v>3297</v>
      </c>
      <c r="C1273" s="134"/>
      <c r="D1273" s="134" t="s">
        <v>4182</v>
      </c>
      <c r="E1273" s="18">
        <v>41355</v>
      </c>
      <c r="F1273" s="10" t="s">
        <v>4281</v>
      </c>
      <c r="G1273" s="18" t="s">
        <v>4282</v>
      </c>
      <c r="H1273" s="18" t="s">
        <v>4283</v>
      </c>
      <c r="I1273" s="134" t="s">
        <v>4284</v>
      </c>
      <c r="J1273" s="134" t="s">
        <v>570</v>
      </c>
      <c r="K1273" s="18" t="s">
        <v>570</v>
      </c>
      <c r="L1273" s="134" t="s">
        <v>570</v>
      </c>
      <c r="M1273" s="134" t="s">
        <v>570</v>
      </c>
      <c r="N1273" s="134" t="s">
        <v>570</v>
      </c>
      <c r="O1273" s="134" t="s">
        <v>570</v>
      </c>
      <c r="P1273" s="449"/>
      <c r="Q1273" s="26"/>
      <c r="R1273" s="26"/>
      <c r="S1273" s="26"/>
      <c r="T1273" s="500" t="e">
        <f>_xlfn.XLOOKUP(H1273,#REF!,#REF!,0,0)</f>
        <v>#REF!</v>
      </c>
    </row>
    <row r="1274" spans="1:20" x14ac:dyDescent="0.4">
      <c r="A1274" s="134" t="s">
        <v>570</v>
      </c>
      <c r="B1274" s="134" t="s">
        <v>4285</v>
      </c>
      <c r="C1274" s="134"/>
      <c r="D1274" s="134" t="s">
        <v>4182</v>
      </c>
      <c r="E1274" s="18">
        <v>41355</v>
      </c>
      <c r="F1274" s="10" t="s">
        <v>4286</v>
      </c>
      <c r="G1274" s="18">
        <v>58045</v>
      </c>
      <c r="H1274" s="18" t="s">
        <v>4287</v>
      </c>
      <c r="I1274" s="134" t="s">
        <v>4288</v>
      </c>
      <c r="J1274" s="134" t="s">
        <v>570</v>
      </c>
      <c r="K1274" s="18" t="s">
        <v>570</v>
      </c>
      <c r="L1274" s="134" t="s">
        <v>570</v>
      </c>
      <c r="M1274" s="134" t="s">
        <v>570</v>
      </c>
      <c r="N1274" s="134" t="s">
        <v>570</v>
      </c>
      <c r="O1274" s="134" t="s">
        <v>570</v>
      </c>
      <c r="P1274" s="449"/>
      <c r="Q1274" s="26"/>
      <c r="R1274" s="26"/>
      <c r="S1274" s="26"/>
      <c r="T1274" s="500" t="e">
        <f>_xlfn.XLOOKUP(H1274,#REF!,#REF!,0,0)</f>
        <v>#REF!</v>
      </c>
    </row>
    <row r="1275" spans="1:20" x14ac:dyDescent="0.4">
      <c r="A1275" s="134" t="s">
        <v>570</v>
      </c>
      <c r="B1275" s="134" t="s">
        <v>4289</v>
      </c>
      <c r="C1275" s="134"/>
      <c r="D1275" s="134" t="s">
        <v>4182</v>
      </c>
      <c r="E1275" s="18">
        <v>41355</v>
      </c>
      <c r="F1275" s="10" t="s">
        <v>4290</v>
      </c>
      <c r="G1275" s="18" t="s">
        <v>4291</v>
      </c>
      <c r="H1275" s="18" t="s">
        <v>4292</v>
      </c>
      <c r="I1275" s="134" t="s">
        <v>4293</v>
      </c>
      <c r="J1275" s="134" t="s">
        <v>570</v>
      </c>
      <c r="K1275" s="18" t="s">
        <v>570</v>
      </c>
      <c r="L1275" s="134" t="s">
        <v>570</v>
      </c>
      <c r="M1275" s="134" t="s">
        <v>570</v>
      </c>
      <c r="N1275" s="134" t="s">
        <v>570</v>
      </c>
      <c r="O1275" s="134" t="s">
        <v>570</v>
      </c>
      <c r="P1275" s="449"/>
      <c r="Q1275" s="26"/>
      <c r="R1275" s="26"/>
      <c r="S1275" s="26"/>
      <c r="T1275" s="500" t="e">
        <f>_xlfn.XLOOKUP(H1275,#REF!,#REF!,0,0)</f>
        <v>#REF!</v>
      </c>
    </row>
    <row r="1276" spans="1:20" x14ac:dyDescent="0.4">
      <c r="A1276" s="134" t="s">
        <v>570</v>
      </c>
      <c r="B1276" s="134" t="s">
        <v>4294</v>
      </c>
      <c r="C1276" s="134"/>
      <c r="D1276" s="134" t="s">
        <v>4182</v>
      </c>
      <c r="E1276" s="18">
        <v>41355</v>
      </c>
      <c r="F1276" s="10" t="s">
        <v>4295</v>
      </c>
      <c r="G1276" s="18" t="s">
        <v>4296</v>
      </c>
      <c r="H1276" s="18" t="s">
        <v>4297</v>
      </c>
      <c r="I1276" s="134" t="s">
        <v>4298</v>
      </c>
      <c r="J1276" s="134" t="s">
        <v>570</v>
      </c>
      <c r="K1276" s="18" t="s">
        <v>570</v>
      </c>
      <c r="L1276" s="134" t="s">
        <v>570</v>
      </c>
      <c r="M1276" s="134" t="s">
        <v>570</v>
      </c>
      <c r="N1276" s="134" t="s">
        <v>570</v>
      </c>
      <c r="O1276" s="134" t="s">
        <v>570</v>
      </c>
      <c r="P1276" s="449"/>
      <c r="Q1276" s="26"/>
      <c r="R1276" s="26"/>
      <c r="S1276" s="26"/>
      <c r="T1276" s="500" t="e">
        <f>_xlfn.XLOOKUP(H1276,#REF!,#REF!,0,0)</f>
        <v>#REF!</v>
      </c>
    </row>
    <row r="1277" spans="1:20" x14ac:dyDescent="0.4">
      <c r="A1277" s="134" t="s">
        <v>570</v>
      </c>
      <c r="B1277" s="134" t="s">
        <v>4299</v>
      </c>
      <c r="C1277" s="134"/>
      <c r="D1277" s="134" t="s">
        <v>4182</v>
      </c>
      <c r="E1277" s="18">
        <v>41355</v>
      </c>
      <c r="F1277" s="10" t="s">
        <v>4300</v>
      </c>
      <c r="G1277" s="18" t="s">
        <v>4301</v>
      </c>
      <c r="H1277" s="18" t="s">
        <v>4302</v>
      </c>
      <c r="I1277" s="134" t="s">
        <v>4303</v>
      </c>
      <c r="J1277" s="134" t="s">
        <v>570</v>
      </c>
      <c r="K1277" s="18" t="s">
        <v>570</v>
      </c>
      <c r="L1277" s="134" t="s">
        <v>570</v>
      </c>
      <c r="M1277" s="134" t="s">
        <v>570</v>
      </c>
      <c r="N1277" s="134" t="s">
        <v>570</v>
      </c>
      <c r="O1277" s="134" t="s">
        <v>570</v>
      </c>
      <c r="P1277" s="449"/>
      <c r="Q1277" s="26"/>
      <c r="R1277" s="26"/>
      <c r="S1277" s="26"/>
      <c r="T1277" s="500" t="e">
        <f>_xlfn.XLOOKUP(H1277,#REF!,#REF!,0,0)</f>
        <v>#REF!</v>
      </c>
    </row>
    <row r="1278" spans="1:20" x14ac:dyDescent="0.4">
      <c r="A1278" s="134" t="s">
        <v>570</v>
      </c>
      <c r="B1278" s="134" t="s">
        <v>4304</v>
      </c>
      <c r="C1278" s="134"/>
      <c r="D1278" s="134" t="s">
        <v>4182</v>
      </c>
      <c r="E1278" s="18">
        <v>41355</v>
      </c>
      <c r="F1278" s="10" t="s">
        <v>4305</v>
      </c>
      <c r="G1278" s="18" t="s">
        <v>4306</v>
      </c>
      <c r="H1278" s="18" t="s">
        <v>4307</v>
      </c>
      <c r="I1278" s="134" t="s">
        <v>4308</v>
      </c>
      <c r="J1278" s="134" t="s">
        <v>570</v>
      </c>
      <c r="K1278" s="18" t="s">
        <v>570</v>
      </c>
      <c r="L1278" s="134" t="s">
        <v>570</v>
      </c>
      <c r="M1278" s="134" t="s">
        <v>570</v>
      </c>
      <c r="N1278" s="134" t="s">
        <v>570</v>
      </c>
      <c r="O1278" s="134" t="s">
        <v>570</v>
      </c>
      <c r="P1278" s="449"/>
      <c r="Q1278" s="26"/>
      <c r="R1278" s="26"/>
      <c r="S1278" s="26"/>
      <c r="T1278" s="500" t="e">
        <f>_xlfn.XLOOKUP(H1278,#REF!,#REF!,0,0)</f>
        <v>#REF!</v>
      </c>
    </row>
    <row r="1279" spans="1:20" x14ac:dyDescent="0.4">
      <c r="A1279" s="134" t="s">
        <v>570</v>
      </c>
      <c r="B1279" s="134" t="s">
        <v>4192</v>
      </c>
      <c r="C1279" s="134"/>
      <c r="D1279" s="134" t="s">
        <v>4182</v>
      </c>
      <c r="E1279" s="18">
        <v>41355</v>
      </c>
      <c r="F1279" s="10" t="s">
        <v>4309</v>
      </c>
      <c r="G1279" s="18" t="s">
        <v>4310</v>
      </c>
      <c r="H1279" s="18" t="s">
        <v>4311</v>
      </c>
      <c r="I1279" s="134" t="s">
        <v>4312</v>
      </c>
      <c r="J1279" s="134" t="s">
        <v>570</v>
      </c>
      <c r="K1279" s="18" t="s">
        <v>570</v>
      </c>
      <c r="L1279" s="134" t="s">
        <v>570</v>
      </c>
      <c r="M1279" s="134" t="s">
        <v>570</v>
      </c>
      <c r="N1279" s="134" t="s">
        <v>570</v>
      </c>
      <c r="O1279" s="134" t="s">
        <v>570</v>
      </c>
      <c r="P1279" s="449"/>
      <c r="Q1279" s="26"/>
      <c r="R1279" s="26"/>
      <c r="S1279" s="26"/>
      <c r="T1279" s="500" t="e">
        <f>_xlfn.XLOOKUP(H1279,#REF!,#REF!,0,0)</f>
        <v>#REF!</v>
      </c>
    </row>
    <row r="1280" spans="1:20" x14ac:dyDescent="0.4">
      <c r="A1280" s="134" t="s">
        <v>570</v>
      </c>
      <c r="B1280" s="134" t="s">
        <v>4313</v>
      </c>
      <c r="C1280" s="134"/>
      <c r="D1280" s="134" t="s">
        <v>4182</v>
      </c>
      <c r="E1280" s="18">
        <v>41355</v>
      </c>
      <c r="F1280" s="10" t="s">
        <v>4314</v>
      </c>
      <c r="G1280" s="18" t="s">
        <v>4315</v>
      </c>
      <c r="H1280" s="18" t="s">
        <v>4316</v>
      </c>
      <c r="I1280" s="134" t="s">
        <v>4317</v>
      </c>
      <c r="J1280" s="134" t="s">
        <v>570</v>
      </c>
      <c r="K1280" s="18" t="s">
        <v>570</v>
      </c>
      <c r="L1280" s="134" t="s">
        <v>570</v>
      </c>
      <c r="M1280" s="134" t="s">
        <v>570</v>
      </c>
      <c r="N1280" s="134" t="s">
        <v>570</v>
      </c>
      <c r="O1280" s="134" t="s">
        <v>570</v>
      </c>
      <c r="P1280" s="449"/>
      <c r="Q1280" s="26"/>
      <c r="R1280" s="26"/>
      <c r="S1280" s="26"/>
      <c r="T1280" s="500" t="e">
        <f>_xlfn.XLOOKUP(H1280,#REF!,#REF!,0,0)</f>
        <v>#REF!</v>
      </c>
    </row>
    <row r="1281" spans="1:20" x14ac:dyDescent="0.4">
      <c r="A1281" s="134"/>
      <c r="B1281" s="134" t="s">
        <v>4318</v>
      </c>
      <c r="C1281" s="134"/>
      <c r="D1281" s="134" t="s">
        <v>4182</v>
      </c>
      <c r="E1281" s="18">
        <v>41355</v>
      </c>
      <c r="F1281" s="10" t="s">
        <v>4319</v>
      </c>
      <c r="G1281" s="18" t="s">
        <v>4320</v>
      </c>
      <c r="H1281" s="18" t="s">
        <v>4321</v>
      </c>
      <c r="I1281" s="134" t="s">
        <v>4322</v>
      </c>
      <c r="J1281" s="134" t="s">
        <v>570</v>
      </c>
      <c r="K1281" s="18" t="s">
        <v>570</v>
      </c>
      <c r="L1281" s="134" t="s">
        <v>570</v>
      </c>
      <c r="M1281" s="134" t="s">
        <v>570</v>
      </c>
      <c r="N1281" s="134" t="s">
        <v>570</v>
      </c>
      <c r="O1281" s="134" t="s">
        <v>570</v>
      </c>
      <c r="P1281" s="449"/>
      <c r="Q1281" s="26"/>
      <c r="R1281" s="26"/>
      <c r="S1281" s="26"/>
      <c r="T1281" s="500" t="e">
        <f>_xlfn.XLOOKUP(H1281,#REF!,#REF!,0,0)</f>
        <v>#REF!</v>
      </c>
    </row>
    <row r="1282" spans="1:20" x14ac:dyDescent="0.4">
      <c r="A1282" s="134"/>
      <c r="B1282" s="134" t="s">
        <v>4318</v>
      </c>
      <c r="C1282" s="134"/>
      <c r="D1282" s="134" t="s">
        <v>4182</v>
      </c>
      <c r="E1282" s="18">
        <v>41355</v>
      </c>
      <c r="F1282" s="10" t="s">
        <v>4323</v>
      </c>
      <c r="G1282" s="18" t="s">
        <v>4324</v>
      </c>
      <c r="H1282" s="18" t="s">
        <v>4325</v>
      </c>
      <c r="I1282" s="134" t="s">
        <v>4326</v>
      </c>
      <c r="J1282" s="134" t="s">
        <v>570</v>
      </c>
      <c r="K1282" s="18" t="s">
        <v>570</v>
      </c>
      <c r="L1282" s="134" t="s">
        <v>570</v>
      </c>
      <c r="M1282" s="134" t="s">
        <v>570</v>
      </c>
      <c r="N1282" s="134" t="s">
        <v>570</v>
      </c>
      <c r="O1282" s="134" t="s">
        <v>570</v>
      </c>
      <c r="P1282" s="449"/>
      <c r="Q1282" s="26"/>
      <c r="R1282" s="26"/>
      <c r="S1282" s="26"/>
      <c r="T1282" s="500" t="e">
        <f>_xlfn.XLOOKUP(H1282,#REF!,#REF!,0,0)</f>
        <v>#REF!</v>
      </c>
    </row>
    <row r="1283" spans="1:20" x14ac:dyDescent="0.4">
      <c r="A1283" s="134" t="s">
        <v>570</v>
      </c>
      <c r="B1283" s="134" t="s">
        <v>4327</v>
      </c>
      <c r="C1283" s="134"/>
      <c r="D1283" s="134" t="s">
        <v>4182</v>
      </c>
      <c r="E1283" s="18">
        <v>41355</v>
      </c>
      <c r="F1283" s="10" t="s">
        <v>4328</v>
      </c>
      <c r="G1283" s="18" t="s">
        <v>4329</v>
      </c>
      <c r="H1283" s="18" t="s">
        <v>4330</v>
      </c>
      <c r="I1283" s="134" t="s">
        <v>4331</v>
      </c>
      <c r="J1283" s="134" t="s">
        <v>570</v>
      </c>
      <c r="K1283" s="18" t="s">
        <v>570</v>
      </c>
      <c r="L1283" s="134" t="s">
        <v>570</v>
      </c>
      <c r="M1283" s="134" t="s">
        <v>570</v>
      </c>
      <c r="N1283" s="134" t="s">
        <v>570</v>
      </c>
      <c r="O1283" s="134" t="s">
        <v>570</v>
      </c>
      <c r="P1283" s="449"/>
      <c r="Q1283" s="26"/>
      <c r="R1283" s="26"/>
      <c r="S1283" s="26"/>
      <c r="T1283" s="500" t="e">
        <f>_xlfn.XLOOKUP(H1283,#REF!,#REF!,0,0)</f>
        <v>#REF!</v>
      </c>
    </row>
    <row r="1284" spans="1:20" x14ac:dyDescent="0.4">
      <c r="A1284" s="134" t="s">
        <v>570</v>
      </c>
      <c r="B1284" s="134" t="s">
        <v>4332</v>
      </c>
      <c r="C1284" s="134"/>
      <c r="D1284" s="134" t="s">
        <v>4182</v>
      </c>
      <c r="E1284" s="18">
        <v>41355</v>
      </c>
      <c r="F1284" s="10" t="s">
        <v>4333</v>
      </c>
      <c r="G1284" s="18" t="s">
        <v>4334</v>
      </c>
      <c r="H1284" s="18" t="s">
        <v>4335</v>
      </c>
      <c r="I1284" s="134" t="s">
        <v>4336</v>
      </c>
      <c r="J1284" s="134" t="s">
        <v>570</v>
      </c>
      <c r="K1284" s="18" t="s">
        <v>570</v>
      </c>
      <c r="L1284" s="134" t="s">
        <v>570</v>
      </c>
      <c r="M1284" s="134" t="s">
        <v>570</v>
      </c>
      <c r="N1284" s="134" t="s">
        <v>570</v>
      </c>
      <c r="O1284" s="134" t="s">
        <v>570</v>
      </c>
      <c r="P1284" s="449"/>
      <c r="Q1284" s="26"/>
      <c r="R1284" s="26"/>
      <c r="S1284" s="26"/>
      <c r="T1284" s="500" t="e">
        <f>_xlfn.XLOOKUP(H1284,#REF!,#REF!,0,0)</f>
        <v>#REF!</v>
      </c>
    </row>
    <row r="1285" spans="1:20" x14ac:dyDescent="0.4">
      <c r="A1285" s="134" t="s">
        <v>570</v>
      </c>
      <c r="B1285" s="134" t="s">
        <v>4337</v>
      </c>
      <c r="C1285" s="134"/>
      <c r="D1285" s="134" t="s">
        <v>4182</v>
      </c>
      <c r="E1285" s="18">
        <v>41355</v>
      </c>
      <c r="F1285" s="10" t="s">
        <v>4338</v>
      </c>
      <c r="G1285" s="18" t="s">
        <v>4339</v>
      </c>
      <c r="H1285" s="18" t="s">
        <v>4340</v>
      </c>
      <c r="I1285" s="134" t="s">
        <v>4341</v>
      </c>
      <c r="J1285" s="134" t="s">
        <v>570</v>
      </c>
      <c r="K1285" s="18" t="s">
        <v>570</v>
      </c>
      <c r="L1285" s="134" t="s">
        <v>570</v>
      </c>
      <c r="M1285" s="134" t="s">
        <v>570</v>
      </c>
      <c r="N1285" s="134" t="s">
        <v>570</v>
      </c>
      <c r="O1285" s="134" t="s">
        <v>570</v>
      </c>
      <c r="P1285" s="449"/>
      <c r="Q1285" s="26"/>
      <c r="R1285" s="26"/>
      <c r="S1285" s="26"/>
      <c r="T1285" s="500" t="e">
        <f>_xlfn.XLOOKUP(H1285,#REF!,#REF!,0,0)</f>
        <v>#REF!</v>
      </c>
    </row>
    <row r="1286" spans="1:20" x14ac:dyDescent="0.4">
      <c r="A1286" s="134"/>
      <c r="B1286" s="134" t="s">
        <v>4318</v>
      </c>
      <c r="C1286" s="134"/>
      <c r="D1286" s="134" t="s">
        <v>4182</v>
      </c>
      <c r="E1286" s="18">
        <v>41355</v>
      </c>
      <c r="F1286" s="10" t="s">
        <v>4342</v>
      </c>
      <c r="G1286" s="18" t="s">
        <v>4343</v>
      </c>
      <c r="H1286" s="18" t="s">
        <v>4344</v>
      </c>
      <c r="I1286" s="134" t="s">
        <v>4345</v>
      </c>
      <c r="J1286" s="134" t="s">
        <v>570</v>
      </c>
      <c r="K1286" s="18" t="s">
        <v>570</v>
      </c>
      <c r="L1286" s="134" t="s">
        <v>570</v>
      </c>
      <c r="M1286" s="134" t="s">
        <v>570</v>
      </c>
      <c r="N1286" s="134" t="s">
        <v>570</v>
      </c>
      <c r="O1286" s="134" t="s">
        <v>570</v>
      </c>
      <c r="P1286" s="449"/>
      <c r="Q1286" s="26"/>
      <c r="R1286" s="26"/>
      <c r="S1286" s="26"/>
      <c r="T1286" s="500" t="e">
        <f>_xlfn.XLOOKUP(H1286,#REF!,#REF!,0,0)</f>
        <v>#REF!</v>
      </c>
    </row>
    <row r="1287" spans="1:20" x14ac:dyDescent="0.4">
      <c r="A1287" s="134" t="s">
        <v>570</v>
      </c>
      <c r="B1287" s="134" t="s">
        <v>4346</v>
      </c>
      <c r="C1287" s="134"/>
      <c r="D1287" s="134" t="s">
        <v>4182</v>
      </c>
      <c r="E1287" s="18">
        <v>41355</v>
      </c>
      <c r="F1287" s="10" t="s">
        <v>4347</v>
      </c>
      <c r="G1287" s="18" t="s">
        <v>4348</v>
      </c>
      <c r="H1287" s="18" t="s">
        <v>4349</v>
      </c>
      <c r="I1287" s="134" t="s">
        <v>4350</v>
      </c>
      <c r="J1287" s="134" t="s">
        <v>570</v>
      </c>
      <c r="K1287" s="18" t="s">
        <v>570</v>
      </c>
      <c r="L1287" s="134" t="s">
        <v>570</v>
      </c>
      <c r="M1287" s="134" t="s">
        <v>570</v>
      </c>
      <c r="N1287" s="134" t="s">
        <v>570</v>
      </c>
      <c r="O1287" s="134" t="s">
        <v>570</v>
      </c>
      <c r="P1287" s="449"/>
      <c r="Q1287" s="26"/>
      <c r="R1287" s="26"/>
      <c r="S1287" s="26"/>
      <c r="T1287" s="500" t="e">
        <f>_xlfn.XLOOKUP(H1287,#REF!,#REF!,0,0)</f>
        <v>#REF!</v>
      </c>
    </row>
    <row r="1288" spans="1:20" x14ac:dyDescent="0.4">
      <c r="A1288" s="134" t="s">
        <v>570</v>
      </c>
      <c r="B1288" s="134" t="s">
        <v>4351</v>
      </c>
      <c r="C1288" s="134"/>
      <c r="D1288" s="135" t="s">
        <v>4182</v>
      </c>
      <c r="E1288" s="18">
        <v>41423</v>
      </c>
      <c r="F1288" s="10" t="s">
        <v>4352</v>
      </c>
      <c r="G1288" s="19">
        <v>58162</v>
      </c>
      <c r="H1288" s="18" t="s">
        <v>4353</v>
      </c>
      <c r="I1288" s="134" t="s">
        <v>4354</v>
      </c>
      <c r="J1288" s="134" t="s">
        <v>570</v>
      </c>
      <c r="K1288" s="18" t="s">
        <v>570</v>
      </c>
      <c r="L1288" s="134" t="s">
        <v>570</v>
      </c>
      <c r="M1288" s="134" t="s">
        <v>570</v>
      </c>
      <c r="N1288" s="134" t="s">
        <v>570</v>
      </c>
      <c r="O1288" s="134" t="s">
        <v>570</v>
      </c>
      <c r="P1288" s="449"/>
      <c r="Q1288" s="26"/>
      <c r="R1288" s="26"/>
      <c r="S1288" s="26"/>
      <c r="T1288" s="500" t="e">
        <f>_xlfn.XLOOKUP(H1288,#REF!,#REF!,0,0)</f>
        <v>#REF!</v>
      </c>
    </row>
    <row r="1289" spans="1:20" x14ac:dyDescent="0.4">
      <c r="A1289" s="134" t="s">
        <v>570</v>
      </c>
      <c r="B1289" s="134" t="s">
        <v>4355</v>
      </c>
      <c r="C1289" s="134"/>
      <c r="D1289" s="135" t="s">
        <v>4182</v>
      </c>
      <c r="E1289" s="18">
        <v>41423</v>
      </c>
      <c r="F1289" s="10" t="s">
        <v>4356</v>
      </c>
      <c r="G1289" s="19">
        <v>58163</v>
      </c>
      <c r="H1289" s="18" t="s">
        <v>4357</v>
      </c>
      <c r="I1289" s="134" t="s">
        <v>4358</v>
      </c>
      <c r="J1289" s="134" t="s">
        <v>570</v>
      </c>
      <c r="K1289" s="18" t="s">
        <v>570</v>
      </c>
      <c r="L1289" s="134" t="s">
        <v>570</v>
      </c>
      <c r="M1289" s="134" t="s">
        <v>570</v>
      </c>
      <c r="N1289" s="134" t="s">
        <v>570</v>
      </c>
      <c r="O1289" s="134" t="s">
        <v>570</v>
      </c>
      <c r="P1289" s="449"/>
      <c r="Q1289" s="26"/>
      <c r="R1289" s="26"/>
      <c r="S1289" s="26"/>
      <c r="T1289" s="500" t="e">
        <f>_xlfn.XLOOKUP(H1289,#REF!,#REF!,0,0)</f>
        <v>#REF!</v>
      </c>
    </row>
    <row r="1290" spans="1:20" x14ac:dyDescent="0.4">
      <c r="A1290" s="134" t="s">
        <v>570</v>
      </c>
      <c r="B1290" s="134" t="s">
        <v>4359</v>
      </c>
      <c r="C1290" s="134"/>
      <c r="D1290" s="135" t="s">
        <v>4182</v>
      </c>
      <c r="E1290" s="18">
        <v>41423</v>
      </c>
      <c r="F1290" s="10" t="s">
        <v>4360</v>
      </c>
      <c r="G1290" s="19">
        <v>58164</v>
      </c>
      <c r="H1290" s="18" t="s">
        <v>4361</v>
      </c>
      <c r="I1290" s="134" t="s">
        <v>4362</v>
      </c>
      <c r="J1290" s="134" t="s">
        <v>570</v>
      </c>
      <c r="K1290" s="18" t="s">
        <v>570</v>
      </c>
      <c r="L1290" s="134" t="s">
        <v>570</v>
      </c>
      <c r="M1290" s="134" t="s">
        <v>570</v>
      </c>
      <c r="N1290" s="134" t="s">
        <v>570</v>
      </c>
      <c r="O1290" s="134" t="s">
        <v>570</v>
      </c>
      <c r="P1290" s="449"/>
      <c r="Q1290" s="26"/>
      <c r="R1290" s="26"/>
      <c r="S1290" s="26"/>
      <c r="T1290" s="500" t="e">
        <f>_xlfn.XLOOKUP(H1290,#REF!,#REF!,0,0)</f>
        <v>#REF!</v>
      </c>
    </row>
    <row r="1291" spans="1:20" x14ac:dyDescent="0.4">
      <c r="A1291" s="134" t="s">
        <v>570</v>
      </c>
      <c r="B1291" s="134" t="s">
        <v>4363</v>
      </c>
      <c r="C1291" s="134"/>
      <c r="D1291" s="135" t="s">
        <v>4182</v>
      </c>
      <c r="E1291" s="18">
        <v>41423</v>
      </c>
      <c r="F1291" s="10" t="s">
        <v>4364</v>
      </c>
      <c r="G1291" s="19">
        <v>58165</v>
      </c>
      <c r="H1291" s="18" t="s">
        <v>4365</v>
      </c>
      <c r="I1291" s="134" t="s">
        <v>4366</v>
      </c>
      <c r="J1291" s="134" t="s">
        <v>570</v>
      </c>
      <c r="K1291" s="18" t="s">
        <v>570</v>
      </c>
      <c r="L1291" s="134" t="s">
        <v>570</v>
      </c>
      <c r="M1291" s="134" t="s">
        <v>570</v>
      </c>
      <c r="N1291" s="134" t="s">
        <v>570</v>
      </c>
      <c r="O1291" s="134" t="s">
        <v>570</v>
      </c>
      <c r="P1291" s="449"/>
      <c r="Q1291" s="26"/>
      <c r="R1291" s="26"/>
      <c r="S1291" s="26"/>
      <c r="T1291" s="500" t="e">
        <f>_xlfn.XLOOKUP(H1291,#REF!,#REF!,0,0)</f>
        <v>#REF!</v>
      </c>
    </row>
    <row r="1292" spans="1:20" x14ac:dyDescent="0.4">
      <c r="A1292" s="134" t="s">
        <v>570</v>
      </c>
      <c r="B1292" s="134" t="s">
        <v>4367</v>
      </c>
      <c r="C1292" s="134"/>
      <c r="D1292" s="135" t="s">
        <v>4182</v>
      </c>
      <c r="E1292" s="18">
        <v>41423</v>
      </c>
      <c r="F1292" s="10" t="s">
        <v>4368</v>
      </c>
      <c r="G1292" s="19">
        <v>58166</v>
      </c>
      <c r="H1292" s="18" t="s">
        <v>4369</v>
      </c>
      <c r="I1292" s="134" t="s">
        <v>4370</v>
      </c>
      <c r="J1292" s="134" t="s">
        <v>570</v>
      </c>
      <c r="K1292" s="18" t="s">
        <v>570</v>
      </c>
      <c r="L1292" s="134" t="s">
        <v>570</v>
      </c>
      <c r="M1292" s="134" t="s">
        <v>570</v>
      </c>
      <c r="N1292" s="134" t="s">
        <v>570</v>
      </c>
      <c r="O1292" s="134" t="s">
        <v>570</v>
      </c>
      <c r="P1292" s="449"/>
      <c r="Q1292" s="26"/>
      <c r="R1292" s="26"/>
      <c r="S1292" s="26"/>
      <c r="T1292" s="500" t="e">
        <f>_xlfn.XLOOKUP(H1292,#REF!,#REF!,0,0)</f>
        <v>#REF!</v>
      </c>
    </row>
    <row r="1293" spans="1:20" x14ac:dyDescent="0.4">
      <c r="A1293" s="134" t="s">
        <v>570</v>
      </c>
      <c r="B1293" s="134" t="s">
        <v>4371</v>
      </c>
      <c r="C1293" s="134"/>
      <c r="D1293" s="135" t="s">
        <v>4182</v>
      </c>
      <c r="E1293" s="18">
        <v>41423</v>
      </c>
      <c r="F1293" s="10" t="s">
        <v>4372</v>
      </c>
      <c r="G1293" s="19">
        <v>58167</v>
      </c>
      <c r="H1293" s="18" t="s">
        <v>4373</v>
      </c>
      <c r="I1293" s="134" t="s">
        <v>4374</v>
      </c>
      <c r="J1293" s="134" t="s">
        <v>570</v>
      </c>
      <c r="K1293" s="18" t="s">
        <v>570</v>
      </c>
      <c r="L1293" s="134" t="s">
        <v>570</v>
      </c>
      <c r="M1293" s="134" t="s">
        <v>570</v>
      </c>
      <c r="N1293" s="134" t="s">
        <v>570</v>
      </c>
      <c r="O1293" s="134" t="s">
        <v>570</v>
      </c>
      <c r="P1293" s="449"/>
      <c r="Q1293" s="26"/>
      <c r="R1293" s="26"/>
      <c r="S1293" s="26"/>
      <c r="T1293" s="500" t="e">
        <f>_xlfn.XLOOKUP(H1293,#REF!,#REF!,0,0)</f>
        <v>#REF!</v>
      </c>
    </row>
    <row r="1294" spans="1:20" x14ac:dyDescent="0.4">
      <c r="A1294" s="134" t="s">
        <v>570</v>
      </c>
      <c r="B1294" s="134" t="s">
        <v>4375</v>
      </c>
      <c r="C1294" s="134"/>
      <c r="D1294" s="135" t="s">
        <v>4182</v>
      </c>
      <c r="E1294" s="18">
        <v>41423</v>
      </c>
      <c r="F1294" s="10" t="s">
        <v>4376</v>
      </c>
      <c r="G1294" s="19">
        <v>58168</v>
      </c>
      <c r="H1294" s="18" t="s">
        <v>4377</v>
      </c>
      <c r="I1294" s="134" t="s">
        <v>4378</v>
      </c>
      <c r="J1294" s="134" t="s">
        <v>570</v>
      </c>
      <c r="K1294" s="18" t="s">
        <v>570</v>
      </c>
      <c r="L1294" s="134" t="s">
        <v>570</v>
      </c>
      <c r="M1294" s="134" t="s">
        <v>570</v>
      </c>
      <c r="N1294" s="134" t="s">
        <v>570</v>
      </c>
      <c r="O1294" s="134" t="s">
        <v>570</v>
      </c>
      <c r="P1294" s="449"/>
      <c r="Q1294" s="26"/>
      <c r="R1294" s="26"/>
      <c r="S1294" s="26"/>
      <c r="T1294" s="500" t="e">
        <f>_xlfn.XLOOKUP(H1294,#REF!,#REF!,0,0)</f>
        <v>#REF!</v>
      </c>
    </row>
    <row r="1295" spans="1:20" x14ac:dyDescent="0.4">
      <c r="A1295" s="134" t="s">
        <v>570</v>
      </c>
      <c r="B1295" s="134" t="s">
        <v>4379</v>
      </c>
      <c r="C1295" s="134"/>
      <c r="D1295" s="135" t="s">
        <v>4182</v>
      </c>
      <c r="E1295" s="18">
        <v>41423</v>
      </c>
      <c r="F1295" s="10" t="s">
        <v>4380</v>
      </c>
      <c r="G1295" s="19">
        <v>58169</v>
      </c>
      <c r="H1295" s="18" t="s">
        <v>4381</v>
      </c>
      <c r="I1295" s="134" t="s">
        <v>4382</v>
      </c>
      <c r="J1295" s="134" t="s">
        <v>570</v>
      </c>
      <c r="K1295" s="18" t="s">
        <v>570</v>
      </c>
      <c r="L1295" s="134" t="s">
        <v>570</v>
      </c>
      <c r="M1295" s="134" t="s">
        <v>570</v>
      </c>
      <c r="N1295" s="134" t="s">
        <v>570</v>
      </c>
      <c r="O1295" s="134" t="s">
        <v>570</v>
      </c>
      <c r="P1295" s="449"/>
      <c r="Q1295" s="26"/>
      <c r="R1295" s="26"/>
      <c r="S1295" s="26"/>
      <c r="T1295" s="500" t="e">
        <f>_xlfn.XLOOKUP(H1295,#REF!,#REF!,0,0)</f>
        <v>#REF!</v>
      </c>
    </row>
    <row r="1296" spans="1:20" x14ac:dyDescent="0.4">
      <c r="A1296" s="134" t="s">
        <v>570</v>
      </c>
      <c r="B1296" s="134" t="s">
        <v>4383</v>
      </c>
      <c r="C1296" s="134"/>
      <c r="D1296" s="135" t="s">
        <v>4182</v>
      </c>
      <c r="E1296" s="18">
        <v>41423</v>
      </c>
      <c r="F1296" s="10" t="s">
        <v>4384</v>
      </c>
      <c r="G1296" s="19">
        <v>58170</v>
      </c>
      <c r="H1296" s="18" t="s">
        <v>4385</v>
      </c>
      <c r="I1296" s="134" t="s">
        <v>4386</v>
      </c>
      <c r="J1296" s="134" t="s">
        <v>570</v>
      </c>
      <c r="K1296" s="18" t="s">
        <v>570</v>
      </c>
      <c r="L1296" s="134" t="s">
        <v>570</v>
      </c>
      <c r="M1296" s="134" t="s">
        <v>570</v>
      </c>
      <c r="N1296" s="134" t="s">
        <v>570</v>
      </c>
      <c r="O1296" s="134" t="s">
        <v>570</v>
      </c>
      <c r="P1296" s="449"/>
      <c r="Q1296" s="26"/>
      <c r="R1296" s="26"/>
      <c r="S1296" s="26"/>
      <c r="T1296" s="500" t="e">
        <f>_xlfn.XLOOKUP(H1296,#REF!,#REF!,0,0)</f>
        <v>#REF!</v>
      </c>
    </row>
    <row r="1297" spans="1:20" x14ac:dyDescent="0.4">
      <c r="A1297" s="134" t="s">
        <v>570</v>
      </c>
      <c r="B1297" s="134" t="s">
        <v>4387</v>
      </c>
      <c r="C1297" s="134"/>
      <c r="D1297" s="135" t="s">
        <v>4182</v>
      </c>
      <c r="E1297" s="18">
        <v>41423</v>
      </c>
      <c r="F1297" s="10" t="s">
        <v>4388</v>
      </c>
      <c r="G1297" s="19">
        <v>58171</v>
      </c>
      <c r="H1297" s="18" t="s">
        <v>4389</v>
      </c>
      <c r="I1297" s="134" t="s">
        <v>4390</v>
      </c>
      <c r="J1297" s="134" t="s">
        <v>570</v>
      </c>
      <c r="K1297" s="18" t="s">
        <v>570</v>
      </c>
      <c r="L1297" s="134" t="s">
        <v>570</v>
      </c>
      <c r="M1297" s="134" t="s">
        <v>570</v>
      </c>
      <c r="N1297" s="134" t="s">
        <v>570</v>
      </c>
      <c r="O1297" s="134" t="s">
        <v>570</v>
      </c>
      <c r="P1297" s="449"/>
      <c r="Q1297" s="26"/>
      <c r="R1297" s="26"/>
      <c r="S1297" s="26"/>
      <c r="T1297" s="500" t="e">
        <f>_xlfn.XLOOKUP(H1297,#REF!,#REF!,0,0)</f>
        <v>#REF!</v>
      </c>
    </row>
    <row r="1298" spans="1:20" x14ac:dyDescent="0.4">
      <c r="A1298" s="134" t="s">
        <v>570</v>
      </c>
      <c r="B1298" s="134" t="s">
        <v>4391</v>
      </c>
      <c r="C1298" s="134"/>
      <c r="D1298" s="134" t="s">
        <v>4182</v>
      </c>
      <c r="E1298" s="18">
        <v>41485</v>
      </c>
      <c r="F1298" s="10" t="s">
        <v>4392</v>
      </c>
      <c r="G1298" s="18">
        <v>58390</v>
      </c>
      <c r="H1298" s="18" t="s">
        <v>4393</v>
      </c>
      <c r="I1298" s="134" t="s">
        <v>4394</v>
      </c>
      <c r="J1298" s="134" t="s">
        <v>570</v>
      </c>
      <c r="K1298" s="18" t="s">
        <v>570</v>
      </c>
      <c r="L1298" s="134" t="s">
        <v>570</v>
      </c>
      <c r="M1298" s="134" t="s">
        <v>570</v>
      </c>
      <c r="N1298" s="134" t="s">
        <v>570</v>
      </c>
      <c r="O1298" s="134" t="s">
        <v>570</v>
      </c>
      <c r="P1298" s="449"/>
      <c r="Q1298" s="26"/>
      <c r="R1298" s="26"/>
      <c r="S1298" s="26"/>
      <c r="T1298" s="500" t="e">
        <f>_xlfn.XLOOKUP(H1298,#REF!,#REF!,0,0)</f>
        <v>#REF!</v>
      </c>
    </row>
    <row r="1299" spans="1:20" x14ac:dyDescent="0.4">
      <c r="A1299" s="134" t="s">
        <v>570</v>
      </c>
      <c r="B1299" s="134" t="s">
        <v>4395</v>
      </c>
      <c r="C1299" s="134"/>
      <c r="D1299" s="134" t="s">
        <v>4182</v>
      </c>
      <c r="E1299" s="18">
        <v>41485</v>
      </c>
      <c r="F1299" s="10" t="s">
        <v>4396</v>
      </c>
      <c r="G1299" s="18">
        <v>58391</v>
      </c>
      <c r="H1299" s="18" t="s">
        <v>4397</v>
      </c>
      <c r="I1299" s="134" t="s">
        <v>4398</v>
      </c>
      <c r="J1299" s="134" t="s">
        <v>570</v>
      </c>
      <c r="K1299" s="18" t="s">
        <v>570</v>
      </c>
      <c r="L1299" s="134" t="s">
        <v>570</v>
      </c>
      <c r="M1299" s="134" t="s">
        <v>570</v>
      </c>
      <c r="N1299" s="134" t="s">
        <v>570</v>
      </c>
      <c r="O1299" s="134" t="s">
        <v>570</v>
      </c>
      <c r="P1299" s="449"/>
      <c r="Q1299" s="26"/>
      <c r="R1299" s="26"/>
      <c r="S1299" s="26"/>
      <c r="T1299" s="500" t="e">
        <f>_xlfn.XLOOKUP(H1299,#REF!,#REF!,0,0)</f>
        <v>#REF!</v>
      </c>
    </row>
    <row r="1300" spans="1:20" x14ac:dyDescent="0.4">
      <c r="A1300" s="134" t="s">
        <v>570</v>
      </c>
      <c r="B1300" s="134" t="s">
        <v>4399</v>
      </c>
      <c r="C1300" s="134"/>
      <c r="D1300" s="134" t="s">
        <v>4182</v>
      </c>
      <c r="E1300" s="18">
        <v>41485</v>
      </c>
      <c r="F1300" s="10" t="s">
        <v>4400</v>
      </c>
      <c r="G1300" s="18">
        <v>58392</v>
      </c>
      <c r="H1300" s="18" t="s">
        <v>4401</v>
      </c>
      <c r="I1300" s="134" t="s">
        <v>4402</v>
      </c>
      <c r="J1300" s="134" t="s">
        <v>570</v>
      </c>
      <c r="K1300" s="18" t="s">
        <v>570</v>
      </c>
      <c r="L1300" s="134" t="s">
        <v>570</v>
      </c>
      <c r="M1300" s="134" t="s">
        <v>570</v>
      </c>
      <c r="N1300" s="134" t="s">
        <v>570</v>
      </c>
      <c r="O1300" s="134" t="s">
        <v>570</v>
      </c>
      <c r="P1300" s="449"/>
      <c r="Q1300" s="26"/>
      <c r="R1300" s="26"/>
      <c r="S1300" s="26"/>
      <c r="T1300" s="500" t="e">
        <f>_xlfn.XLOOKUP(H1300,#REF!,#REF!,0,0)</f>
        <v>#REF!</v>
      </c>
    </row>
    <row r="1301" spans="1:20" x14ac:dyDescent="0.4">
      <c r="A1301" s="134" t="s">
        <v>570</v>
      </c>
      <c r="B1301" s="134" t="s">
        <v>4403</v>
      </c>
      <c r="C1301" s="134"/>
      <c r="D1301" s="134" t="s">
        <v>4182</v>
      </c>
      <c r="E1301" s="18">
        <v>41485</v>
      </c>
      <c r="F1301" s="10" t="s">
        <v>4404</v>
      </c>
      <c r="G1301" s="18">
        <v>58393</v>
      </c>
      <c r="H1301" s="18" t="s">
        <v>4405</v>
      </c>
      <c r="I1301" s="134" t="s">
        <v>4406</v>
      </c>
      <c r="J1301" s="134" t="s">
        <v>570</v>
      </c>
      <c r="K1301" s="18" t="s">
        <v>570</v>
      </c>
      <c r="L1301" s="134" t="s">
        <v>570</v>
      </c>
      <c r="M1301" s="134" t="s">
        <v>570</v>
      </c>
      <c r="N1301" s="134" t="s">
        <v>570</v>
      </c>
      <c r="O1301" s="134" t="s">
        <v>570</v>
      </c>
      <c r="P1301" s="449"/>
      <c r="Q1301" s="26"/>
      <c r="R1301" s="26"/>
      <c r="S1301" s="26"/>
      <c r="T1301" s="500" t="e">
        <f>_xlfn.XLOOKUP(H1301,#REF!,#REF!,0,0)</f>
        <v>#REF!</v>
      </c>
    </row>
    <row r="1302" spans="1:20" x14ac:dyDescent="0.4">
      <c r="A1302" s="134"/>
      <c r="B1302" s="134" t="s">
        <v>4407</v>
      </c>
      <c r="C1302" s="134"/>
      <c r="D1302" s="134" t="s">
        <v>4182</v>
      </c>
      <c r="E1302" s="18">
        <v>41485</v>
      </c>
      <c r="F1302" s="10" t="s">
        <v>4408</v>
      </c>
      <c r="G1302" s="18">
        <v>58394</v>
      </c>
      <c r="H1302" s="18" t="s">
        <v>4409</v>
      </c>
      <c r="I1302" s="134" t="s">
        <v>4410</v>
      </c>
      <c r="J1302" s="134" t="s">
        <v>570</v>
      </c>
      <c r="K1302" s="18" t="s">
        <v>570</v>
      </c>
      <c r="L1302" s="134" t="s">
        <v>570</v>
      </c>
      <c r="M1302" s="134" t="s">
        <v>570</v>
      </c>
      <c r="N1302" s="134" t="s">
        <v>570</v>
      </c>
      <c r="O1302" s="134" t="s">
        <v>570</v>
      </c>
      <c r="P1302" s="449"/>
      <c r="Q1302" s="26"/>
      <c r="R1302" s="26"/>
      <c r="S1302" s="26"/>
      <c r="T1302" s="500" t="e">
        <f>_xlfn.XLOOKUP(H1302,#REF!,#REF!,0,0)</f>
        <v>#REF!</v>
      </c>
    </row>
    <row r="1303" spans="1:20" x14ac:dyDescent="0.4">
      <c r="A1303" s="134" t="s">
        <v>570</v>
      </c>
      <c r="B1303" s="134" t="s">
        <v>4411</v>
      </c>
      <c r="C1303" s="134"/>
      <c r="D1303" s="134" t="s">
        <v>4182</v>
      </c>
      <c r="E1303" s="18">
        <v>41485</v>
      </c>
      <c r="F1303" s="10" t="s">
        <v>4412</v>
      </c>
      <c r="G1303" s="18">
        <v>58395</v>
      </c>
      <c r="H1303" s="18" t="s">
        <v>4413</v>
      </c>
      <c r="I1303" s="134" t="s">
        <v>4414</v>
      </c>
      <c r="J1303" s="134" t="s">
        <v>570</v>
      </c>
      <c r="K1303" s="18" t="s">
        <v>570</v>
      </c>
      <c r="L1303" s="134" t="s">
        <v>570</v>
      </c>
      <c r="M1303" s="134" t="s">
        <v>570</v>
      </c>
      <c r="N1303" s="134" t="s">
        <v>570</v>
      </c>
      <c r="O1303" s="134" t="s">
        <v>570</v>
      </c>
      <c r="P1303" s="449"/>
      <c r="Q1303" s="26"/>
      <c r="R1303" s="26"/>
      <c r="S1303" s="26"/>
      <c r="T1303" s="500" t="e">
        <f>_xlfn.XLOOKUP(H1303,#REF!,#REF!,0,0)</f>
        <v>#REF!</v>
      </c>
    </row>
    <row r="1304" spans="1:20" x14ac:dyDescent="0.4">
      <c r="A1304" s="134" t="s">
        <v>570</v>
      </c>
      <c r="B1304" s="134" t="s">
        <v>4415</v>
      </c>
      <c r="C1304" s="134"/>
      <c r="D1304" s="134" t="s">
        <v>4182</v>
      </c>
      <c r="E1304" s="18">
        <v>41485</v>
      </c>
      <c r="F1304" s="10" t="s">
        <v>4416</v>
      </c>
      <c r="G1304" s="18">
        <v>58396</v>
      </c>
      <c r="H1304" s="18" t="s">
        <v>4417</v>
      </c>
      <c r="I1304" s="134" t="s">
        <v>4418</v>
      </c>
      <c r="J1304" s="134" t="s">
        <v>570</v>
      </c>
      <c r="K1304" s="18" t="s">
        <v>570</v>
      </c>
      <c r="L1304" s="134" t="s">
        <v>570</v>
      </c>
      <c r="M1304" s="134" t="s">
        <v>570</v>
      </c>
      <c r="N1304" s="134" t="s">
        <v>570</v>
      </c>
      <c r="O1304" s="134" t="s">
        <v>570</v>
      </c>
      <c r="P1304" s="449"/>
      <c r="Q1304" s="26"/>
      <c r="R1304" s="26"/>
      <c r="S1304" s="26"/>
      <c r="T1304" s="500" t="e">
        <f>_xlfn.XLOOKUP(H1304,#REF!,#REF!,0,0)</f>
        <v>#REF!</v>
      </c>
    </row>
    <row r="1305" spans="1:20" x14ac:dyDescent="0.4">
      <c r="A1305" s="134" t="s">
        <v>570</v>
      </c>
      <c r="B1305" s="134" t="s">
        <v>4419</v>
      </c>
      <c r="C1305" s="134"/>
      <c r="D1305" s="134" t="s">
        <v>4182</v>
      </c>
      <c r="E1305" s="18">
        <v>41485</v>
      </c>
      <c r="F1305" s="10" t="s">
        <v>4420</v>
      </c>
      <c r="G1305" s="18">
        <v>58397</v>
      </c>
      <c r="H1305" s="18" t="s">
        <v>4421</v>
      </c>
      <c r="I1305" s="134" t="s">
        <v>4422</v>
      </c>
      <c r="J1305" s="134" t="s">
        <v>570</v>
      </c>
      <c r="K1305" s="18" t="s">
        <v>570</v>
      </c>
      <c r="L1305" s="134" t="s">
        <v>570</v>
      </c>
      <c r="M1305" s="134" t="s">
        <v>570</v>
      </c>
      <c r="N1305" s="134" t="s">
        <v>570</v>
      </c>
      <c r="O1305" s="134" t="s">
        <v>570</v>
      </c>
      <c r="P1305" s="449"/>
      <c r="Q1305" s="26"/>
      <c r="R1305" s="26"/>
      <c r="S1305" s="26"/>
      <c r="T1305" s="500" t="e">
        <f>_xlfn.XLOOKUP(H1305,#REF!,#REF!,0,0)</f>
        <v>#REF!</v>
      </c>
    </row>
    <row r="1306" spans="1:20" x14ac:dyDescent="0.4">
      <c r="A1306" s="134" t="s">
        <v>570</v>
      </c>
      <c r="B1306" s="134" t="s">
        <v>4423</v>
      </c>
      <c r="C1306" s="134"/>
      <c r="D1306" s="134" t="s">
        <v>4182</v>
      </c>
      <c r="E1306" s="18">
        <v>41485</v>
      </c>
      <c r="F1306" s="10" t="s">
        <v>4424</v>
      </c>
      <c r="G1306" s="18">
        <v>58398</v>
      </c>
      <c r="H1306" s="18" t="s">
        <v>4425</v>
      </c>
      <c r="I1306" s="134" t="s">
        <v>4426</v>
      </c>
      <c r="J1306" s="134" t="s">
        <v>570</v>
      </c>
      <c r="K1306" s="18" t="s">
        <v>570</v>
      </c>
      <c r="L1306" s="134" t="s">
        <v>570</v>
      </c>
      <c r="M1306" s="134" t="s">
        <v>570</v>
      </c>
      <c r="N1306" s="134" t="s">
        <v>570</v>
      </c>
      <c r="O1306" s="134" t="s">
        <v>570</v>
      </c>
      <c r="P1306" s="449"/>
      <c r="Q1306" s="26"/>
      <c r="R1306" s="26"/>
      <c r="S1306" s="26"/>
      <c r="T1306" s="500" t="e">
        <f>_xlfn.XLOOKUP(H1306,#REF!,#REF!,0,0)</f>
        <v>#REF!</v>
      </c>
    </row>
    <row r="1307" spans="1:20" x14ac:dyDescent="0.4">
      <c r="A1307" s="134" t="s">
        <v>570</v>
      </c>
      <c r="B1307" s="134" t="s">
        <v>4427</v>
      </c>
      <c r="C1307" s="134"/>
      <c r="D1307" s="134" t="s">
        <v>4182</v>
      </c>
      <c r="E1307" s="18">
        <v>41485</v>
      </c>
      <c r="F1307" s="10" t="s">
        <v>4428</v>
      </c>
      <c r="G1307" s="18">
        <v>58399</v>
      </c>
      <c r="H1307" s="18" t="s">
        <v>4429</v>
      </c>
      <c r="I1307" s="134" t="s">
        <v>4430</v>
      </c>
      <c r="J1307" s="134" t="s">
        <v>570</v>
      </c>
      <c r="K1307" s="18" t="s">
        <v>570</v>
      </c>
      <c r="L1307" s="134" t="s">
        <v>570</v>
      </c>
      <c r="M1307" s="134" t="s">
        <v>570</v>
      </c>
      <c r="N1307" s="134" t="s">
        <v>570</v>
      </c>
      <c r="O1307" s="134" t="s">
        <v>570</v>
      </c>
      <c r="P1307" s="449"/>
      <c r="Q1307" s="26"/>
      <c r="R1307" s="26"/>
      <c r="S1307" s="26"/>
      <c r="T1307" s="500" t="e">
        <f>_xlfn.XLOOKUP(H1307,#REF!,#REF!,0,0)</f>
        <v>#REF!</v>
      </c>
    </row>
    <row r="1308" spans="1:20" x14ac:dyDescent="0.4">
      <c r="A1308" s="134" t="s">
        <v>570</v>
      </c>
      <c r="B1308" s="134" t="s">
        <v>4431</v>
      </c>
      <c r="C1308" s="134"/>
      <c r="D1308" s="134" t="s">
        <v>4182</v>
      </c>
      <c r="E1308" s="18">
        <v>41485</v>
      </c>
      <c r="F1308" s="10" t="s">
        <v>4432</v>
      </c>
      <c r="G1308" s="18">
        <v>58400</v>
      </c>
      <c r="H1308" s="18" t="s">
        <v>4433</v>
      </c>
      <c r="I1308" s="134" t="s">
        <v>4434</v>
      </c>
      <c r="J1308" s="134" t="s">
        <v>570</v>
      </c>
      <c r="K1308" s="18" t="s">
        <v>570</v>
      </c>
      <c r="L1308" s="134" t="s">
        <v>570</v>
      </c>
      <c r="M1308" s="134" t="s">
        <v>570</v>
      </c>
      <c r="N1308" s="134" t="s">
        <v>570</v>
      </c>
      <c r="O1308" s="134" t="s">
        <v>570</v>
      </c>
      <c r="P1308" s="449"/>
      <c r="Q1308" s="26"/>
      <c r="R1308" s="26"/>
      <c r="S1308" s="26"/>
      <c r="T1308" s="500" t="e">
        <f>_xlfn.XLOOKUP(H1308,#REF!,#REF!,0,0)</f>
        <v>#REF!</v>
      </c>
    </row>
    <row r="1309" spans="1:20" x14ac:dyDescent="0.4">
      <c r="A1309" s="134" t="s">
        <v>570</v>
      </c>
      <c r="B1309" s="134" t="s">
        <v>4435</v>
      </c>
      <c r="C1309" s="134"/>
      <c r="D1309" s="134" t="s">
        <v>4182</v>
      </c>
      <c r="E1309" s="18">
        <v>41485</v>
      </c>
      <c r="F1309" s="10" t="s">
        <v>4436</v>
      </c>
      <c r="G1309" s="18">
        <v>58401</v>
      </c>
      <c r="H1309" s="18" t="s">
        <v>4437</v>
      </c>
      <c r="I1309" s="134" t="s">
        <v>4438</v>
      </c>
      <c r="J1309" s="134" t="s">
        <v>570</v>
      </c>
      <c r="K1309" s="18" t="s">
        <v>570</v>
      </c>
      <c r="L1309" s="134" t="s">
        <v>570</v>
      </c>
      <c r="M1309" s="134" t="s">
        <v>570</v>
      </c>
      <c r="N1309" s="134" t="s">
        <v>570</v>
      </c>
      <c r="O1309" s="134" t="s">
        <v>570</v>
      </c>
      <c r="P1309" s="449"/>
      <c r="Q1309" s="26"/>
      <c r="R1309" s="26"/>
      <c r="S1309" s="26"/>
      <c r="T1309" s="500" t="e">
        <f>_xlfn.XLOOKUP(H1309,#REF!,#REF!,0,0)</f>
        <v>#REF!</v>
      </c>
    </row>
    <row r="1310" spans="1:20" x14ac:dyDescent="0.4">
      <c r="A1310" s="134" t="s">
        <v>570</v>
      </c>
      <c r="B1310" s="134" t="s">
        <v>4439</v>
      </c>
      <c r="C1310" s="134"/>
      <c r="D1310" s="134" t="s">
        <v>4182</v>
      </c>
      <c r="E1310" s="18">
        <v>41485</v>
      </c>
      <c r="F1310" s="10" t="s">
        <v>4440</v>
      </c>
      <c r="G1310" s="18">
        <v>58402</v>
      </c>
      <c r="H1310" s="18" t="s">
        <v>4441</v>
      </c>
      <c r="I1310" s="134" t="s">
        <v>4442</v>
      </c>
      <c r="J1310" s="134" t="s">
        <v>570</v>
      </c>
      <c r="K1310" s="18" t="s">
        <v>570</v>
      </c>
      <c r="L1310" s="134" t="s">
        <v>570</v>
      </c>
      <c r="M1310" s="134" t="s">
        <v>570</v>
      </c>
      <c r="N1310" s="134" t="s">
        <v>570</v>
      </c>
      <c r="O1310" s="134" t="s">
        <v>570</v>
      </c>
      <c r="P1310" s="449"/>
      <c r="Q1310" s="26"/>
      <c r="R1310" s="26"/>
      <c r="S1310" s="26"/>
      <c r="T1310" s="500" t="e">
        <f>_xlfn.XLOOKUP(H1310,#REF!,#REF!,0,0)</f>
        <v>#REF!</v>
      </c>
    </row>
    <row r="1311" spans="1:20" x14ac:dyDescent="0.4">
      <c r="A1311" s="134" t="s">
        <v>570</v>
      </c>
      <c r="B1311" s="134" t="s">
        <v>4443</v>
      </c>
      <c r="C1311" s="134"/>
      <c r="D1311" s="134" t="s">
        <v>4182</v>
      </c>
      <c r="E1311" s="18">
        <v>41485</v>
      </c>
      <c r="F1311" s="10" t="s">
        <v>4444</v>
      </c>
      <c r="G1311" s="18">
        <v>58403</v>
      </c>
      <c r="H1311" s="18" t="s">
        <v>4445</v>
      </c>
      <c r="I1311" s="134" t="s">
        <v>4446</v>
      </c>
      <c r="J1311" s="134" t="s">
        <v>570</v>
      </c>
      <c r="K1311" s="18" t="s">
        <v>570</v>
      </c>
      <c r="L1311" s="134" t="s">
        <v>570</v>
      </c>
      <c r="M1311" s="134" t="s">
        <v>570</v>
      </c>
      <c r="N1311" s="134" t="s">
        <v>570</v>
      </c>
      <c r="O1311" s="134" t="s">
        <v>570</v>
      </c>
      <c r="P1311" s="449"/>
      <c r="Q1311" s="26"/>
      <c r="R1311" s="26"/>
      <c r="S1311" s="26"/>
      <c r="T1311" s="500" t="e">
        <f>_xlfn.XLOOKUP(H1311,#REF!,#REF!,0,0)</f>
        <v>#REF!</v>
      </c>
    </row>
    <row r="1312" spans="1:20" x14ac:dyDescent="0.4">
      <c r="A1312" s="134" t="s">
        <v>570</v>
      </c>
      <c r="B1312" s="134" t="s">
        <v>4447</v>
      </c>
      <c r="C1312" s="134"/>
      <c r="D1312" s="134" t="s">
        <v>4182</v>
      </c>
      <c r="E1312" s="18">
        <v>41485</v>
      </c>
      <c r="F1312" s="10" t="s">
        <v>4448</v>
      </c>
      <c r="G1312" s="18">
        <v>58404</v>
      </c>
      <c r="H1312" s="18" t="s">
        <v>4449</v>
      </c>
      <c r="I1312" s="134" t="s">
        <v>4450</v>
      </c>
      <c r="J1312" s="134" t="s">
        <v>570</v>
      </c>
      <c r="K1312" s="18" t="s">
        <v>570</v>
      </c>
      <c r="L1312" s="134" t="s">
        <v>570</v>
      </c>
      <c r="M1312" s="134" t="s">
        <v>570</v>
      </c>
      <c r="N1312" s="134" t="s">
        <v>570</v>
      </c>
      <c r="O1312" s="134" t="s">
        <v>570</v>
      </c>
      <c r="P1312" s="449"/>
      <c r="Q1312" s="26"/>
      <c r="R1312" s="26"/>
      <c r="S1312" s="26"/>
      <c r="T1312" s="500" t="e">
        <f>_xlfn.XLOOKUP(H1312,#REF!,#REF!,0,0)</f>
        <v>#REF!</v>
      </c>
    </row>
    <row r="1313" spans="1:20" x14ac:dyDescent="0.4">
      <c r="A1313" s="134"/>
      <c r="B1313" s="134" t="s">
        <v>4451</v>
      </c>
      <c r="C1313" s="134"/>
      <c r="D1313" s="134" t="s">
        <v>4182</v>
      </c>
      <c r="E1313" s="18">
        <v>41485</v>
      </c>
      <c r="F1313" s="10" t="s">
        <v>4452</v>
      </c>
      <c r="G1313" s="18">
        <v>58405</v>
      </c>
      <c r="H1313" s="18" t="s">
        <v>4453</v>
      </c>
      <c r="I1313" s="134" t="s">
        <v>4454</v>
      </c>
      <c r="J1313" s="134" t="s">
        <v>570</v>
      </c>
      <c r="K1313" s="18" t="s">
        <v>570</v>
      </c>
      <c r="L1313" s="134" t="s">
        <v>570</v>
      </c>
      <c r="M1313" s="134" t="s">
        <v>570</v>
      </c>
      <c r="N1313" s="134" t="s">
        <v>570</v>
      </c>
      <c r="O1313" s="134" t="s">
        <v>570</v>
      </c>
      <c r="P1313" s="449"/>
      <c r="Q1313" s="26"/>
      <c r="R1313" s="26"/>
      <c r="S1313" s="26"/>
      <c r="T1313" s="500" t="e">
        <f>_xlfn.XLOOKUP(H1313,#REF!,#REF!,0,0)</f>
        <v>#REF!</v>
      </c>
    </row>
    <row r="1314" spans="1:20" x14ac:dyDescent="0.4">
      <c r="A1314" s="134" t="s">
        <v>570</v>
      </c>
      <c r="B1314" s="134" t="s">
        <v>4455</v>
      </c>
      <c r="C1314" s="134"/>
      <c r="D1314" s="134" t="s">
        <v>4182</v>
      </c>
      <c r="E1314" s="18">
        <v>41485</v>
      </c>
      <c r="F1314" s="10" t="s">
        <v>4456</v>
      </c>
      <c r="G1314" s="18">
        <v>58406</v>
      </c>
      <c r="H1314" s="18" t="s">
        <v>4457</v>
      </c>
      <c r="I1314" s="134" t="s">
        <v>4458</v>
      </c>
      <c r="J1314" s="134" t="s">
        <v>570</v>
      </c>
      <c r="K1314" s="18" t="s">
        <v>570</v>
      </c>
      <c r="L1314" s="134" t="s">
        <v>570</v>
      </c>
      <c r="M1314" s="134" t="s">
        <v>570</v>
      </c>
      <c r="N1314" s="134" t="s">
        <v>570</v>
      </c>
      <c r="O1314" s="134" t="s">
        <v>570</v>
      </c>
      <c r="P1314" s="449"/>
      <c r="Q1314" s="26"/>
      <c r="R1314" s="26"/>
      <c r="S1314" s="26"/>
      <c r="T1314" s="500" t="e">
        <f>_xlfn.XLOOKUP(H1314,#REF!,#REF!,0,0)</f>
        <v>#REF!</v>
      </c>
    </row>
    <row r="1315" spans="1:20" x14ac:dyDescent="0.4">
      <c r="A1315" s="134" t="s">
        <v>570</v>
      </c>
      <c r="B1315" s="134" t="s">
        <v>4459</v>
      </c>
      <c r="C1315" s="134"/>
      <c r="D1315" s="134" t="s">
        <v>4182</v>
      </c>
      <c r="E1315" s="18">
        <v>41485</v>
      </c>
      <c r="F1315" s="10" t="s">
        <v>4460</v>
      </c>
      <c r="G1315" s="18">
        <v>58407</v>
      </c>
      <c r="H1315" s="18" t="s">
        <v>4461</v>
      </c>
      <c r="I1315" s="134" t="s">
        <v>4462</v>
      </c>
      <c r="J1315" s="134" t="s">
        <v>570</v>
      </c>
      <c r="K1315" s="18" t="s">
        <v>570</v>
      </c>
      <c r="L1315" s="134" t="s">
        <v>570</v>
      </c>
      <c r="M1315" s="134" t="s">
        <v>570</v>
      </c>
      <c r="N1315" s="134" t="s">
        <v>570</v>
      </c>
      <c r="O1315" s="134" t="s">
        <v>570</v>
      </c>
      <c r="P1315" s="449"/>
      <c r="Q1315" s="26"/>
      <c r="R1315" s="26"/>
      <c r="S1315" s="26"/>
      <c r="T1315" s="500" t="e">
        <f>_xlfn.XLOOKUP(H1315,#REF!,#REF!,0,0)</f>
        <v>#REF!</v>
      </c>
    </row>
    <row r="1316" spans="1:20" x14ac:dyDescent="0.4">
      <c r="A1316" s="134" t="s">
        <v>570</v>
      </c>
      <c r="B1316" s="134" t="s">
        <v>4463</v>
      </c>
      <c r="C1316" s="134"/>
      <c r="D1316" s="134" t="s">
        <v>4182</v>
      </c>
      <c r="E1316" s="18">
        <v>41485</v>
      </c>
      <c r="F1316" s="10" t="s">
        <v>4464</v>
      </c>
      <c r="G1316" s="18">
        <v>58408</v>
      </c>
      <c r="H1316" s="18" t="s">
        <v>4465</v>
      </c>
      <c r="I1316" s="134" t="s">
        <v>4466</v>
      </c>
      <c r="J1316" s="134" t="s">
        <v>570</v>
      </c>
      <c r="K1316" s="18" t="s">
        <v>570</v>
      </c>
      <c r="L1316" s="134" t="s">
        <v>570</v>
      </c>
      <c r="M1316" s="134" t="s">
        <v>570</v>
      </c>
      <c r="N1316" s="134" t="s">
        <v>570</v>
      </c>
      <c r="O1316" s="134" t="s">
        <v>570</v>
      </c>
      <c r="P1316" s="449"/>
      <c r="Q1316" s="26"/>
      <c r="R1316" s="26"/>
      <c r="S1316" s="26"/>
      <c r="T1316" s="500" t="e">
        <f>_xlfn.XLOOKUP(H1316,#REF!,#REF!,0,0)</f>
        <v>#REF!</v>
      </c>
    </row>
    <row r="1317" spans="1:20" x14ac:dyDescent="0.4">
      <c r="A1317" s="134" t="s">
        <v>570</v>
      </c>
      <c r="B1317" s="134" t="s">
        <v>4467</v>
      </c>
      <c r="C1317" s="134"/>
      <c r="D1317" s="134" t="s">
        <v>4182</v>
      </c>
      <c r="E1317" s="18">
        <v>41485</v>
      </c>
      <c r="F1317" s="10" t="s">
        <v>4468</v>
      </c>
      <c r="G1317" s="18">
        <v>58409</v>
      </c>
      <c r="H1317" s="18" t="s">
        <v>4469</v>
      </c>
      <c r="I1317" s="134" t="s">
        <v>4470</v>
      </c>
      <c r="J1317" s="134" t="s">
        <v>570</v>
      </c>
      <c r="K1317" s="18" t="s">
        <v>570</v>
      </c>
      <c r="L1317" s="134" t="s">
        <v>570</v>
      </c>
      <c r="M1317" s="134" t="s">
        <v>570</v>
      </c>
      <c r="N1317" s="134" t="s">
        <v>570</v>
      </c>
      <c r="O1317" s="134" t="s">
        <v>570</v>
      </c>
      <c r="P1317" s="449"/>
      <c r="Q1317" s="26"/>
      <c r="R1317" s="26"/>
      <c r="S1317" s="26"/>
      <c r="T1317" s="500" t="e">
        <f>_xlfn.XLOOKUP(H1317,#REF!,#REF!,0,0)</f>
        <v>#REF!</v>
      </c>
    </row>
    <row r="1318" spans="1:20" x14ac:dyDescent="0.4">
      <c r="A1318" s="134" t="s">
        <v>570</v>
      </c>
      <c r="B1318" s="134" t="s">
        <v>4471</v>
      </c>
      <c r="C1318" s="134"/>
      <c r="D1318" s="134" t="s">
        <v>4182</v>
      </c>
      <c r="E1318" s="18">
        <v>41485</v>
      </c>
      <c r="F1318" s="10" t="s">
        <v>4472</v>
      </c>
      <c r="G1318" s="18">
        <v>58410</v>
      </c>
      <c r="H1318" s="18" t="s">
        <v>4473</v>
      </c>
      <c r="I1318" s="134" t="s">
        <v>4474</v>
      </c>
      <c r="J1318" s="134" t="s">
        <v>570</v>
      </c>
      <c r="K1318" s="18" t="s">
        <v>570</v>
      </c>
      <c r="L1318" s="134" t="s">
        <v>570</v>
      </c>
      <c r="M1318" s="134" t="s">
        <v>570</v>
      </c>
      <c r="N1318" s="134" t="s">
        <v>570</v>
      </c>
      <c r="O1318" s="134" t="s">
        <v>570</v>
      </c>
      <c r="P1318" s="449"/>
      <c r="Q1318" s="26"/>
      <c r="R1318" s="26"/>
      <c r="S1318" s="26"/>
      <c r="T1318" s="500" t="e">
        <f>_xlfn.XLOOKUP(H1318,#REF!,#REF!,0,0)</f>
        <v>#REF!</v>
      </c>
    </row>
    <row r="1319" spans="1:20" x14ac:dyDescent="0.4">
      <c r="A1319" s="134" t="s">
        <v>570</v>
      </c>
      <c r="B1319" s="134" t="s">
        <v>4475</v>
      </c>
      <c r="C1319" s="134"/>
      <c r="D1319" s="134" t="s">
        <v>4182</v>
      </c>
      <c r="E1319" s="18">
        <v>41485</v>
      </c>
      <c r="F1319" s="10" t="s">
        <v>4476</v>
      </c>
      <c r="G1319" s="18">
        <v>58411</v>
      </c>
      <c r="H1319" s="18" t="s">
        <v>4477</v>
      </c>
      <c r="I1319" s="134" t="s">
        <v>4478</v>
      </c>
      <c r="J1319" s="134" t="s">
        <v>570</v>
      </c>
      <c r="K1319" s="18" t="s">
        <v>570</v>
      </c>
      <c r="L1319" s="134" t="s">
        <v>570</v>
      </c>
      <c r="M1319" s="134" t="s">
        <v>570</v>
      </c>
      <c r="N1319" s="134" t="s">
        <v>570</v>
      </c>
      <c r="O1319" s="134" t="s">
        <v>570</v>
      </c>
      <c r="P1319" s="449"/>
      <c r="Q1319" s="26"/>
      <c r="R1319" s="26"/>
      <c r="S1319" s="26"/>
      <c r="T1319" s="500" t="e">
        <f>_xlfn.XLOOKUP(H1319,#REF!,#REF!,0,0)</f>
        <v>#REF!</v>
      </c>
    </row>
    <row r="1320" spans="1:20" x14ac:dyDescent="0.4">
      <c r="A1320" s="134" t="s">
        <v>570</v>
      </c>
      <c r="B1320" s="134" t="s">
        <v>4479</v>
      </c>
      <c r="C1320" s="134"/>
      <c r="D1320" s="134" t="s">
        <v>4182</v>
      </c>
      <c r="E1320" s="18">
        <v>41485</v>
      </c>
      <c r="F1320" s="10" t="s">
        <v>4480</v>
      </c>
      <c r="G1320" s="18">
        <v>58412</v>
      </c>
      <c r="H1320" s="18" t="s">
        <v>4481</v>
      </c>
      <c r="I1320" s="134" t="s">
        <v>4482</v>
      </c>
      <c r="J1320" s="134" t="s">
        <v>570</v>
      </c>
      <c r="K1320" s="18" t="s">
        <v>570</v>
      </c>
      <c r="L1320" s="134" t="s">
        <v>570</v>
      </c>
      <c r="M1320" s="134" t="s">
        <v>570</v>
      </c>
      <c r="N1320" s="134" t="s">
        <v>570</v>
      </c>
      <c r="O1320" s="134" t="s">
        <v>570</v>
      </c>
      <c r="P1320" s="449"/>
      <c r="Q1320" s="26"/>
      <c r="R1320" s="26"/>
      <c r="S1320" s="26"/>
      <c r="T1320" s="500" t="e">
        <f>_xlfn.XLOOKUP(H1320,#REF!,#REF!,0,0)</f>
        <v>#REF!</v>
      </c>
    </row>
    <row r="1321" spans="1:20" x14ac:dyDescent="0.4">
      <c r="A1321" s="134" t="s">
        <v>570</v>
      </c>
      <c r="B1321" s="134" t="s">
        <v>4483</v>
      </c>
      <c r="C1321" s="134"/>
      <c r="D1321" s="134" t="s">
        <v>4182</v>
      </c>
      <c r="E1321" s="18">
        <v>41485</v>
      </c>
      <c r="F1321" s="10" t="s">
        <v>4484</v>
      </c>
      <c r="G1321" s="18">
        <v>58413</v>
      </c>
      <c r="H1321" s="18" t="s">
        <v>4485</v>
      </c>
      <c r="I1321" s="134" t="s">
        <v>4486</v>
      </c>
      <c r="J1321" s="134" t="s">
        <v>570</v>
      </c>
      <c r="K1321" s="18" t="s">
        <v>570</v>
      </c>
      <c r="L1321" s="134" t="s">
        <v>570</v>
      </c>
      <c r="M1321" s="134" t="s">
        <v>570</v>
      </c>
      <c r="N1321" s="134" t="s">
        <v>570</v>
      </c>
      <c r="O1321" s="134" t="s">
        <v>570</v>
      </c>
      <c r="P1321" s="449"/>
      <c r="Q1321" s="26"/>
      <c r="R1321" s="26"/>
      <c r="S1321" s="26"/>
      <c r="T1321" s="500" t="e">
        <f>_xlfn.XLOOKUP(H1321,#REF!,#REF!,0,0)</f>
        <v>#REF!</v>
      </c>
    </row>
    <row r="1322" spans="1:20" x14ac:dyDescent="0.4">
      <c r="A1322" s="134" t="s">
        <v>570</v>
      </c>
      <c r="B1322" s="134" t="s">
        <v>4487</v>
      </c>
      <c r="C1322" s="134"/>
      <c r="D1322" s="134" t="s">
        <v>4182</v>
      </c>
      <c r="E1322" s="18">
        <v>41485</v>
      </c>
      <c r="F1322" s="10" t="s">
        <v>4488</v>
      </c>
      <c r="G1322" s="18">
        <v>58414</v>
      </c>
      <c r="H1322" s="18" t="s">
        <v>4489</v>
      </c>
      <c r="I1322" s="134" t="s">
        <v>4490</v>
      </c>
      <c r="J1322" s="134" t="s">
        <v>570</v>
      </c>
      <c r="K1322" s="18" t="s">
        <v>570</v>
      </c>
      <c r="L1322" s="134" t="s">
        <v>570</v>
      </c>
      <c r="M1322" s="134" t="s">
        <v>570</v>
      </c>
      <c r="N1322" s="134" t="s">
        <v>570</v>
      </c>
      <c r="O1322" s="134" t="s">
        <v>570</v>
      </c>
      <c r="P1322" s="449"/>
      <c r="Q1322" s="26"/>
      <c r="R1322" s="26"/>
      <c r="S1322" s="26"/>
      <c r="T1322" s="500" t="e">
        <f>_xlfn.XLOOKUP(H1322,#REF!,#REF!,0,0)</f>
        <v>#REF!</v>
      </c>
    </row>
    <row r="1323" spans="1:20" x14ac:dyDescent="0.4">
      <c r="A1323" s="134" t="s">
        <v>570</v>
      </c>
      <c r="B1323" s="134" t="s">
        <v>4491</v>
      </c>
      <c r="C1323" s="134"/>
      <c r="D1323" s="134" t="s">
        <v>4182</v>
      </c>
      <c r="E1323" s="18">
        <v>41485</v>
      </c>
      <c r="F1323" s="10" t="s">
        <v>4492</v>
      </c>
      <c r="G1323" s="18">
        <v>58416</v>
      </c>
      <c r="H1323" s="18" t="s">
        <v>4493</v>
      </c>
      <c r="I1323" s="134" t="s">
        <v>4494</v>
      </c>
      <c r="J1323" s="134" t="s">
        <v>570</v>
      </c>
      <c r="K1323" s="18" t="s">
        <v>570</v>
      </c>
      <c r="L1323" s="134" t="s">
        <v>570</v>
      </c>
      <c r="M1323" s="134" t="s">
        <v>570</v>
      </c>
      <c r="N1323" s="134" t="s">
        <v>570</v>
      </c>
      <c r="O1323" s="134" t="s">
        <v>570</v>
      </c>
      <c r="P1323" s="449"/>
      <c r="Q1323" s="26"/>
      <c r="R1323" s="26"/>
      <c r="S1323" s="26"/>
      <c r="T1323" s="500" t="e">
        <f>_xlfn.XLOOKUP(H1323,#REF!,#REF!,0,0)</f>
        <v>#REF!</v>
      </c>
    </row>
    <row r="1324" spans="1:20" x14ac:dyDescent="0.4">
      <c r="A1324" s="134" t="s">
        <v>570</v>
      </c>
      <c r="B1324" s="134" t="s">
        <v>4495</v>
      </c>
      <c r="C1324" s="134"/>
      <c r="D1324" s="134" t="s">
        <v>4182</v>
      </c>
      <c r="E1324" s="18">
        <v>41485</v>
      </c>
      <c r="F1324" s="10" t="s">
        <v>4496</v>
      </c>
      <c r="G1324" s="18">
        <v>58417</v>
      </c>
      <c r="H1324" s="18" t="s">
        <v>4497</v>
      </c>
      <c r="I1324" s="134" t="s">
        <v>4498</v>
      </c>
      <c r="J1324" s="134" t="s">
        <v>570</v>
      </c>
      <c r="K1324" s="18" t="s">
        <v>570</v>
      </c>
      <c r="L1324" s="134" t="s">
        <v>570</v>
      </c>
      <c r="M1324" s="134" t="s">
        <v>570</v>
      </c>
      <c r="N1324" s="134" t="s">
        <v>570</v>
      </c>
      <c r="O1324" s="134" t="s">
        <v>570</v>
      </c>
      <c r="P1324" s="449"/>
      <c r="Q1324" s="26"/>
      <c r="R1324" s="26"/>
      <c r="S1324" s="26"/>
      <c r="T1324" s="500" t="e">
        <f>_xlfn.XLOOKUP(H1324,#REF!,#REF!,0,0)</f>
        <v>#REF!</v>
      </c>
    </row>
    <row r="1325" spans="1:20" x14ac:dyDescent="0.4">
      <c r="A1325" s="134" t="s">
        <v>570</v>
      </c>
      <c r="B1325" s="134" t="s">
        <v>4499</v>
      </c>
      <c r="C1325" s="134"/>
      <c r="D1325" s="134" t="s">
        <v>4182</v>
      </c>
      <c r="E1325" s="18">
        <v>41485</v>
      </c>
      <c r="F1325" s="10" t="s">
        <v>4500</v>
      </c>
      <c r="G1325" s="18">
        <v>58418</v>
      </c>
      <c r="H1325" s="18" t="s">
        <v>4501</v>
      </c>
      <c r="I1325" s="134" t="s">
        <v>4502</v>
      </c>
      <c r="J1325" s="134" t="s">
        <v>570</v>
      </c>
      <c r="K1325" s="18" t="s">
        <v>570</v>
      </c>
      <c r="L1325" s="134" t="s">
        <v>570</v>
      </c>
      <c r="M1325" s="134" t="s">
        <v>570</v>
      </c>
      <c r="N1325" s="134" t="s">
        <v>570</v>
      </c>
      <c r="O1325" s="134" t="s">
        <v>570</v>
      </c>
      <c r="P1325" s="449"/>
      <c r="Q1325" s="26"/>
      <c r="R1325" s="26"/>
      <c r="S1325" s="26"/>
      <c r="T1325" s="500" t="e">
        <f>_xlfn.XLOOKUP(H1325,#REF!,#REF!,0,0)</f>
        <v>#REF!</v>
      </c>
    </row>
    <row r="1326" spans="1:20" x14ac:dyDescent="0.4">
      <c r="A1326" s="134" t="s">
        <v>570</v>
      </c>
      <c r="B1326" s="134" t="s">
        <v>4503</v>
      </c>
      <c r="C1326" s="134"/>
      <c r="D1326" s="134" t="s">
        <v>4182</v>
      </c>
      <c r="E1326" s="18">
        <v>41485</v>
      </c>
      <c r="F1326" s="10" t="s">
        <v>4504</v>
      </c>
      <c r="G1326" s="18">
        <v>58419</v>
      </c>
      <c r="H1326" s="18" t="s">
        <v>4505</v>
      </c>
      <c r="I1326" s="134" t="s">
        <v>4506</v>
      </c>
      <c r="J1326" s="134" t="s">
        <v>570</v>
      </c>
      <c r="K1326" s="18" t="s">
        <v>570</v>
      </c>
      <c r="L1326" s="134" t="s">
        <v>570</v>
      </c>
      <c r="M1326" s="134" t="s">
        <v>570</v>
      </c>
      <c r="N1326" s="134" t="s">
        <v>570</v>
      </c>
      <c r="O1326" s="134" t="s">
        <v>570</v>
      </c>
      <c r="P1326" s="449"/>
      <c r="Q1326" s="26"/>
      <c r="R1326" s="26"/>
      <c r="S1326" s="26"/>
      <c r="T1326" s="500" t="e">
        <f>_xlfn.XLOOKUP(H1326,#REF!,#REF!,0,0)</f>
        <v>#REF!</v>
      </c>
    </row>
    <row r="1327" spans="1:20" x14ac:dyDescent="0.4">
      <c r="A1327" s="134" t="s">
        <v>570</v>
      </c>
      <c r="B1327" s="134" t="s">
        <v>4507</v>
      </c>
      <c r="C1327" s="134"/>
      <c r="D1327" s="134" t="s">
        <v>4182</v>
      </c>
      <c r="E1327" s="18">
        <v>41485</v>
      </c>
      <c r="F1327" s="10" t="s">
        <v>4508</v>
      </c>
      <c r="G1327" s="18">
        <v>58415</v>
      </c>
      <c r="H1327" s="18" t="s">
        <v>4509</v>
      </c>
      <c r="I1327" s="134" t="s">
        <v>4510</v>
      </c>
      <c r="J1327" s="134" t="s">
        <v>570</v>
      </c>
      <c r="K1327" s="18" t="s">
        <v>570</v>
      </c>
      <c r="L1327" s="134" t="s">
        <v>570</v>
      </c>
      <c r="M1327" s="134" t="s">
        <v>570</v>
      </c>
      <c r="N1327" s="134" t="s">
        <v>570</v>
      </c>
      <c r="O1327" s="134" t="s">
        <v>570</v>
      </c>
      <c r="P1327" s="449"/>
      <c r="Q1327" s="26"/>
      <c r="R1327" s="26"/>
      <c r="S1327" s="26"/>
      <c r="T1327" s="500" t="e">
        <f>_xlfn.XLOOKUP(H1327,#REF!,#REF!,0,0)</f>
        <v>#REF!</v>
      </c>
    </row>
    <row r="1328" spans="1:20" x14ac:dyDescent="0.4">
      <c r="A1328" s="134" t="s">
        <v>570</v>
      </c>
      <c r="B1328" s="134" t="s">
        <v>4511</v>
      </c>
      <c r="C1328" s="134"/>
      <c r="D1328" s="134" t="s">
        <v>4182</v>
      </c>
      <c r="E1328" s="18">
        <v>41590</v>
      </c>
      <c r="F1328" s="10" t="s">
        <v>4512</v>
      </c>
      <c r="G1328" s="10">
        <v>58546</v>
      </c>
      <c r="H1328" s="18" t="s">
        <v>4513</v>
      </c>
      <c r="I1328" s="134" t="s">
        <v>4514</v>
      </c>
      <c r="J1328" s="134" t="s">
        <v>570</v>
      </c>
      <c r="K1328" s="18" t="s">
        <v>570</v>
      </c>
      <c r="L1328" s="134" t="s">
        <v>570</v>
      </c>
      <c r="M1328" s="134" t="s">
        <v>570</v>
      </c>
      <c r="N1328" s="134" t="s">
        <v>570</v>
      </c>
      <c r="O1328" s="134" t="s">
        <v>570</v>
      </c>
      <c r="P1328" s="449"/>
      <c r="Q1328" s="26"/>
      <c r="R1328" s="26"/>
      <c r="S1328" s="26"/>
      <c r="T1328" s="500" t="e">
        <f>_xlfn.XLOOKUP(H1328,#REF!,#REF!,0,0)</f>
        <v>#REF!</v>
      </c>
    </row>
    <row r="1329" spans="1:20" x14ac:dyDescent="0.4">
      <c r="A1329" s="134" t="s">
        <v>570</v>
      </c>
      <c r="B1329" s="134" t="s">
        <v>4515</v>
      </c>
      <c r="C1329" s="134"/>
      <c r="D1329" s="134" t="s">
        <v>4182</v>
      </c>
      <c r="E1329" s="18">
        <v>41590</v>
      </c>
      <c r="F1329" s="10" t="s">
        <v>4516</v>
      </c>
      <c r="G1329" s="18">
        <v>58547</v>
      </c>
      <c r="H1329" s="18" t="s">
        <v>4517</v>
      </c>
      <c r="I1329" s="134" t="s">
        <v>4518</v>
      </c>
      <c r="J1329" s="134" t="s">
        <v>570</v>
      </c>
      <c r="K1329" s="18" t="s">
        <v>570</v>
      </c>
      <c r="L1329" s="134" t="s">
        <v>570</v>
      </c>
      <c r="M1329" s="134" t="s">
        <v>570</v>
      </c>
      <c r="N1329" s="134" t="s">
        <v>570</v>
      </c>
      <c r="O1329" s="134" t="s">
        <v>570</v>
      </c>
      <c r="P1329" s="449"/>
      <c r="Q1329" s="26"/>
      <c r="R1329" s="26"/>
      <c r="S1329" s="26"/>
      <c r="T1329" s="500" t="e">
        <f>_xlfn.XLOOKUP(H1329,#REF!,#REF!,0,0)</f>
        <v>#REF!</v>
      </c>
    </row>
    <row r="1330" spans="1:20" x14ac:dyDescent="0.4">
      <c r="A1330" s="134" t="s">
        <v>570</v>
      </c>
      <c r="B1330" s="134" t="s">
        <v>4519</v>
      </c>
      <c r="C1330" s="134"/>
      <c r="D1330" s="134" t="s">
        <v>4182</v>
      </c>
      <c r="E1330" s="18">
        <v>41590</v>
      </c>
      <c r="F1330" s="10" t="s">
        <v>4520</v>
      </c>
      <c r="G1330" s="18">
        <v>58548</v>
      </c>
      <c r="H1330" s="18" t="s">
        <v>4521</v>
      </c>
      <c r="I1330" s="134" t="s">
        <v>4522</v>
      </c>
      <c r="J1330" s="134" t="s">
        <v>570</v>
      </c>
      <c r="K1330" s="18" t="s">
        <v>570</v>
      </c>
      <c r="L1330" s="134" t="s">
        <v>570</v>
      </c>
      <c r="M1330" s="134" t="s">
        <v>570</v>
      </c>
      <c r="N1330" s="134" t="s">
        <v>570</v>
      </c>
      <c r="O1330" s="134" t="s">
        <v>570</v>
      </c>
      <c r="P1330" s="449"/>
      <c r="Q1330" s="26"/>
      <c r="R1330" s="26"/>
      <c r="S1330" s="26"/>
      <c r="T1330" s="500" t="e">
        <f>_xlfn.XLOOKUP(H1330,#REF!,#REF!,0,0)</f>
        <v>#REF!</v>
      </c>
    </row>
    <row r="1331" spans="1:20" x14ac:dyDescent="0.4">
      <c r="A1331" s="134" t="s">
        <v>570</v>
      </c>
      <c r="B1331" s="134" t="s">
        <v>4523</v>
      </c>
      <c r="C1331" s="134"/>
      <c r="D1331" s="134" t="s">
        <v>4182</v>
      </c>
      <c r="E1331" s="18">
        <v>41590</v>
      </c>
      <c r="F1331" s="10" t="s">
        <v>4524</v>
      </c>
      <c r="G1331" s="18">
        <v>58549</v>
      </c>
      <c r="H1331" s="18" t="s">
        <v>4525</v>
      </c>
      <c r="I1331" s="134" t="s">
        <v>4526</v>
      </c>
      <c r="J1331" s="134" t="s">
        <v>570</v>
      </c>
      <c r="K1331" s="18" t="s">
        <v>570</v>
      </c>
      <c r="L1331" s="134" t="s">
        <v>570</v>
      </c>
      <c r="M1331" s="134" t="s">
        <v>570</v>
      </c>
      <c r="N1331" s="134" t="s">
        <v>570</v>
      </c>
      <c r="O1331" s="134" t="s">
        <v>570</v>
      </c>
      <c r="P1331" s="449"/>
      <c r="Q1331" s="26"/>
      <c r="R1331" s="26"/>
      <c r="S1331" s="26"/>
      <c r="T1331" s="500" t="e">
        <f>_xlfn.XLOOKUP(H1331,#REF!,#REF!,0,0)</f>
        <v>#REF!</v>
      </c>
    </row>
    <row r="1332" spans="1:20" x14ac:dyDescent="0.4">
      <c r="A1332" s="134" t="s">
        <v>570</v>
      </c>
      <c r="B1332" s="134" t="s">
        <v>4527</v>
      </c>
      <c r="C1332" s="134"/>
      <c r="D1332" s="134" t="s">
        <v>4182</v>
      </c>
      <c r="E1332" s="18">
        <v>41590</v>
      </c>
      <c r="F1332" s="10" t="s">
        <v>4528</v>
      </c>
      <c r="G1332" s="18">
        <v>58550</v>
      </c>
      <c r="H1332" s="18" t="s">
        <v>4529</v>
      </c>
      <c r="I1332" s="134" t="s">
        <v>4530</v>
      </c>
      <c r="J1332" s="134" t="s">
        <v>570</v>
      </c>
      <c r="K1332" s="18" t="s">
        <v>570</v>
      </c>
      <c r="L1332" s="134" t="s">
        <v>570</v>
      </c>
      <c r="M1332" s="134" t="s">
        <v>570</v>
      </c>
      <c r="N1332" s="134" t="s">
        <v>570</v>
      </c>
      <c r="O1332" s="134" t="s">
        <v>570</v>
      </c>
      <c r="P1332" s="449"/>
      <c r="Q1332" s="26"/>
      <c r="R1332" s="26"/>
      <c r="S1332" s="26"/>
      <c r="T1332" s="500" t="e">
        <f>_xlfn.XLOOKUP(H1332,#REF!,#REF!,0,0)</f>
        <v>#REF!</v>
      </c>
    </row>
    <row r="1333" spans="1:20" x14ac:dyDescent="0.4">
      <c r="A1333" s="134" t="s">
        <v>570</v>
      </c>
      <c r="B1333" s="134" t="s">
        <v>4531</v>
      </c>
      <c r="C1333" s="134"/>
      <c r="D1333" s="134" t="s">
        <v>4182</v>
      </c>
      <c r="E1333" s="18">
        <v>41590</v>
      </c>
      <c r="F1333" s="10" t="s">
        <v>4532</v>
      </c>
      <c r="G1333" s="18">
        <v>58551</v>
      </c>
      <c r="H1333" s="18" t="s">
        <v>4513</v>
      </c>
      <c r="I1333" s="134" t="s">
        <v>4533</v>
      </c>
      <c r="J1333" s="134" t="s">
        <v>570</v>
      </c>
      <c r="K1333" s="18" t="s">
        <v>570</v>
      </c>
      <c r="L1333" s="134" t="s">
        <v>570</v>
      </c>
      <c r="M1333" s="134" t="s">
        <v>570</v>
      </c>
      <c r="N1333" s="134" t="s">
        <v>570</v>
      </c>
      <c r="O1333" s="134" t="s">
        <v>570</v>
      </c>
      <c r="P1333" s="449"/>
      <c r="Q1333" s="26"/>
      <c r="R1333" s="26"/>
      <c r="S1333" s="26"/>
      <c r="T1333" s="500" t="e">
        <f>_xlfn.XLOOKUP(H1333,#REF!,#REF!,0,0)</f>
        <v>#REF!</v>
      </c>
    </row>
    <row r="1334" spans="1:20" x14ac:dyDescent="0.4">
      <c r="A1334" s="134" t="s">
        <v>570</v>
      </c>
      <c r="B1334" s="134" t="s">
        <v>4534</v>
      </c>
      <c r="C1334" s="134"/>
      <c r="D1334" s="134" t="s">
        <v>4182</v>
      </c>
      <c r="E1334" s="18">
        <v>41590</v>
      </c>
      <c r="F1334" s="10" t="s">
        <v>4535</v>
      </c>
      <c r="G1334" s="18">
        <v>58552</v>
      </c>
      <c r="H1334" s="18" t="s">
        <v>4536</v>
      </c>
      <c r="I1334" s="134" t="s">
        <v>4537</v>
      </c>
      <c r="J1334" s="134" t="s">
        <v>570</v>
      </c>
      <c r="K1334" s="18" t="s">
        <v>570</v>
      </c>
      <c r="L1334" s="134" t="s">
        <v>570</v>
      </c>
      <c r="M1334" s="134" t="s">
        <v>570</v>
      </c>
      <c r="N1334" s="134" t="s">
        <v>570</v>
      </c>
      <c r="O1334" s="134" t="s">
        <v>570</v>
      </c>
      <c r="P1334" s="449"/>
      <c r="Q1334" s="26"/>
      <c r="R1334" s="26"/>
      <c r="S1334" s="26"/>
      <c r="T1334" s="500" t="e">
        <f>_xlfn.XLOOKUP(H1334,#REF!,#REF!,0,0)</f>
        <v>#REF!</v>
      </c>
    </row>
    <row r="1335" spans="1:20" x14ac:dyDescent="0.4">
      <c r="A1335" s="134" t="s">
        <v>570</v>
      </c>
      <c r="B1335" s="134" t="s">
        <v>4538</v>
      </c>
      <c r="C1335" s="134"/>
      <c r="D1335" s="134" t="s">
        <v>4182</v>
      </c>
      <c r="E1335" s="18">
        <v>41590</v>
      </c>
      <c r="F1335" s="10" t="s">
        <v>4539</v>
      </c>
      <c r="G1335" s="18">
        <v>58553</v>
      </c>
      <c r="H1335" s="18" t="s">
        <v>4540</v>
      </c>
      <c r="I1335" s="134" t="s">
        <v>4541</v>
      </c>
      <c r="J1335" s="134" t="s">
        <v>570</v>
      </c>
      <c r="K1335" s="18" t="s">
        <v>570</v>
      </c>
      <c r="L1335" s="134" t="s">
        <v>570</v>
      </c>
      <c r="M1335" s="134" t="s">
        <v>570</v>
      </c>
      <c r="N1335" s="134" t="s">
        <v>570</v>
      </c>
      <c r="O1335" s="134" t="s">
        <v>570</v>
      </c>
      <c r="P1335" s="449"/>
      <c r="Q1335" s="26"/>
      <c r="R1335" s="26"/>
      <c r="S1335" s="26"/>
      <c r="T1335" s="500" t="e">
        <f>_xlfn.XLOOKUP(H1335,#REF!,#REF!,0,0)</f>
        <v>#REF!</v>
      </c>
    </row>
    <row r="1336" spans="1:20" x14ac:dyDescent="0.4">
      <c r="A1336" s="134" t="s">
        <v>570</v>
      </c>
      <c r="B1336" s="134" t="s">
        <v>4542</v>
      </c>
      <c r="C1336" s="134"/>
      <c r="D1336" s="134" t="s">
        <v>4182</v>
      </c>
      <c r="E1336" s="18">
        <v>41590</v>
      </c>
      <c r="F1336" s="10" t="s">
        <v>4543</v>
      </c>
      <c r="G1336" s="18">
        <v>58554</v>
      </c>
      <c r="H1336" s="18" t="s">
        <v>4544</v>
      </c>
      <c r="I1336" s="134" t="s">
        <v>4545</v>
      </c>
      <c r="J1336" s="134" t="s">
        <v>570</v>
      </c>
      <c r="K1336" s="18" t="s">
        <v>570</v>
      </c>
      <c r="L1336" s="134" t="s">
        <v>570</v>
      </c>
      <c r="M1336" s="134" t="s">
        <v>570</v>
      </c>
      <c r="N1336" s="134" t="s">
        <v>570</v>
      </c>
      <c r="O1336" s="134" t="s">
        <v>570</v>
      </c>
      <c r="P1336" s="449"/>
      <c r="Q1336" s="26"/>
      <c r="R1336" s="26"/>
      <c r="S1336" s="26"/>
      <c r="T1336" s="500" t="e">
        <f>_xlfn.XLOOKUP(H1336,#REF!,#REF!,0,0)</f>
        <v>#REF!</v>
      </c>
    </row>
    <row r="1337" spans="1:20" x14ac:dyDescent="0.4">
      <c r="A1337" s="134" t="s">
        <v>570</v>
      </c>
      <c r="B1337" s="134" t="s">
        <v>4546</v>
      </c>
      <c r="C1337" s="134"/>
      <c r="D1337" s="134" t="s">
        <v>4182</v>
      </c>
      <c r="E1337" s="18">
        <v>41590</v>
      </c>
      <c r="F1337" s="10" t="s">
        <v>4547</v>
      </c>
      <c r="G1337" s="18">
        <v>58555</v>
      </c>
      <c r="H1337" s="18" t="s">
        <v>4513</v>
      </c>
      <c r="I1337" s="134" t="s">
        <v>4548</v>
      </c>
      <c r="J1337" s="134" t="s">
        <v>570</v>
      </c>
      <c r="K1337" s="18" t="s">
        <v>570</v>
      </c>
      <c r="L1337" s="134" t="s">
        <v>570</v>
      </c>
      <c r="M1337" s="134" t="s">
        <v>570</v>
      </c>
      <c r="N1337" s="134" t="s">
        <v>570</v>
      </c>
      <c r="O1337" s="134" t="s">
        <v>570</v>
      </c>
      <c r="P1337" s="449"/>
      <c r="Q1337" s="26"/>
      <c r="R1337" s="26"/>
      <c r="S1337" s="26"/>
      <c r="T1337" s="500" t="e">
        <f>_xlfn.XLOOKUP(H1337,#REF!,#REF!,0,0)</f>
        <v>#REF!</v>
      </c>
    </row>
    <row r="1338" spans="1:20" x14ac:dyDescent="0.4">
      <c r="A1338" s="134" t="s">
        <v>570</v>
      </c>
      <c r="B1338" s="134" t="s">
        <v>4549</v>
      </c>
      <c r="C1338" s="134"/>
      <c r="D1338" s="134" t="s">
        <v>4182</v>
      </c>
      <c r="E1338" s="18">
        <v>41590</v>
      </c>
      <c r="F1338" s="10" t="s">
        <v>4550</v>
      </c>
      <c r="G1338" s="18">
        <v>58556</v>
      </c>
      <c r="H1338" s="18" t="s">
        <v>4551</v>
      </c>
      <c r="I1338" s="134" t="s">
        <v>4552</v>
      </c>
      <c r="J1338" s="134" t="s">
        <v>570</v>
      </c>
      <c r="K1338" s="18" t="s">
        <v>570</v>
      </c>
      <c r="L1338" s="134" t="s">
        <v>570</v>
      </c>
      <c r="M1338" s="134" t="s">
        <v>570</v>
      </c>
      <c r="N1338" s="134" t="s">
        <v>570</v>
      </c>
      <c r="O1338" s="134" t="s">
        <v>570</v>
      </c>
      <c r="P1338" s="449"/>
      <c r="Q1338" s="26"/>
      <c r="R1338" s="26"/>
      <c r="S1338" s="26"/>
      <c r="T1338" s="500" t="e">
        <f>_xlfn.XLOOKUP(H1338,#REF!,#REF!,0,0)</f>
        <v>#REF!</v>
      </c>
    </row>
    <row r="1339" spans="1:20" x14ac:dyDescent="0.4">
      <c r="A1339" s="134" t="s">
        <v>570</v>
      </c>
      <c r="B1339" s="134" t="s">
        <v>4553</v>
      </c>
      <c r="C1339" s="134"/>
      <c r="D1339" s="134" t="s">
        <v>4182</v>
      </c>
      <c r="E1339" s="18">
        <v>41590</v>
      </c>
      <c r="F1339" s="10" t="s">
        <v>4554</v>
      </c>
      <c r="G1339" s="18">
        <v>58557</v>
      </c>
      <c r="H1339" s="18" t="s">
        <v>4555</v>
      </c>
      <c r="I1339" s="134" t="s">
        <v>4556</v>
      </c>
      <c r="J1339" s="134" t="s">
        <v>570</v>
      </c>
      <c r="K1339" s="18" t="s">
        <v>570</v>
      </c>
      <c r="L1339" s="134" t="s">
        <v>570</v>
      </c>
      <c r="M1339" s="134" t="s">
        <v>570</v>
      </c>
      <c r="N1339" s="134" t="s">
        <v>570</v>
      </c>
      <c r="O1339" s="134" t="s">
        <v>570</v>
      </c>
      <c r="P1339" s="449"/>
      <c r="Q1339" s="26"/>
      <c r="R1339" s="26"/>
      <c r="S1339" s="26"/>
      <c r="T1339" s="500" t="e">
        <f>_xlfn.XLOOKUP(H1339,#REF!,#REF!,0,0)</f>
        <v>#REF!</v>
      </c>
    </row>
    <row r="1340" spans="1:20" x14ac:dyDescent="0.4">
      <c r="A1340" s="134" t="s">
        <v>570</v>
      </c>
      <c r="B1340" s="134" t="s">
        <v>4557</v>
      </c>
      <c r="C1340" s="134"/>
      <c r="D1340" s="134" t="s">
        <v>4182</v>
      </c>
      <c r="E1340" s="18">
        <v>41590</v>
      </c>
      <c r="F1340" s="10" t="s">
        <v>4558</v>
      </c>
      <c r="G1340" s="18">
        <v>58558</v>
      </c>
      <c r="H1340" s="18" t="s">
        <v>4559</v>
      </c>
      <c r="I1340" s="134" t="s">
        <v>4560</v>
      </c>
      <c r="J1340" s="134" t="s">
        <v>570</v>
      </c>
      <c r="K1340" s="18" t="s">
        <v>570</v>
      </c>
      <c r="L1340" s="134" t="s">
        <v>570</v>
      </c>
      <c r="M1340" s="134" t="s">
        <v>570</v>
      </c>
      <c r="N1340" s="134" t="s">
        <v>570</v>
      </c>
      <c r="O1340" s="134" t="s">
        <v>570</v>
      </c>
      <c r="P1340" s="449"/>
      <c r="Q1340" s="26"/>
      <c r="R1340" s="26"/>
      <c r="S1340" s="26"/>
      <c r="T1340" s="500" t="e">
        <f>_xlfn.XLOOKUP(H1340,#REF!,#REF!,0,0)</f>
        <v>#REF!</v>
      </c>
    </row>
    <row r="1341" spans="1:20" x14ac:dyDescent="0.4">
      <c r="A1341" s="134" t="s">
        <v>570</v>
      </c>
      <c r="B1341" s="134" t="s">
        <v>4561</v>
      </c>
      <c r="C1341" s="134"/>
      <c r="D1341" s="134" t="s">
        <v>4182</v>
      </c>
      <c r="E1341" s="18">
        <v>41590</v>
      </c>
      <c r="F1341" s="10" t="s">
        <v>4562</v>
      </c>
      <c r="G1341" s="18">
        <v>58559</v>
      </c>
      <c r="H1341" s="18" t="s">
        <v>4540</v>
      </c>
      <c r="I1341" s="134" t="s">
        <v>4563</v>
      </c>
      <c r="J1341" s="134" t="s">
        <v>570</v>
      </c>
      <c r="K1341" s="18" t="s">
        <v>570</v>
      </c>
      <c r="L1341" s="134" t="s">
        <v>570</v>
      </c>
      <c r="M1341" s="134" t="s">
        <v>570</v>
      </c>
      <c r="N1341" s="134" t="s">
        <v>570</v>
      </c>
      <c r="O1341" s="134" t="s">
        <v>570</v>
      </c>
      <c r="P1341" s="449"/>
      <c r="Q1341" s="26"/>
      <c r="R1341" s="26"/>
      <c r="S1341" s="26"/>
      <c r="T1341" s="500" t="e">
        <f>_xlfn.XLOOKUP(H1341,#REF!,#REF!,0,0)</f>
        <v>#REF!</v>
      </c>
    </row>
    <row r="1342" spans="1:20" x14ac:dyDescent="0.4">
      <c r="A1342" s="134" t="s">
        <v>570</v>
      </c>
      <c r="B1342" s="134" t="s">
        <v>4564</v>
      </c>
      <c r="C1342" s="134"/>
      <c r="D1342" s="134" t="s">
        <v>4182</v>
      </c>
      <c r="E1342" s="18">
        <v>41590</v>
      </c>
      <c r="F1342" s="10" t="s">
        <v>4565</v>
      </c>
      <c r="G1342" s="18">
        <v>58560</v>
      </c>
      <c r="H1342" s="18" t="s">
        <v>4540</v>
      </c>
      <c r="I1342" s="134" t="s">
        <v>4566</v>
      </c>
      <c r="J1342" s="134" t="s">
        <v>570</v>
      </c>
      <c r="K1342" s="18" t="s">
        <v>570</v>
      </c>
      <c r="L1342" s="134" t="s">
        <v>570</v>
      </c>
      <c r="M1342" s="134" t="s">
        <v>570</v>
      </c>
      <c r="N1342" s="134" t="s">
        <v>570</v>
      </c>
      <c r="O1342" s="134" t="s">
        <v>570</v>
      </c>
      <c r="P1342" s="449"/>
      <c r="Q1342" s="26"/>
      <c r="R1342" s="26"/>
      <c r="S1342" s="26"/>
      <c r="T1342" s="500" t="e">
        <f>_xlfn.XLOOKUP(H1342,#REF!,#REF!,0,0)</f>
        <v>#REF!</v>
      </c>
    </row>
    <row r="1343" spans="1:20" x14ac:dyDescent="0.4">
      <c r="A1343" s="134" t="s">
        <v>570</v>
      </c>
      <c r="B1343" s="134" t="s">
        <v>4567</v>
      </c>
      <c r="C1343" s="134"/>
      <c r="D1343" s="134" t="s">
        <v>4182</v>
      </c>
      <c r="E1343" s="18">
        <v>41590</v>
      </c>
      <c r="F1343" s="10" t="s">
        <v>4568</v>
      </c>
      <c r="G1343" s="18">
        <v>58561</v>
      </c>
      <c r="H1343" s="18" t="s">
        <v>4569</v>
      </c>
      <c r="I1343" s="134" t="s">
        <v>4570</v>
      </c>
      <c r="J1343" s="134" t="s">
        <v>570</v>
      </c>
      <c r="K1343" s="18" t="s">
        <v>570</v>
      </c>
      <c r="L1343" s="134" t="s">
        <v>570</v>
      </c>
      <c r="M1343" s="134" t="s">
        <v>570</v>
      </c>
      <c r="N1343" s="134" t="s">
        <v>570</v>
      </c>
      <c r="O1343" s="134" t="s">
        <v>570</v>
      </c>
      <c r="P1343" s="449"/>
      <c r="Q1343" s="26"/>
      <c r="R1343" s="26"/>
      <c r="S1343" s="26"/>
      <c r="T1343" s="500" t="e">
        <f>_xlfn.XLOOKUP(H1343,#REF!,#REF!,0,0)</f>
        <v>#REF!</v>
      </c>
    </row>
    <row r="1344" spans="1:20" x14ac:dyDescent="0.4">
      <c r="A1344" s="134" t="s">
        <v>570</v>
      </c>
      <c r="B1344" s="134" t="s">
        <v>4571</v>
      </c>
      <c r="C1344" s="134"/>
      <c r="D1344" s="134" t="s">
        <v>4182</v>
      </c>
      <c r="E1344" s="18">
        <v>41590</v>
      </c>
      <c r="F1344" s="10" t="s">
        <v>4572</v>
      </c>
      <c r="G1344" s="18">
        <v>58562</v>
      </c>
      <c r="H1344" s="18" t="s">
        <v>4573</v>
      </c>
      <c r="I1344" s="134" t="s">
        <v>4574</v>
      </c>
      <c r="J1344" s="134" t="s">
        <v>570</v>
      </c>
      <c r="K1344" s="18" t="s">
        <v>570</v>
      </c>
      <c r="L1344" s="134" t="s">
        <v>570</v>
      </c>
      <c r="M1344" s="134" t="s">
        <v>570</v>
      </c>
      <c r="N1344" s="134" t="s">
        <v>570</v>
      </c>
      <c r="O1344" s="134" t="s">
        <v>570</v>
      </c>
      <c r="P1344" s="449"/>
      <c r="Q1344" s="26"/>
      <c r="R1344" s="26"/>
      <c r="S1344" s="26"/>
      <c r="T1344" s="500" t="e">
        <f>_xlfn.XLOOKUP(H1344,#REF!,#REF!,0,0)</f>
        <v>#REF!</v>
      </c>
    </row>
    <row r="1345" spans="1:20" x14ac:dyDescent="0.4">
      <c r="A1345" s="134" t="s">
        <v>570</v>
      </c>
      <c r="B1345" s="134" t="s">
        <v>4575</v>
      </c>
      <c r="C1345" s="134"/>
      <c r="D1345" s="134" t="s">
        <v>4182</v>
      </c>
      <c r="E1345" s="18">
        <v>41590</v>
      </c>
      <c r="F1345" s="10" t="s">
        <v>4576</v>
      </c>
      <c r="G1345" s="18">
        <v>58563</v>
      </c>
      <c r="H1345" s="18" t="s">
        <v>4577</v>
      </c>
      <c r="I1345" s="134" t="s">
        <v>4578</v>
      </c>
      <c r="J1345" s="134" t="s">
        <v>570</v>
      </c>
      <c r="K1345" s="18" t="s">
        <v>570</v>
      </c>
      <c r="L1345" s="134" t="s">
        <v>570</v>
      </c>
      <c r="M1345" s="134" t="s">
        <v>570</v>
      </c>
      <c r="N1345" s="134" t="s">
        <v>570</v>
      </c>
      <c r="O1345" s="134" t="s">
        <v>570</v>
      </c>
      <c r="P1345" s="449"/>
      <c r="Q1345" s="26"/>
      <c r="R1345" s="26"/>
      <c r="S1345" s="26"/>
      <c r="T1345" s="500" t="e">
        <f>_xlfn.XLOOKUP(H1345,#REF!,#REF!,0,0)</f>
        <v>#REF!</v>
      </c>
    </row>
    <row r="1346" spans="1:20" x14ac:dyDescent="0.4">
      <c r="A1346" s="134"/>
      <c r="B1346" s="135" t="s">
        <v>4579</v>
      </c>
      <c r="C1346" s="135"/>
      <c r="D1346" s="134" t="s">
        <v>4182</v>
      </c>
      <c r="E1346" s="18">
        <v>41590</v>
      </c>
      <c r="F1346" s="10" t="s">
        <v>4580</v>
      </c>
      <c r="G1346" s="18">
        <v>58564</v>
      </c>
      <c r="H1346" s="18" t="s">
        <v>4581</v>
      </c>
      <c r="I1346" s="134" t="s">
        <v>4582</v>
      </c>
      <c r="J1346" s="134" t="s">
        <v>570</v>
      </c>
      <c r="K1346" s="18" t="s">
        <v>570</v>
      </c>
      <c r="L1346" s="134" t="s">
        <v>570</v>
      </c>
      <c r="M1346" s="134" t="s">
        <v>570</v>
      </c>
      <c r="N1346" s="134" t="s">
        <v>570</v>
      </c>
      <c r="O1346" s="134" t="s">
        <v>570</v>
      </c>
      <c r="P1346" s="449"/>
      <c r="Q1346" s="26"/>
      <c r="R1346" s="26"/>
      <c r="S1346" s="26"/>
      <c r="T1346" s="500" t="e">
        <f>_xlfn.XLOOKUP(H1346,#REF!,#REF!,0,0)</f>
        <v>#REF!</v>
      </c>
    </row>
    <row r="1347" spans="1:20" x14ac:dyDescent="0.4">
      <c r="A1347" s="134" t="s">
        <v>570</v>
      </c>
      <c r="B1347" s="134" t="s">
        <v>1397</v>
      </c>
      <c r="C1347" s="134"/>
      <c r="D1347" s="134" t="s">
        <v>4182</v>
      </c>
      <c r="E1347" s="18">
        <v>41590</v>
      </c>
      <c r="F1347" s="10" t="s">
        <v>4583</v>
      </c>
      <c r="G1347" s="18">
        <v>58565</v>
      </c>
      <c r="H1347" s="18" t="s">
        <v>4584</v>
      </c>
      <c r="I1347" s="134" t="s">
        <v>4585</v>
      </c>
      <c r="J1347" s="134" t="s">
        <v>570</v>
      </c>
      <c r="K1347" s="18" t="s">
        <v>570</v>
      </c>
      <c r="L1347" s="134" t="s">
        <v>570</v>
      </c>
      <c r="M1347" s="134" t="s">
        <v>570</v>
      </c>
      <c r="N1347" s="134" t="s">
        <v>570</v>
      </c>
      <c r="O1347" s="134" t="s">
        <v>570</v>
      </c>
      <c r="P1347" s="449"/>
      <c r="Q1347" s="26"/>
      <c r="R1347" s="26"/>
      <c r="S1347" s="26"/>
      <c r="T1347" s="500" t="e">
        <f>_xlfn.XLOOKUP(H1347,#REF!,#REF!,0,0)</f>
        <v>#REF!</v>
      </c>
    </row>
    <row r="1348" spans="1:20" x14ac:dyDescent="0.4">
      <c r="A1348" s="134" t="s">
        <v>570</v>
      </c>
      <c r="B1348" s="134" t="s">
        <v>4586</v>
      </c>
      <c r="C1348" s="134"/>
      <c r="D1348" s="134" t="s">
        <v>4182</v>
      </c>
      <c r="E1348" s="18">
        <v>41590</v>
      </c>
      <c r="F1348" s="10" t="s">
        <v>4587</v>
      </c>
      <c r="G1348" s="18">
        <v>58566</v>
      </c>
      <c r="H1348" s="18" t="s">
        <v>4513</v>
      </c>
      <c r="I1348" s="134" t="s">
        <v>4588</v>
      </c>
      <c r="J1348" s="134" t="s">
        <v>570</v>
      </c>
      <c r="K1348" s="18" t="s">
        <v>570</v>
      </c>
      <c r="L1348" s="134" t="s">
        <v>570</v>
      </c>
      <c r="M1348" s="134" t="s">
        <v>570</v>
      </c>
      <c r="N1348" s="134" t="s">
        <v>570</v>
      </c>
      <c r="O1348" s="134" t="s">
        <v>570</v>
      </c>
      <c r="P1348" s="449"/>
      <c r="Q1348" s="26"/>
      <c r="R1348" s="26"/>
      <c r="S1348" s="26"/>
      <c r="T1348" s="500" t="e">
        <f>_xlfn.XLOOKUP(H1348,#REF!,#REF!,0,0)</f>
        <v>#REF!</v>
      </c>
    </row>
    <row r="1349" spans="1:20" x14ac:dyDescent="0.4">
      <c r="A1349" s="134" t="s">
        <v>570</v>
      </c>
      <c r="B1349" s="134" t="s">
        <v>4589</v>
      </c>
      <c r="C1349" s="134"/>
      <c r="D1349" s="134" t="s">
        <v>4182</v>
      </c>
      <c r="E1349" s="18">
        <v>41590</v>
      </c>
      <c r="F1349" s="10" t="s">
        <v>4590</v>
      </c>
      <c r="G1349" s="18">
        <v>58567</v>
      </c>
      <c r="H1349" s="18" t="s">
        <v>4591</v>
      </c>
      <c r="I1349" s="134" t="s">
        <v>4592</v>
      </c>
      <c r="J1349" s="134" t="s">
        <v>570</v>
      </c>
      <c r="K1349" s="18" t="s">
        <v>570</v>
      </c>
      <c r="L1349" s="134" t="s">
        <v>570</v>
      </c>
      <c r="M1349" s="134" t="s">
        <v>570</v>
      </c>
      <c r="N1349" s="134" t="s">
        <v>570</v>
      </c>
      <c r="O1349" s="134" t="s">
        <v>570</v>
      </c>
      <c r="P1349" s="449"/>
      <c r="Q1349" s="26"/>
      <c r="R1349" s="26"/>
      <c r="S1349" s="26"/>
      <c r="T1349" s="500" t="e">
        <f>_xlfn.XLOOKUP(H1349,#REF!,#REF!,0,0)</f>
        <v>#REF!</v>
      </c>
    </row>
    <row r="1350" spans="1:20" x14ac:dyDescent="0.4">
      <c r="A1350" s="134" t="s">
        <v>570</v>
      </c>
      <c r="B1350" s="134" t="s">
        <v>4593</v>
      </c>
      <c r="C1350" s="134"/>
      <c r="D1350" s="134" t="s">
        <v>4182</v>
      </c>
      <c r="E1350" s="18">
        <v>41590</v>
      </c>
      <c r="F1350" s="10" t="s">
        <v>4594</v>
      </c>
      <c r="G1350" s="18">
        <v>58568</v>
      </c>
      <c r="H1350" s="18" t="s">
        <v>4595</v>
      </c>
      <c r="I1350" s="134" t="s">
        <v>4596</v>
      </c>
      <c r="J1350" s="134" t="s">
        <v>570</v>
      </c>
      <c r="K1350" s="18" t="s">
        <v>570</v>
      </c>
      <c r="L1350" s="134" t="s">
        <v>570</v>
      </c>
      <c r="M1350" s="134" t="s">
        <v>570</v>
      </c>
      <c r="N1350" s="134" t="s">
        <v>570</v>
      </c>
      <c r="O1350" s="134" t="s">
        <v>570</v>
      </c>
      <c r="P1350" s="449"/>
      <c r="Q1350" s="26"/>
      <c r="R1350" s="26"/>
      <c r="S1350" s="26"/>
      <c r="T1350" s="500" t="e">
        <f>_xlfn.XLOOKUP(H1350,#REF!,#REF!,0,0)</f>
        <v>#REF!</v>
      </c>
    </row>
    <row r="1351" spans="1:20" x14ac:dyDescent="0.4">
      <c r="A1351" s="134" t="s">
        <v>570</v>
      </c>
      <c r="B1351" s="134" t="s">
        <v>4597</v>
      </c>
      <c r="C1351" s="134"/>
      <c r="D1351" s="134" t="s">
        <v>4182</v>
      </c>
      <c r="E1351" s="18">
        <v>41590</v>
      </c>
      <c r="F1351" s="10" t="s">
        <v>4598</v>
      </c>
      <c r="G1351" s="18">
        <v>58569</v>
      </c>
      <c r="H1351" s="18" t="s">
        <v>4591</v>
      </c>
      <c r="I1351" s="134" t="s">
        <v>4599</v>
      </c>
      <c r="J1351" s="134" t="s">
        <v>570</v>
      </c>
      <c r="K1351" s="18" t="s">
        <v>570</v>
      </c>
      <c r="L1351" s="134" t="s">
        <v>570</v>
      </c>
      <c r="M1351" s="134" t="s">
        <v>570</v>
      </c>
      <c r="N1351" s="134" t="s">
        <v>570</v>
      </c>
      <c r="O1351" s="134" t="s">
        <v>570</v>
      </c>
      <c r="P1351" s="449"/>
      <c r="Q1351" s="26"/>
      <c r="R1351" s="26"/>
      <c r="S1351" s="26"/>
      <c r="T1351" s="500" t="e">
        <f>_xlfn.XLOOKUP(H1351,#REF!,#REF!,0,0)</f>
        <v>#REF!</v>
      </c>
    </row>
    <row r="1352" spans="1:20" x14ac:dyDescent="0.4">
      <c r="A1352" s="134" t="s">
        <v>570</v>
      </c>
      <c r="B1352" s="134" t="s">
        <v>4600</v>
      </c>
      <c r="C1352" s="134"/>
      <c r="D1352" s="134" t="s">
        <v>4182</v>
      </c>
      <c r="E1352" s="18">
        <v>41590</v>
      </c>
      <c r="F1352" s="10" t="s">
        <v>4601</v>
      </c>
      <c r="G1352" s="18">
        <v>58570</v>
      </c>
      <c r="H1352" s="18" t="s">
        <v>4521</v>
      </c>
      <c r="I1352" s="134" t="s">
        <v>4602</v>
      </c>
      <c r="J1352" s="134" t="s">
        <v>570</v>
      </c>
      <c r="K1352" s="18" t="s">
        <v>570</v>
      </c>
      <c r="L1352" s="134" t="s">
        <v>570</v>
      </c>
      <c r="M1352" s="134" t="s">
        <v>570</v>
      </c>
      <c r="N1352" s="134" t="s">
        <v>570</v>
      </c>
      <c r="O1352" s="134" t="s">
        <v>570</v>
      </c>
      <c r="P1352" s="449"/>
      <c r="Q1352" s="26"/>
      <c r="R1352" s="26"/>
      <c r="S1352" s="26"/>
      <c r="T1352" s="500" t="e">
        <f>_xlfn.XLOOKUP(H1352,#REF!,#REF!,0,0)</f>
        <v>#REF!</v>
      </c>
    </row>
    <row r="1353" spans="1:20" x14ac:dyDescent="0.4">
      <c r="A1353" s="134" t="s">
        <v>570</v>
      </c>
      <c r="B1353" s="134" t="s">
        <v>4603</v>
      </c>
      <c r="C1353" s="134"/>
      <c r="D1353" s="134" t="s">
        <v>4182</v>
      </c>
      <c r="E1353" s="18">
        <v>41590</v>
      </c>
      <c r="F1353" s="10" t="s">
        <v>4604</v>
      </c>
      <c r="G1353" s="18">
        <v>58571</v>
      </c>
      <c r="H1353" s="18" t="s">
        <v>4605</v>
      </c>
      <c r="I1353" s="134" t="s">
        <v>4606</v>
      </c>
      <c r="J1353" s="134" t="s">
        <v>570</v>
      </c>
      <c r="K1353" s="18" t="s">
        <v>570</v>
      </c>
      <c r="L1353" s="134" t="s">
        <v>570</v>
      </c>
      <c r="M1353" s="134" t="s">
        <v>570</v>
      </c>
      <c r="N1353" s="134" t="s">
        <v>570</v>
      </c>
      <c r="O1353" s="134" t="s">
        <v>570</v>
      </c>
      <c r="P1353" s="449"/>
      <c r="Q1353" s="26"/>
      <c r="R1353" s="26"/>
      <c r="S1353" s="26"/>
      <c r="T1353" s="500" t="e">
        <f>_xlfn.XLOOKUP(H1353,#REF!,#REF!,0,0)</f>
        <v>#REF!</v>
      </c>
    </row>
    <row r="1354" spans="1:20" x14ac:dyDescent="0.4">
      <c r="A1354" s="134" t="s">
        <v>570</v>
      </c>
      <c r="B1354" s="134" t="s">
        <v>4607</v>
      </c>
      <c r="C1354" s="134"/>
      <c r="D1354" s="134" t="s">
        <v>4182</v>
      </c>
      <c r="E1354" s="18">
        <v>41590</v>
      </c>
      <c r="F1354" s="10" t="s">
        <v>4608</v>
      </c>
      <c r="G1354" s="18">
        <v>58572</v>
      </c>
      <c r="H1354" s="18" t="s">
        <v>4591</v>
      </c>
      <c r="I1354" s="134" t="s">
        <v>4609</v>
      </c>
      <c r="J1354" s="134" t="s">
        <v>570</v>
      </c>
      <c r="K1354" s="18" t="s">
        <v>570</v>
      </c>
      <c r="L1354" s="134" t="s">
        <v>570</v>
      </c>
      <c r="M1354" s="134" t="s">
        <v>570</v>
      </c>
      <c r="N1354" s="134" t="s">
        <v>570</v>
      </c>
      <c r="O1354" s="134" t="s">
        <v>570</v>
      </c>
      <c r="P1354" s="449"/>
      <c r="Q1354" s="26"/>
      <c r="R1354" s="26"/>
      <c r="S1354" s="26"/>
      <c r="T1354" s="500" t="e">
        <f>_xlfn.XLOOKUP(H1354,#REF!,#REF!,0,0)</f>
        <v>#REF!</v>
      </c>
    </row>
    <row r="1355" spans="1:20" x14ac:dyDescent="0.4">
      <c r="A1355" s="134" t="s">
        <v>570</v>
      </c>
      <c r="B1355" s="134" t="s">
        <v>4610</v>
      </c>
      <c r="C1355" s="134"/>
      <c r="D1355" s="134" t="s">
        <v>4611</v>
      </c>
      <c r="E1355" s="18">
        <v>41729</v>
      </c>
      <c r="F1355" s="10" t="s">
        <v>4612</v>
      </c>
      <c r="G1355" s="18">
        <v>58821</v>
      </c>
      <c r="H1355" s="18" t="s">
        <v>4613</v>
      </c>
      <c r="I1355" s="134" t="s">
        <v>4614</v>
      </c>
      <c r="J1355" s="134" t="s">
        <v>570</v>
      </c>
      <c r="K1355" s="18" t="s">
        <v>570</v>
      </c>
      <c r="L1355" s="134" t="s">
        <v>570</v>
      </c>
      <c r="M1355" s="134" t="s">
        <v>570</v>
      </c>
      <c r="N1355" s="134" t="s">
        <v>570</v>
      </c>
      <c r="O1355" s="134" t="s">
        <v>570</v>
      </c>
      <c r="P1355" s="449"/>
      <c r="Q1355" s="26"/>
      <c r="R1355" s="26"/>
      <c r="S1355" s="26"/>
      <c r="T1355" s="500" t="e">
        <f>_xlfn.XLOOKUP(H1355,#REF!,#REF!,0,0)</f>
        <v>#REF!</v>
      </c>
    </row>
    <row r="1356" spans="1:20" x14ac:dyDescent="0.4">
      <c r="A1356" s="134" t="s">
        <v>570</v>
      </c>
      <c r="B1356" s="134" t="s">
        <v>4615</v>
      </c>
      <c r="C1356" s="134"/>
      <c r="D1356" s="134" t="s">
        <v>4611</v>
      </c>
      <c r="E1356" s="18">
        <v>41729</v>
      </c>
      <c r="F1356" s="10" t="s">
        <v>4616</v>
      </c>
      <c r="G1356" s="18">
        <v>58822</v>
      </c>
      <c r="H1356" s="18" t="s">
        <v>4613</v>
      </c>
      <c r="I1356" s="134" t="s">
        <v>4617</v>
      </c>
      <c r="J1356" s="134" t="s">
        <v>570</v>
      </c>
      <c r="K1356" s="18" t="s">
        <v>570</v>
      </c>
      <c r="L1356" s="134" t="s">
        <v>570</v>
      </c>
      <c r="M1356" s="134" t="s">
        <v>570</v>
      </c>
      <c r="N1356" s="134" t="s">
        <v>570</v>
      </c>
      <c r="O1356" s="134" t="s">
        <v>570</v>
      </c>
      <c r="P1356" s="449"/>
      <c r="Q1356" s="26"/>
      <c r="R1356" s="26"/>
      <c r="S1356" s="26"/>
      <c r="T1356" s="500" t="e">
        <f>_xlfn.XLOOKUP(H1356,#REF!,#REF!,0,0)</f>
        <v>#REF!</v>
      </c>
    </row>
    <row r="1357" spans="1:20" x14ac:dyDescent="0.4">
      <c r="A1357" s="134" t="s">
        <v>570</v>
      </c>
      <c r="B1357" s="134" t="s">
        <v>4618</v>
      </c>
      <c r="C1357" s="134"/>
      <c r="D1357" s="134" t="s">
        <v>4611</v>
      </c>
      <c r="E1357" s="18">
        <v>41729</v>
      </c>
      <c r="F1357" s="10" t="s">
        <v>4619</v>
      </c>
      <c r="G1357" s="18">
        <v>58823</v>
      </c>
      <c r="H1357" s="18" t="s">
        <v>4613</v>
      </c>
      <c r="I1357" s="134" t="s">
        <v>4620</v>
      </c>
      <c r="J1357" s="134" t="s">
        <v>570</v>
      </c>
      <c r="K1357" s="18" t="s">
        <v>570</v>
      </c>
      <c r="L1357" s="134" t="s">
        <v>570</v>
      </c>
      <c r="M1357" s="134" t="s">
        <v>570</v>
      </c>
      <c r="N1357" s="134" t="s">
        <v>570</v>
      </c>
      <c r="O1357" s="134" t="s">
        <v>570</v>
      </c>
      <c r="P1357" s="449"/>
      <c r="Q1357" s="26"/>
      <c r="R1357" s="26"/>
      <c r="S1357" s="26"/>
      <c r="T1357" s="500" t="e">
        <f>_xlfn.XLOOKUP(H1357,#REF!,#REF!,0,0)</f>
        <v>#REF!</v>
      </c>
    </row>
    <row r="1358" spans="1:20" x14ac:dyDescent="0.4">
      <c r="A1358" s="134" t="s">
        <v>570</v>
      </c>
      <c r="B1358" s="134" t="s">
        <v>4621</v>
      </c>
      <c r="C1358" s="134"/>
      <c r="D1358" s="134"/>
      <c r="E1358" s="19" t="s">
        <v>4622</v>
      </c>
      <c r="F1358" s="10">
        <v>41385</v>
      </c>
      <c r="G1358" s="18" t="s">
        <v>4623</v>
      </c>
      <c r="H1358" s="18">
        <v>58105</v>
      </c>
      <c r="I1358" s="134" t="s">
        <v>4624</v>
      </c>
      <c r="J1358" s="134" t="s">
        <v>4625</v>
      </c>
      <c r="K1358" s="18" t="s">
        <v>570</v>
      </c>
      <c r="L1358" s="134" t="s">
        <v>570</v>
      </c>
      <c r="M1358" s="134" t="s">
        <v>570</v>
      </c>
      <c r="N1358" s="134" t="s">
        <v>570</v>
      </c>
      <c r="O1358" s="134" t="s">
        <v>570</v>
      </c>
      <c r="P1358" s="449"/>
      <c r="Q1358" s="26"/>
      <c r="R1358" s="26"/>
      <c r="S1358" s="26"/>
      <c r="T1358" s="500" t="e">
        <f>_xlfn.XLOOKUP(H1358,#REF!,#REF!,0,0)</f>
        <v>#REF!</v>
      </c>
    </row>
    <row r="1359" spans="1:20" x14ac:dyDescent="0.4">
      <c r="A1359" s="134" t="s">
        <v>570</v>
      </c>
      <c r="B1359" s="134" t="s">
        <v>4626</v>
      </c>
      <c r="C1359" s="134"/>
      <c r="D1359" s="134"/>
      <c r="E1359" s="19" t="s">
        <v>4622</v>
      </c>
      <c r="F1359" s="10">
        <v>41385</v>
      </c>
      <c r="G1359" s="18" t="s">
        <v>4627</v>
      </c>
      <c r="H1359" s="18">
        <v>58106</v>
      </c>
      <c r="I1359" s="134" t="s">
        <v>4628</v>
      </c>
      <c r="J1359" s="134" t="s">
        <v>4629</v>
      </c>
      <c r="K1359" s="18" t="s">
        <v>570</v>
      </c>
      <c r="L1359" s="134" t="s">
        <v>570</v>
      </c>
      <c r="M1359" s="134" t="s">
        <v>570</v>
      </c>
      <c r="N1359" s="134" t="s">
        <v>570</v>
      </c>
      <c r="O1359" s="134" t="s">
        <v>570</v>
      </c>
      <c r="P1359" s="449"/>
      <c r="Q1359" s="26"/>
      <c r="R1359" s="26"/>
      <c r="S1359" s="26"/>
      <c r="T1359" s="500" t="e">
        <f>_xlfn.XLOOKUP(H1359,#REF!,#REF!,0,0)</f>
        <v>#REF!</v>
      </c>
    </row>
    <row r="1360" spans="1:20" x14ac:dyDescent="0.4">
      <c r="A1360" s="134" t="s">
        <v>570</v>
      </c>
      <c r="B1360" s="134" t="s">
        <v>4630</v>
      </c>
      <c r="C1360" s="134"/>
      <c r="D1360" s="134"/>
      <c r="E1360" s="18" t="s">
        <v>4631</v>
      </c>
      <c r="F1360" s="10">
        <v>41386</v>
      </c>
      <c r="G1360" s="18" t="s">
        <v>4632</v>
      </c>
      <c r="H1360" s="18">
        <v>58107</v>
      </c>
      <c r="I1360" s="134" t="s">
        <v>4633</v>
      </c>
      <c r="J1360" s="134" t="s">
        <v>4634</v>
      </c>
      <c r="K1360" s="18" t="s">
        <v>570</v>
      </c>
      <c r="L1360" s="134" t="s">
        <v>570</v>
      </c>
      <c r="M1360" s="134" t="s">
        <v>570</v>
      </c>
      <c r="N1360" s="134" t="s">
        <v>570</v>
      </c>
      <c r="O1360" s="134" t="s">
        <v>570</v>
      </c>
      <c r="P1360" s="449"/>
      <c r="Q1360" s="26"/>
      <c r="R1360" s="26"/>
      <c r="S1360" s="26"/>
      <c r="T1360" s="500" t="e">
        <f>_xlfn.XLOOKUP(H1360,#REF!,#REF!,0,0)</f>
        <v>#REF!</v>
      </c>
    </row>
    <row r="1361" spans="1:20" x14ac:dyDescent="0.4">
      <c r="A1361" s="134" t="s">
        <v>570</v>
      </c>
      <c r="B1361" s="135" t="s">
        <v>4635</v>
      </c>
      <c r="C1361" s="135"/>
      <c r="D1361" s="134"/>
      <c r="E1361" s="18" t="s">
        <v>4631</v>
      </c>
      <c r="F1361" s="10">
        <v>41386</v>
      </c>
      <c r="G1361" s="18" t="s">
        <v>4636</v>
      </c>
      <c r="H1361" s="18">
        <v>58108</v>
      </c>
      <c r="I1361" s="134" t="s">
        <v>4637</v>
      </c>
      <c r="J1361" s="134" t="s">
        <v>4638</v>
      </c>
      <c r="K1361" s="18" t="s">
        <v>570</v>
      </c>
      <c r="L1361" s="134" t="s">
        <v>570</v>
      </c>
      <c r="M1361" s="134" t="s">
        <v>570</v>
      </c>
      <c r="N1361" s="134" t="s">
        <v>570</v>
      </c>
      <c r="O1361" s="134" t="s">
        <v>570</v>
      </c>
      <c r="P1361" s="449"/>
      <c r="Q1361" s="26"/>
      <c r="R1361" s="26"/>
      <c r="S1361" s="26"/>
      <c r="T1361" s="500" t="e">
        <f>_xlfn.XLOOKUP(H1361,#REF!,#REF!,0,0)</f>
        <v>#REF!</v>
      </c>
    </row>
    <row r="1362" spans="1:20" x14ac:dyDescent="0.4">
      <c r="A1362" s="135" t="s">
        <v>570</v>
      </c>
      <c r="B1362" s="134" t="s">
        <v>4639</v>
      </c>
      <c r="C1362" s="134"/>
      <c r="D1362" s="134"/>
      <c r="E1362" s="18" t="s">
        <v>4631</v>
      </c>
      <c r="F1362" s="10">
        <v>41386</v>
      </c>
      <c r="G1362" s="18" t="s">
        <v>4640</v>
      </c>
      <c r="H1362" s="18">
        <v>58109</v>
      </c>
      <c r="I1362" s="134" t="s">
        <v>4641</v>
      </c>
      <c r="J1362" s="134" t="s">
        <v>4642</v>
      </c>
      <c r="K1362" s="18" t="s">
        <v>570</v>
      </c>
      <c r="L1362" s="134" t="s">
        <v>570</v>
      </c>
      <c r="M1362" s="134" t="s">
        <v>570</v>
      </c>
      <c r="N1362" s="134" t="s">
        <v>570</v>
      </c>
      <c r="O1362" s="134" t="s">
        <v>570</v>
      </c>
      <c r="P1362" s="449"/>
      <c r="Q1362" s="26"/>
      <c r="R1362" s="26"/>
      <c r="S1362" s="26"/>
      <c r="T1362" s="500" t="e">
        <f>_xlfn.XLOOKUP(H1362,#REF!,#REF!,0,0)</f>
        <v>#REF!</v>
      </c>
    </row>
    <row r="1363" spans="1:20" x14ac:dyDescent="0.4">
      <c r="A1363" s="135" t="s">
        <v>570</v>
      </c>
      <c r="B1363" s="135" t="s">
        <v>4643</v>
      </c>
      <c r="C1363" s="135"/>
      <c r="D1363" s="135"/>
      <c r="E1363" s="18" t="s">
        <v>7</v>
      </c>
      <c r="F1363" s="20">
        <v>41389</v>
      </c>
      <c r="G1363" s="18" t="s">
        <v>4644</v>
      </c>
      <c r="H1363" s="18">
        <v>58110</v>
      </c>
      <c r="I1363" s="135" t="s">
        <v>4645</v>
      </c>
      <c r="J1363" s="135" t="s">
        <v>4646</v>
      </c>
      <c r="K1363" s="18" t="s">
        <v>570</v>
      </c>
      <c r="L1363" s="134" t="s">
        <v>570</v>
      </c>
      <c r="M1363" s="134" t="s">
        <v>570</v>
      </c>
      <c r="N1363" s="134" t="s">
        <v>570</v>
      </c>
      <c r="O1363" s="134" t="s">
        <v>570</v>
      </c>
      <c r="P1363" s="449"/>
      <c r="Q1363" s="26"/>
      <c r="R1363" s="26"/>
      <c r="S1363" s="26"/>
      <c r="T1363" s="500" t="e">
        <f>_xlfn.XLOOKUP(H1363,#REF!,#REF!,0,0)</f>
        <v>#REF!</v>
      </c>
    </row>
    <row r="1364" spans="1:20" x14ac:dyDescent="0.4">
      <c r="A1364" s="134" t="s">
        <v>570</v>
      </c>
      <c r="B1364" s="135" t="s">
        <v>1133</v>
      </c>
      <c r="C1364" s="135"/>
      <c r="D1364" s="135"/>
      <c r="E1364" s="18" t="s">
        <v>7</v>
      </c>
      <c r="F1364" s="20">
        <v>41389</v>
      </c>
      <c r="G1364" s="18" t="s">
        <v>4647</v>
      </c>
      <c r="H1364" s="18">
        <v>58111</v>
      </c>
      <c r="I1364" s="135" t="s">
        <v>4648</v>
      </c>
      <c r="J1364" s="135" t="s">
        <v>4649</v>
      </c>
      <c r="K1364" s="18" t="s">
        <v>570</v>
      </c>
      <c r="L1364" s="134" t="s">
        <v>570</v>
      </c>
      <c r="M1364" s="134" t="s">
        <v>570</v>
      </c>
      <c r="N1364" s="134" t="s">
        <v>570</v>
      </c>
      <c r="O1364" s="134" t="s">
        <v>570</v>
      </c>
      <c r="P1364" s="449"/>
      <c r="Q1364" s="26"/>
      <c r="R1364" s="26"/>
      <c r="S1364" s="26"/>
      <c r="T1364" s="500" t="e">
        <f>_xlfn.XLOOKUP(H1364,#REF!,#REF!,0,0)</f>
        <v>#REF!</v>
      </c>
    </row>
    <row r="1365" spans="1:20" x14ac:dyDescent="0.4">
      <c r="A1365" s="135" t="s">
        <v>570</v>
      </c>
      <c r="B1365" s="135" t="s">
        <v>4650</v>
      </c>
      <c r="C1365" s="135"/>
      <c r="D1365" s="135" t="s">
        <v>432</v>
      </c>
      <c r="E1365" s="18" t="s">
        <v>7</v>
      </c>
      <c r="F1365" s="20">
        <v>41389</v>
      </c>
      <c r="G1365" s="18" t="s">
        <v>4651</v>
      </c>
      <c r="H1365" s="18">
        <v>58112</v>
      </c>
      <c r="I1365" s="135" t="s">
        <v>4652</v>
      </c>
      <c r="J1365" s="135" t="s">
        <v>4653</v>
      </c>
      <c r="K1365" s="18" t="s">
        <v>570</v>
      </c>
      <c r="L1365" s="134" t="s">
        <v>570</v>
      </c>
      <c r="M1365" s="134" t="s">
        <v>570</v>
      </c>
      <c r="N1365" s="134" t="s">
        <v>570</v>
      </c>
      <c r="O1365" s="134" t="s">
        <v>570</v>
      </c>
      <c r="P1365" s="449"/>
      <c r="Q1365" s="26"/>
      <c r="R1365" s="26"/>
      <c r="S1365" s="26"/>
      <c r="T1365" s="500" t="e">
        <f>_xlfn.XLOOKUP(H1365,#REF!,#REF!,0,0)</f>
        <v>#REF!</v>
      </c>
    </row>
    <row r="1366" spans="1:20" x14ac:dyDescent="0.4">
      <c r="A1366" s="134" t="s">
        <v>570</v>
      </c>
      <c r="B1366" s="134" t="s">
        <v>4654</v>
      </c>
      <c r="C1366" s="134"/>
      <c r="D1366" s="135"/>
      <c r="E1366" s="18" t="s">
        <v>4631</v>
      </c>
      <c r="F1366" s="20">
        <v>41389</v>
      </c>
      <c r="G1366" s="18" t="s">
        <v>4655</v>
      </c>
      <c r="H1366" s="18">
        <v>58113</v>
      </c>
      <c r="I1366" s="135" t="s">
        <v>4656</v>
      </c>
      <c r="J1366" s="134" t="s">
        <v>4657</v>
      </c>
      <c r="K1366" s="18" t="s">
        <v>570</v>
      </c>
      <c r="L1366" s="134" t="s">
        <v>570</v>
      </c>
      <c r="M1366" s="134" t="s">
        <v>570</v>
      </c>
      <c r="N1366" s="134" t="s">
        <v>570</v>
      </c>
      <c r="O1366" s="134" t="s">
        <v>570</v>
      </c>
      <c r="P1366" s="449"/>
      <c r="Q1366" s="26"/>
      <c r="R1366" s="26"/>
      <c r="S1366" s="26"/>
      <c r="T1366" s="500" t="e">
        <f>_xlfn.XLOOKUP(H1366,#REF!,#REF!,0,0)</f>
        <v>#REF!</v>
      </c>
    </row>
    <row r="1367" spans="1:20" x14ac:dyDescent="0.4">
      <c r="A1367" s="134" t="s">
        <v>4658</v>
      </c>
      <c r="B1367" s="134" t="s">
        <v>4659</v>
      </c>
      <c r="C1367" s="134"/>
      <c r="D1367" s="134" t="s">
        <v>4658</v>
      </c>
      <c r="E1367" s="18" t="s">
        <v>4631</v>
      </c>
      <c r="F1367" s="20">
        <v>41389</v>
      </c>
      <c r="G1367" s="18" t="s">
        <v>4660</v>
      </c>
      <c r="H1367" s="18">
        <v>58114</v>
      </c>
      <c r="I1367" s="135" t="s">
        <v>4661</v>
      </c>
      <c r="J1367" s="134" t="s">
        <v>4662</v>
      </c>
      <c r="K1367" s="18" t="s">
        <v>570</v>
      </c>
      <c r="L1367" s="134" t="s">
        <v>570</v>
      </c>
      <c r="M1367" s="134" t="s">
        <v>570</v>
      </c>
      <c r="N1367" s="134" t="s">
        <v>570</v>
      </c>
      <c r="O1367" s="134" t="s">
        <v>570</v>
      </c>
      <c r="P1367" s="449"/>
      <c r="Q1367" s="26"/>
      <c r="R1367" s="26"/>
      <c r="S1367" s="26"/>
      <c r="T1367" s="500" t="e">
        <f>_xlfn.XLOOKUP(H1367,#REF!,#REF!,0,0)</f>
        <v>#REF!</v>
      </c>
    </row>
    <row r="1368" spans="1:20" x14ac:dyDescent="0.4">
      <c r="A1368" s="134" t="s">
        <v>570</v>
      </c>
      <c r="B1368" s="135" t="s">
        <v>4663</v>
      </c>
      <c r="C1368" s="135"/>
      <c r="D1368" s="135"/>
      <c r="E1368" s="18" t="s">
        <v>4664</v>
      </c>
      <c r="F1368" s="10">
        <v>41389</v>
      </c>
      <c r="G1368" s="18" t="s">
        <v>4665</v>
      </c>
      <c r="H1368" s="18">
        <v>58115</v>
      </c>
      <c r="I1368" s="134" t="s">
        <v>4666</v>
      </c>
      <c r="J1368" s="134" t="s">
        <v>4667</v>
      </c>
      <c r="K1368" s="18" t="s">
        <v>570</v>
      </c>
      <c r="L1368" s="134" t="s">
        <v>570</v>
      </c>
      <c r="M1368" s="134" t="s">
        <v>570</v>
      </c>
      <c r="N1368" s="134" t="s">
        <v>570</v>
      </c>
      <c r="O1368" s="134" t="s">
        <v>570</v>
      </c>
      <c r="P1368" s="449"/>
      <c r="Q1368" s="26"/>
      <c r="R1368" s="26"/>
      <c r="S1368" s="26"/>
      <c r="T1368" s="500" t="e">
        <f>_xlfn.XLOOKUP(H1368,#REF!,#REF!,0,0)</f>
        <v>#REF!</v>
      </c>
    </row>
    <row r="1369" spans="1:20" x14ac:dyDescent="0.4">
      <c r="A1369" s="134" t="s">
        <v>570</v>
      </c>
      <c r="B1369" s="135" t="s">
        <v>4668</v>
      </c>
      <c r="C1369" s="135"/>
      <c r="D1369" s="135"/>
      <c r="E1369" s="18" t="s">
        <v>4664</v>
      </c>
      <c r="F1369" s="10">
        <v>41389</v>
      </c>
      <c r="G1369" s="18" t="s">
        <v>4669</v>
      </c>
      <c r="H1369" s="18">
        <v>58116</v>
      </c>
      <c r="I1369" s="134" t="s">
        <v>4670</v>
      </c>
      <c r="J1369" s="134" t="s">
        <v>4671</v>
      </c>
      <c r="K1369" s="18" t="s">
        <v>570</v>
      </c>
      <c r="L1369" s="134" t="s">
        <v>570</v>
      </c>
      <c r="M1369" s="134" t="s">
        <v>570</v>
      </c>
      <c r="N1369" s="134" t="s">
        <v>570</v>
      </c>
      <c r="O1369" s="134" t="s">
        <v>570</v>
      </c>
      <c r="P1369" s="449"/>
      <c r="Q1369" s="26"/>
      <c r="R1369" s="26"/>
      <c r="S1369" s="26"/>
      <c r="T1369" s="500" t="e">
        <f>_xlfn.XLOOKUP(H1369,#REF!,#REF!,0,0)</f>
        <v>#REF!</v>
      </c>
    </row>
    <row r="1370" spans="1:20" x14ac:dyDescent="0.4">
      <c r="A1370" s="134" t="s">
        <v>570</v>
      </c>
      <c r="B1370" s="135" t="s">
        <v>4672</v>
      </c>
      <c r="C1370" s="135"/>
      <c r="D1370" s="135"/>
      <c r="E1370" s="18" t="s">
        <v>4664</v>
      </c>
      <c r="F1370" s="10">
        <v>41389</v>
      </c>
      <c r="G1370" s="18" t="s">
        <v>4673</v>
      </c>
      <c r="H1370" s="18">
        <v>58117</v>
      </c>
      <c r="I1370" s="134" t="s">
        <v>4674</v>
      </c>
      <c r="J1370" s="134" t="s">
        <v>4675</v>
      </c>
      <c r="K1370" s="18" t="s">
        <v>570</v>
      </c>
      <c r="L1370" s="134" t="s">
        <v>570</v>
      </c>
      <c r="M1370" s="134" t="s">
        <v>570</v>
      </c>
      <c r="N1370" s="134" t="s">
        <v>570</v>
      </c>
      <c r="O1370" s="134" t="s">
        <v>570</v>
      </c>
      <c r="P1370" s="449"/>
      <c r="Q1370" s="26"/>
      <c r="R1370" s="26"/>
      <c r="S1370" s="26"/>
      <c r="T1370" s="500" t="e">
        <f>_xlfn.XLOOKUP(H1370,#REF!,#REF!,0,0)</f>
        <v>#REF!</v>
      </c>
    </row>
    <row r="1371" spans="1:20" x14ac:dyDescent="0.4">
      <c r="A1371" s="134" t="s">
        <v>570</v>
      </c>
      <c r="B1371" s="135" t="s">
        <v>4676</v>
      </c>
      <c r="C1371" s="135"/>
      <c r="D1371" s="135"/>
      <c r="E1371" s="18" t="s">
        <v>4664</v>
      </c>
      <c r="F1371" s="10">
        <v>41389</v>
      </c>
      <c r="G1371" s="18" t="s">
        <v>4677</v>
      </c>
      <c r="H1371" s="18">
        <v>58118</v>
      </c>
      <c r="I1371" s="134" t="s">
        <v>4678</v>
      </c>
      <c r="J1371" s="134" t="s">
        <v>4679</v>
      </c>
      <c r="K1371" s="18" t="s">
        <v>570</v>
      </c>
      <c r="L1371" s="134" t="s">
        <v>570</v>
      </c>
      <c r="M1371" s="134" t="s">
        <v>570</v>
      </c>
      <c r="N1371" s="134" t="s">
        <v>570</v>
      </c>
      <c r="O1371" s="134" t="s">
        <v>570</v>
      </c>
      <c r="P1371" s="449"/>
      <c r="Q1371" s="26"/>
      <c r="R1371" s="26"/>
      <c r="S1371" s="26"/>
      <c r="T1371" s="500" t="e">
        <f>_xlfn.XLOOKUP(H1371,#REF!,#REF!,0,0)</f>
        <v>#REF!</v>
      </c>
    </row>
    <row r="1372" spans="1:20" x14ac:dyDescent="0.4">
      <c r="A1372" s="134" t="s">
        <v>570</v>
      </c>
      <c r="B1372" s="135" t="s">
        <v>4680</v>
      </c>
      <c r="C1372" s="135"/>
      <c r="D1372" s="135"/>
      <c r="E1372" s="18" t="s">
        <v>4664</v>
      </c>
      <c r="F1372" s="10">
        <v>41389</v>
      </c>
      <c r="G1372" s="18" t="s">
        <v>4681</v>
      </c>
      <c r="H1372" s="18">
        <v>58119</v>
      </c>
      <c r="I1372" s="134" t="s">
        <v>4682</v>
      </c>
      <c r="J1372" s="134" t="s">
        <v>4683</v>
      </c>
      <c r="K1372" s="18" t="s">
        <v>570</v>
      </c>
      <c r="L1372" s="134" t="s">
        <v>570</v>
      </c>
      <c r="M1372" s="134" t="s">
        <v>570</v>
      </c>
      <c r="N1372" s="134" t="s">
        <v>570</v>
      </c>
      <c r="O1372" s="134" t="s">
        <v>570</v>
      </c>
      <c r="P1372" s="449"/>
      <c r="Q1372" s="26"/>
      <c r="R1372" s="26"/>
      <c r="S1372" s="26"/>
      <c r="T1372" s="500" t="e">
        <f>_xlfn.XLOOKUP(H1372,#REF!,#REF!,0,0)</f>
        <v>#REF!</v>
      </c>
    </row>
    <row r="1373" spans="1:20" x14ac:dyDescent="0.4">
      <c r="A1373" s="134" t="s">
        <v>570</v>
      </c>
      <c r="B1373" s="135" t="s">
        <v>4684</v>
      </c>
      <c r="C1373" s="135"/>
      <c r="D1373" s="135"/>
      <c r="E1373" s="18" t="s">
        <v>4664</v>
      </c>
      <c r="F1373" s="10">
        <v>41389</v>
      </c>
      <c r="G1373" s="18" t="s">
        <v>4685</v>
      </c>
      <c r="H1373" s="18">
        <v>58120</v>
      </c>
      <c r="I1373" s="134" t="s">
        <v>4686</v>
      </c>
      <c r="J1373" s="134" t="s">
        <v>4687</v>
      </c>
      <c r="K1373" s="18" t="s">
        <v>570</v>
      </c>
      <c r="L1373" s="134" t="s">
        <v>570</v>
      </c>
      <c r="M1373" s="134" t="s">
        <v>570</v>
      </c>
      <c r="N1373" s="134" t="s">
        <v>570</v>
      </c>
      <c r="O1373" s="134" t="s">
        <v>570</v>
      </c>
      <c r="P1373" s="449"/>
      <c r="Q1373" s="26"/>
      <c r="R1373" s="26"/>
      <c r="S1373" s="26"/>
      <c r="T1373" s="500" t="e">
        <f>_xlfn.XLOOKUP(H1373,#REF!,#REF!,0,0)</f>
        <v>#REF!</v>
      </c>
    </row>
    <row r="1374" spans="1:20" x14ac:dyDescent="0.4">
      <c r="A1374" s="134" t="s">
        <v>570</v>
      </c>
      <c r="B1374" s="135" t="s">
        <v>3477</v>
      </c>
      <c r="C1374" s="135"/>
      <c r="D1374" s="135"/>
      <c r="E1374" s="18" t="s">
        <v>4664</v>
      </c>
      <c r="F1374" s="10">
        <v>41389</v>
      </c>
      <c r="G1374" s="18" t="s">
        <v>4688</v>
      </c>
      <c r="H1374" s="18">
        <v>58121</v>
      </c>
      <c r="I1374" s="134" t="s">
        <v>4689</v>
      </c>
      <c r="J1374" s="134" t="s">
        <v>4690</v>
      </c>
      <c r="K1374" s="18" t="s">
        <v>570</v>
      </c>
      <c r="L1374" s="134" t="s">
        <v>570</v>
      </c>
      <c r="M1374" s="134" t="s">
        <v>570</v>
      </c>
      <c r="N1374" s="134" t="s">
        <v>570</v>
      </c>
      <c r="O1374" s="134" t="s">
        <v>570</v>
      </c>
      <c r="P1374" s="449"/>
      <c r="Q1374" s="26"/>
      <c r="R1374" s="26"/>
      <c r="S1374" s="26"/>
      <c r="T1374" s="500" t="e">
        <f>_xlfn.XLOOKUP(H1374,#REF!,#REF!,0,0)</f>
        <v>#REF!</v>
      </c>
    </row>
    <row r="1375" spans="1:20" x14ac:dyDescent="0.4">
      <c r="A1375" s="135" t="s">
        <v>570</v>
      </c>
      <c r="B1375" s="135" t="s">
        <v>4691</v>
      </c>
      <c r="C1375" s="135"/>
      <c r="D1375" s="135"/>
      <c r="E1375" s="18" t="s">
        <v>4664</v>
      </c>
      <c r="F1375" s="10">
        <v>41389</v>
      </c>
      <c r="G1375" s="18" t="s">
        <v>4692</v>
      </c>
      <c r="H1375" s="18">
        <v>58122</v>
      </c>
      <c r="I1375" s="134" t="s">
        <v>4693</v>
      </c>
      <c r="J1375" s="134" t="s">
        <v>4694</v>
      </c>
      <c r="K1375" s="18" t="s">
        <v>570</v>
      </c>
      <c r="L1375" s="134" t="s">
        <v>570</v>
      </c>
      <c r="M1375" s="134" t="s">
        <v>570</v>
      </c>
      <c r="N1375" s="134" t="s">
        <v>570</v>
      </c>
      <c r="O1375" s="134" t="s">
        <v>570</v>
      </c>
      <c r="P1375" s="449"/>
      <c r="Q1375" s="26"/>
      <c r="R1375" s="26"/>
      <c r="S1375" s="26"/>
      <c r="T1375" s="500" t="e">
        <f>_xlfn.XLOOKUP(H1375,#REF!,#REF!,0,0)</f>
        <v>#REF!</v>
      </c>
    </row>
    <row r="1376" spans="1:20" x14ac:dyDescent="0.4">
      <c r="A1376" s="134" t="s">
        <v>570</v>
      </c>
      <c r="B1376" s="135" t="s">
        <v>4695</v>
      </c>
      <c r="C1376" s="135"/>
      <c r="D1376" s="135"/>
      <c r="E1376" s="18" t="s">
        <v>4664</v>
      </c>
      <c r="F1376" s="10">
        <v>41389</v>
      </c>
      <c r="G1376" s="18" t="s">
        <v>4696</v>
      </c>
      <c r="H1376" s="18">
        <v>58123</v>
      </c>
      <c r="I1376" s="134" t="s">
        <v>4697</v>
      </c>
      <c r="J1376" s="134" t="s">
        <v>4698</v>
      </c>
      <c r="K1376" s="18" t="s">
        <v>570</v>
      </c>
      <c r="L1376" s="134" t="s">
        <v>570</v>
      </c>
      <c r="M1376" s="134" t="s">
        <v>570</v>
      </c>
      <c r="N1376" s="134" t="s">
        <v>570</v>
      </c>
      <c r="O1376" s="134" t="s">
        <v>570</v>
      </c>
      <c r="P1376" s="449"/>
      <c r="Q1376" s="26"/>
      <c r="R1376" s="26"/>
      <c r="S1376" s="26"/>
      <c r="T1376" s="500" t="e">
        <f>_xlfn.XLOOKUP(H1376,#REF!,#REF!,0,0)</f>
        <v>#REF!</v>
      </c>
    </row>
    <row r="1377" spans="1:20" x14ac:dyDescent="0.4">
      <c r="A1377" s="135"/>
      <c r="B1377" s="135" t="s">
        <v>4699</v>
      </c>
      <c r="C1377" s="135"/>
      <c r="D1377" s="135"/>
      <c r="E1377" s="18" t="s">
        <v>4664</v>
      </c>
      <c r="F1377" s="20">
        <v>41389</v>
      </c>
      <c r="G1377" s="18" t="s">
        <v>4696</v>
      </c>
      <c r="H1377" s="18">
        <v>58123</v>
      </c>
      <c r="I1377" s="135" t="s">
        <v>4697</v>
      </c>
      <c r="J1377" s="135" t="s">
        <v>4698</v>
      </c>
      <c r="K1377" s="18" t="s">
        <v>570</v>
      </c>
      <c r="L1377" s="134" t="s">
        <v>570</v>
      </c>
      <c r="M1377" s="134" t="s">
        <v>570</v>
      </c>
      <c r="N1377" s="134" t="s">
        <v>570</v>
      </c>
      <c r="O1377" s="134" t="s">
        <v>570</v>
      </c>
      <c r="P1377" s="449"/>
      <c r="Q1377" s="26"/>
      <c r="R1377" s="26"/>
      <c r="S1377" s="26"/>
      <c r="T1377" s="500" t="e">
        <f>_xlfn.XLOOKUP(H1377,#REF!,#REF!,0,0)</f>
        <v>#REF!</v>
      </c>
    </row>
    <row r="1378" spans="1:20" x14ac:dyDescent="0.4">
      <c r="A1378" s="134" t="s">
        <v>570</v>
      </c>
      <c r="B1378" s="135" t="s">
        <v>4700</v>
      </c>
      <c r="C1378" s="135"/>
      <c r="D1378" s="135"/>
      <c r="E1378" s="18" t="s">
        <v>4664</v>
      </c>
      <c r="F1378" s="10">
        <v>41389</v>
      </c>
      <c r="G1378" s="18" t="s">
        <v>4701</v>
      </c>
      <c r="H1378" s="18">
        <v>58124</v>
      </c>
      <c r="I1378" s="134" t="s">
        <v>4702</v>
      </c>
      <c r="J1378" s="134" t="s">
        <v>4703</v>
      </c>
      <c r="K1378" s="18" t="s">
        <v>570</v>
      </c>
      <c r="L1378" s="134" t="s">
        <v>570</v>
      </c>
      <c r="M1378" s="134" t="s">
        <v>570</v>
      </c>
      <c r="N1378" s="134" t="s">
        <v>570</v>
      </c>
      <c r="O1378" s="134" t="s">
        <v>570</v>
      </c>
      <c r="P1378" s="449"/>
      <c r="Q1378" s="26"/>
      <c r="R1378" s="26"/>
      <c r="S1378" s="26"/>
      <c r="T1378" s="500" t="e">
        <f>_xlfn.XLOOKUP(H1378,#REF!,#REF!,0,0)</f>
        <v>#REF!</v>
      </c>
    </row>
    <row r="1379" spans="1:20" x14ac:dyDescent="0.4">
      <c r="A1379" s="134" t="s">
        <v>570</v>
      </c>
      <c r="B1379" s="134" t="s">
        <v>4704</v>
      </c>
      <c r="C1379" s="134"/>
      <c r="D1379" s="134"/>
      <c r="E1379" s="18" t="s">
        <v>4664</v>
      </c>
      <c r="F1379" s="10">
        <v>41425</v>
      </c>
      <c r="G1379" s="18" t="s">
        <v>4705</v>
      </c>
      <c r="H1379" s="18">
        <v>58173</v>
      </c>
      <c r="I1379" s="134" t="s">
        <v>4706</v>
      </c>
      <c r="J1379" s="134" t="s">
        <v>4707</v>
      </c>
      <c r="K1379" s="18" t="s">
        <v>570</v>
      </c>
      <c r="L1379" s="134" t="s">
        <v>570</v>
      </c>
      <c r="M1379" s="134" t="s">
        <v>570</v>
      </c>
      <c r="N1379" s="134" t="s">
        <v>570</v>
      </c>
      <c r="O1379" s="134" t="s">
        <v>570</v>
      </c>
      <c r="P1379" s="449"/>
      <c r="Q1379" s="26"/>
      <c r="R1379" s="26"/>
      <c r="S1379" s="26"/>
      <c r="T1379" s="500" t="e">
        <f>_xlfn.XLOOKUP(H1379,#REF!,#REF!,0,0)</f>
        <v>#REF!</v>
      </c>
    </row>
    <row r="1380" spans="1:20" x14ac:dyDescent="0.4">
      <c r="A1380" s="134" t="s">
        <v>570</v>
      </c>
      <c r="B1380" s="134" t="s">
        <v>4708</v>
      </c>
      <c r="C1380" s="134"/>
      <c r="D1380" s="134"/>
      <c r="E1380" s="18" t="s">
        <v>4664</v>
      </c>
      <c r="F1380" s="10">
        <v>41425</v>
      </c>
      <c r="G1380" s="18" t="s">
        <v>4709</v>
      </c>
      <c r="H1380" s="18">
        <v>58174</v>
      </c>
      <c r="I1380" s="134" t="s">
        <v>4710</v>
      </c>
      <c r="J1380" s="134" t="s">
        <v>4711</v>
      </c>
      <c r="K1380" s="18" t="s">
        <v>570</v>
      </c>
      <c r="L1380" s="134" t="s">
        <v>570</v>
      </c>
      <c r="M1380" s="134" t="s">
        <v>570</v>
      </c>
      <c r="N1380" s="134" t="s">
        <v>570</v>
      </c>
      <c r="O1380" s="134" t="s">
        <v>570</v>
      </c>
      <c r="P1380" s="449"/>
      <c r="Q1380" s="26"/>
      <c r="R1380" s="26"/>
      <c r="S1380" s="26"/>
      <c r="T1380" s="500" t="e">
        <f>_xlfn.XLOOKUP(H1380,#REF!,#REF!,0,0)</f>
        <v>#REF!</v>
      </c>
    </row>
    <row r="1381" spans="1:20" x14ac:dyDescent="0.4">
      <c r="A1381" s="134" t="s">
        <v>570</v>
      </c>
      <c r="B1381" s="135" t="s">
        <v>4712</v>
      </c>
      <c r="C1381" s="135"/>
      <c r="D1381" s="134"/>
      <c r="E1381" s="18" t="s">
        <v>4664</v>
      </c>
      <c r="F1381" s="10">
        <v>41425</v>
      </c>
      <c r="G1381" s="18" t="s">
        <v>4713</v>
      </c>
      <c r="H1381" s="18">
        <v>58175</v>
      </c>
      <c r="I1381" s="134" t="s">
        <v>4714</v>
      </c>
      <c r="J1381" s="134" t="s">
        <v>4715</v>
      </c>
      <c r="K1381" s="18" t="s">
        <v>570</v>
      </c>
      <c r="L1381" s="134" t="s">
        <v>570</v>
      </c>
      <c r="M1381" s="134" t="s">
        <v>570</v>
      </c>
      <c r="N1381" s="134" t="s">
        <v>570</v>
      </c>
      <c r="O1381" s="134" t="s">
        <v>570</v>
      </c>
      <c r="P1381" s="449"/>
      <c r="Q1381" s="26"/>
      <c r="R1381" s="26"/>
      <c r="S1381" s="26"/>
      <c r="T1381" s="500" t="e">
        <f>_xlfn.XLOOKUP(H1381,#REF!,#REF!,0,0)</f>
        <v>#REF!</v>
      </c>
    </row>
    <row r="1382" spans="1:20" x14ac:dyDescent="0.4">
      <c r="A1382" s="134" t="s">
        <v>570</v>
      </c>
      <c r="B1382" s="135" t="s">
        <v>4716</v>
      </c>
      <c r="C1382" s="135"/>
      <c r="D1382" s="134"/>
      <c r="E1382" s="18" t="s">
        <v>7</v>
      </c>
      <c r="F1382" s="10">
        <v>41479</v>
      </c>
      <c r="G1382" s="18" t="s">
        <v>4717</v>
      </c>
      <c r="H1382" s="18">
        <v>58351</v>
      </c>
      <c r="I1382" s="134" t="s">
        <v>4718</v>
      </c>
      <c r="J1382" s="134" t="s">
        <v>4719</v>
      </c>
      <c r="K1382" s="18" t="s">
        <v>570</v>
      </c>
      <c r="L1382" s="134" t="s">
        <v>570</v>
      </c>
      <c r="M1382" s="134" t="s">
        <v>570</v>
      </c>
      <c r="N1382" s="134" t="s">
        <v>570</v>
      </c>
      <c r="O1382" s="134" t="s">
        <v>570</v>
      </c>
      <c r="P1382" s="449"/>
      <c r="Q1382" s="26"/>
      <c r="R1382" s="26"/>
      <c r="S1382" s="26"/>
      <c r="T1382" s="500" t="e">
        <f>_xlfn.XLOOKUP(H1382,#REF!,#REF!,0,0)</f>
        <v>#REF!</v>
      </c>
    </row>
    <row r="1383" spans="1:20" x14ac:dyDescent="0.4">
      <c r="A1383" s="134" t="s">
        <v>570</v>
      </c>
      <c r="B1383" s="134" t="s">
        <v>4720</v>
      </c>
      <c r="C1383" s="134"/>
      <c r="D1383" s="134"/>
      <c r="E1383" s="18" t="s">
        <v>7</v>
      </c>
      <c r="F1383" s="10">
        <v>41479</v>
      </c>
      <c r="G1383" s="18" t="s">
        <v>4721</v>
      </c>
      <c r="H1383" s="18">
        <v>58352</v>
      </c>
      <c r="I1383" s="134" t="s">
        <v>4722</v>
      </c>
      <c r="J1383" s="134" t="s">
        <v>4723</v>
      </c>
      <c r="K1383" s="18" t="s">
        <v>570</v>
      </c>
      <c r="L1383" s="134" t="s">
        <v>570</v>
      </c>
      <c r="M1383" s="134" t="s">
        <v>570</v>
      </c>
      <c r="N1383" s="134" t="s">
        <v>570</v>
      </c>
      <c r="O1383" s="134" t="s">
        <v>570</v>
      </c>
      <c r="P1383" s="449"/>
      <c r="Q1383" s="26"/>
      <c r="R1383" s="26"/>
      <c r="S1383" s="26"/>
      <c r="T1383" s="500" t="e">
        <f>_xlfn.XLOOKUP(H1383,#REF!,#REF!,0,0)</f>
        <v>#REF!</v>
      </c>
    </row>
    <row r="1384" spans="1:20" x14ac:dyDescent="0.4">
      <c r="A1384" s="134" t="s">
        <v>570</v>
      </c>
      <c r="B1384" s="135" t="s">
        <v>4724</v>
      </c>
      <c r="C1384" s="135"/>
      <c r="D1384" s="134"/>
      <c r="E1384" s="18" t="s">
        <v>7</v>
      </c>
      <c r="F1384" s="10">
        <v>41479</v>
      </c>
      <c r="G1384" s="18" t="s">
        <v>4725</v>
      </c>
      <c r="H1384" s="18">
        <v>58353</v>
      </c>
      <c r="I1384" s="134" t="s">
        <v>4726</v>
      </c>
      <c r="J1384" s="134" t="s">
        <v>4727</v>
      </c>
      <c r="K1384" s="18" t="s">
        <v>570</v>
      </c>
      <c r="L1384" s="134" t="s">
        <v>570</v>
      </c>
      <c r="M1384" s="134" t="s">
        <v>570</v>
      </c>
      <c r="N1384" s="134" t="s">
        <v>570</v>
      </c>
      <c r="O1384" s="134" t="s">
        <v>570</v>
      </c>
      <c r="P1384" s="449"/>
      <c r="Q1384" s="26"/>
      <c r="R1384" s="26"/>
      <c r="S1384" s="26"/>
      <c r="T1384" s="500" t="e">
        <f>_xlfn.XLOOKUP(H1384,#REF!,#REF!,0,0)</f>
        <v>#REF!</v>
      </c>
    </row>
    <row r="1385" spans="1:20" x14ac:dyDescent="0.4">
      <c r="A1385" s="134" t="s">
        <v>570</v>
      </c>
      <c r="B1385" s="134" t="s">
        <v>4728</v>
      </c>
      <c r="C1385" s="134"/>
      <c r="D1385" s="134"/>
      <c r="E1385" s="18" t="s">
        <v>7</v>
      </c>
      <c r="F1385" s="10">
        <v>41479</v>
      </c>
      <c r="G1385" s="18" t="s">
        <v>4729</v>
      </c>
      <c r="H1385" s="18">
        <v>58354</v>
      </c>
      <c r="I1385" s="134" t="s">
        <v>4730</v>
      </c>
      <c r="J1385" s="134" t="s">
        <v>4731</v>
      </c>
      <c r="K1385" s="18" t="s">
        <v>570</v>
      </c>
      <c r="L1385" s="134" t="s">
        <v>570</v>
      </c>
      <c r="M1385" s="134" t="s">
        <v>570</v>
      </c>
      <c r="N1385" s="134" t="s">
        <v>570</v>
      </c>
      <c r="O1385" s="134" t="s">
        <v>570</v>
      </c>
      <c r="P1385" s="449"/>
      <c r="Q1385" s="26"/>
      <c r="R1385" s="26"/>
      <c r="S1385" s="26"/>
      <c r="T1385" s="500" t="e">
        <f>_xlfn.XLOOKUP(H1385,#REF!,#REF!,0,0)</f>
        <v>#REF!</v>
      </c>
    </row>
    <row r="1386" spans="1:20" x14ac:dyDescent="0.4">
      <c r="A1386" s="134" t="s">
        <v>570</v>
      </c>
      <c r="B1386" s="135" t="s">
        <v>4732</v>
      </c>
      <c r="C1386" s="135"/>
      <c r="D1386" s="134"/>
      <c r="E1386" s="18" t="s">
        <v>7</v>
      </c>
      <c r="F1386" s="10">
        <v>41479</v>
      </c>
      <c r="G1386" s="18" t="s">
        <v>4733</v>
      </c>
      <c r="H1386" s="18">
        <v>58355</v>
      </c>
      <c r="I1386" s="134" t="s">
        <v>4734</v>
      </c>
      <c r="J1386" s="134" t="s">
        <v>4735</v>
      </c>
      <c r="K1386" s="18" t="s">
        <v>570</v>
      </c>
      <c r="L1386" s="134" t="s">
        <v>570</v>
      </c>
      <c r="M1386" s="134" t="s">
        <v>570</v>
      </c>
      <c r="N1386" s="134" t="s">
        <v>570</v>
      </c>
      <c r="O1386" s="134" t="s">
        <v>570</v>
      </c>
      <c r="P1386" s="449"/>
      <c r="Q1386" s="26"/>
      <c r="R1386" s="26"/>
      <c r="S1386" s="26"/>
      <c r="T1386" s="500" t="e">
        <f>_xlfn.XLOOKUP(H1386,#REF!,#REF!,0,0)</f>
        <v>#REF!</v>
      </c>
    </row>
    <row r="1387" spans="1:20" x14ac:dyDescent="0.4">
      <c r="A1387" s="134" t="s">
        <v>570</v>
      </c>
      <c r="B1387" s="134" t="s">
        <v>4736</v>
      </c>
      <c r="C1387" s="134"/>
      <c r="D1387" s="134"/>
      <c r="E1387" s="18" t="s">
        <v>7</v>
      </c>
      <c r="F1387" s="10">
        <v>41479</v>
      </c>
      <c r="G1387" s="18" t="s">
        <v>4737</v>
      </c>
      <c r="H1387" s="18">
        <v>58356</v>
      </c>
      <c r="I1387" s="134" t="s">
        <v>4738</v>
      </c>
      <c r="J1387" s="134" t="s">
        <v>4739</v>
      </c>
      <c r="K1387" s="18" t="s">
        <v>570</v>
      </c>
      <c r="L1387" s="134" t="s">
        <v>570</v>
      </c>
      <c r="M1387" s="134" t="s">
        <v>570</v>
      </c>
      <c r="N1387" s="134" t="s">
        <v>570</v>
      </c>
      <c r="O1387" s="134" t="s">
        <v>570</v>
      </c>
      <c r="P1387" s="449"/>
      <c r="Q1387" s="26"/>
      <c r="R1387" s="26"/>
      <c r="S1387" s="26"/>
      <c r="T1387" s="500" t="e">
        <f>_xlfn.XLOOKUP(H1387,#REF!,#REF!,0,0)</f>
        <v>#REF!</v>
      </c>
    </row>
    <row r="1388" spans="1:20" x14ac:dyDescent="0.4">
      <c r="A1388" s="134" t="s">
        <v>570</v>
      </c>
      <c r="B1388" s="134" t="s">
        <v>4740</v>
      </c>
      <c r="C1388" s="134"/>
      <c r="D1388" s="134"/>
      <c r="E1388" s="18" t="s">
        <v>7</v>
      </c>
      <c r="F1388" s="10">
        <v>41479</v>
      </c>
      <c r="G1388" s="18" t="s">
        <v>4741</v>
      </c>
      <c r="H1388" s="18">
        <v>58357</v>
      </c>
      <c r="I1388" s="134" t="s">
        <v>4742</v>
      </c>
      <c r="J1388" s="134" t="s">
        <v>4743</v>
      </c>
      <c r="K1388" s="18" t="s">
        <v>570</v>
      </c>
      <c r="L1388" s="134" t="s">
        <v>570</v>
      </c>
      <c r="M1388" s="134" t="s">
        <v>570</v>
      </c>
      <c r="N1388" s="134" t="s">
        <v>570</v>
      </c>
      <c r="O1388" s="134" t="s">
        <v>570</v>
      </c>
      <c r="P1388" s="449"/>
      <c r="Q1388" s="26"/>
      <c r="R1388" s="26"/>
      <c r="S1388" s="26"/>
      <c r="T1388" s="500" t="e">
        <f>_xlfn.XLOOKUP(H1388,#REF!,#REF!,0,0)</f>
        <v>#REF!</v>
      </c>
    </row>
    <row r="1389" spans="1:20" x14ac:dyDescent="0.4">
      <c r="A1389" s="134" t="s">
        <v>570</v>
      </c>
      <c r="B1389" s="135" t="s">
        <v>4744</v>
      </c>
      <c r="C1389" s="135"/>
      <c r="D1389" s="134"/>
      <c r="E1389" s="18" t="s">
        <v>7</v>
      </c>
      <c r="F1389" s="10">
        <v>41479</v>
      </c>
      <c r="G1389" s="18" t="s">
        <v>4745</v>
      </c>
      <c r="H1389" s="18">
        <v>58358</v>
      </c>
      <c r="I1389" s="134" t="s">
        <v>4746</v>
      </c>
      <c r="J1389" s="134" t="s">
        <v>4747</v>
      </c>
      <c r="K1389" s="18" t="s">
        <v>570</v>
      </c>
      <c r="L1389" s="134" t="s">
        <v>570</v>
      </c>
      <c r="M1389" s="134" t="s">
        <v>570</v>
      </c>
      <c r="N1389" s="134" t="s">
        <v>570</v>
      </c>
      <c r="O1389" s="134" t="s">
        <v>570</v>
      </c>
      <c r="P1389" s="449"/>
      <c r="Q1389" s="26"/>
      <c r="R1389" s="26"/>
      <c r="S1389" s="26"/>
      <c r="T1389" s="500" t="e">
        <f>_xlfn.XLOOKUP(H1389,#REF!,#REF!,0,0)</f>
        <v>#REF!</v>
      </c>
    </row>
    <row r="1390" spans="1:20" x14ac:dyDescent="0.4">
      <c r="A1390" s="134" t="s">
        <v>570</v>
      </c>
      <c r="B1390" s="135" t="s">
        <v>4748</v>
      </c>
      <c r="C1390" s="135"/>
      <c r="D1390" s="134"/>
      <c r="E1390" s="18" t="s">
        <v>7</v>
      </c>
      <c r="F1390" s="10">
        <v>41479</v>
      </c>
      <c r="G1390" s="18" t="s">
        <v>4749</v>
      </c>
      <c r="H1390" s="18">
        <v>58359</v>
      </c>
      <c r="I1390" s="134" t="s">
        <v>4750</v>
      </c>
      <c r="J1390" s="134" t="s">
        <v>4751</v>
      </c>
      <c r="K1390" s="18" t="s">
        <v>570</v>
      </c>
      <c r="L1390" s="134" t="s">
        <v>570</v>
      </c>
      <c r="M1390" s="134" t="s">
        <v>570</v>
      </c>
      <c r="N1390" s="134" t="s">
        <v>570</v>
      </c>
      <c r="O1390" s="134" t="s">
        <v>570</v>
      </c>
      <c r="P1390" s="449"/>
      <c r="Q1390" s="26"/>
      <c r="R1390" s="26"/>
      <c r="S1390" s="26"/>
      <c r="T1390" s="500" t="e">
        <f>_xlfn.XLOOKUP(H1390,#REF!,#REF!,0,0)</f>
        <v>#REF!</v>
      </c>
    </row>
    <row r="1391" spans="1:20" x14ac:dyDescent="0.4">
      <c r="A1391" s="134" t="s">
        <v>570</v>
      </c>
      <c r="B1391" s="135" t="s">
        <v>4752</v>
      </c>
      <c r="C1391" s="135"/>
      <c r="D1391" s="134"/>
      <c r="E1391" s="18" t="s">
        <v>7</v>
      </c>
      <c r="F1391" s="10">
        <v>41479</v>
      </c>
      <c r="G1391" s="18" t="s">
        <v>4753</v>
      </c>
      <c r="H1391" s="18">
        <v>58360</v>
      </c>
      <c r="I1391" s="134" t="s">
        <v>4754</v>
      </c>
      <c r="J1391" s="134" t="s">
        <v>4755</v>
      </c>
      <c r="K1391" s="18" t="s">
        <v>570</v>
      </c>
      <c r="L1391" s="134" t="s">
        <v>570</v>
      </c>
      <c r="M1391" s="134" t="s">
        <v>570</v>
      </c>
      <c r="N1391" s="134" t="s">
        <v>570</v>
      </c>
      <c r="O1391" s="134" t="s">
        <v>570</v>
      </c>
      <c r="P1391" s="449"/>
      <c r="Q1391" s="26"/>
      <c r="R1391" s="26"/>
      <c r="S1391" s="26"/>
      <c r="T1391" s="500" t="e">
        <f>_xlfn.XLOOKUP(H1391,#REF!,#REF!,0,0)</f>
        <v>#REF!</v>
      </c>
    </row>
    <row r="1392" spans="1:20" x14ac:dyDescent="0.4">
      <c r="A1392" s="134" t="s">
        <v>570</v>
      </c>
      <c r="B1392" s="134" t="s">
        <v>4756</v>
      </c>
      <c r="C1392" s="134"/>
      <c r="D1392" s="134"/>
      <c r="E1392" s="18" t="s">
        <v>7</v>
      </c>
      <c r="F1392" s="10">
        <v>41479</v>
      </c>
      <c r="G1392" s="18" t="s">
        <v>4757</v>
      </c>
      <c r="H1392" s="18">
        <v>58361</v>
      </c>
      <c r="I1392" s="134" t="s">
        <v>4758</v>
      </c>
      <c r="J1392" s="134" t="s">
        <v>4759</v>
      </c>
      <c r="K1392" s="18" t="s">
        <v>570</v>
      </c>
      <c r="L1392" s="134" t="s">
        <v>570</v>
      </c>
      <c r="M1392" s="134" t="s">
        <v>570</v>
      </c>
      <c r="N1392" s="134" t="s">
        <v>570</v>
      </c>
      <c r="O1392" s="134" t="s">
        <v>570</v>
      </c>
      <c r="P1392" s="449"/>
      <c r="Q1392" s="26"/>
      <c r="R1392" s="26"/>
      <c r="S1392" s="26"/>
      <c r="T1392" s="500" t="e">
        <f>_xlfn.XLOOKUP(H1392,#REF!,#REF!,0,0)</f>
        <v>#REF!</v>
      </c>
    </row>
    <row r="1393" spans="1:20" x14ac:dyDescent="0.4">
      <c r="A1393" s="134" t="s">
        <v>570</v>
      </c>
      <c r="B1393" s="135" t="s">
        <v>2211</v>
      </c>
      <c r="C1393" s="135"/>
      <c r="D1393" s="134"/>
      <c r="E1393" s="18" t="s">
        <v>7</v>
      </c>
      <c r="F1393" s="10">
        <v>41479</v>
      </c>
      <c r="G1393" s="18" t="s">
        <v>4760</v>
      </c>
      <c r="H1393" s="18">
        <v>58362</v>
      </c>
      <c r="I1393" s="134" t="s">
        <v>4761</v>
      </c>
      <c r="J1393" s="134" t="s">
        <v>4762</v>
      </c>
      <c r="K1393" s="18" t="s">
        <v>570</v>
      </c>
      <c r="L1393" s="134" t="s">
        <v>570</v>
      </c>
      <c r="M1393" s="134" t="s">
        <v>570</v>
      </c>
      <c r="N1393" s="134" t="s">
        <v>570</v>
      </c>
      <c r="O1393" s="134" t="s">
        <v>570</v>
      </c>
      <c r="P1393" s="449"/>
      <c r="Q1393" s="26"/>
      <c r="R1393" s="26"/>
      <c r="S1393" s="26"/>
      <c r="T1393" s="500" t="e">
        <f>_xlfn.XLOOKUP(H1393,#REF!,#REF!,0,0)</f>
        <v>#REF!</v>
      </c>
    </row>
    <row r="1394" spans="1:20" x14ac:dyDescent="0.4">
      <c r="A1394" s="134" t="s">
        <v>570</v>
      </c>
      <c r="B1394" s="134" t="s">
        <v>4763</v>
      </c>
      <c r="C1394" s="134"/>
      <c r="D1394" s="134"/>
      <c r="E1394" s="18" t="s">
        <v>7</v>
      </c>
      <c r="F1394" s="10">
        <v>41479</v>
      </c>
      <c r="G1394" s="18" t="s">
        <v>4764</v>
      </c>
      <c r="H1394" s="18">
        <v>58363</v>
      </c>
      <c r="I1394" s="134" t="s">
        <v>4765</v>
      </c>
      <c r="J1394" s="134" t="s">
        <v>4766</v>
      </c>
      <c r="K1394" s="18" t="s">
        <v>570</v>
      </c>
      <c r="L1394" s="134" t="s">
        <v>570</v>
      </c>
      <c r="M1394" s="134" t="s">
        <v>570</v>
      </c>
      <c r="N1394" s="134" t="s">
        <v>570</v>
      </c>
      <c r="O1394" s="134" t="s">
        <v>570</v>
      </c>
      <c r="P1394" s="449"/>
      <c r="Q1394" s="26"/>
      <c r="R1394" s="26"/>
      <c r="S1394" s="26"/>
      <c r="T1394" s="500" t="e">
        <f>_xlfn.XLOOKUP(H1394,#REF!,#REF!,0,0)</f>
        <v>#REF!</v>
      </c>
    </row>
    <row r="1395" spans="1:20" x14ac:dyDescent="0.4">
      <c r="A1395" s="134" t="s">
        <v>570</v>
      </c>
      <c r="B1395" s="135" t="s">
        <v>4767</v>
      </c>
      <c r="C1395" s="135"/>
      <c r="D1395" s="134"/>
      <c r="E1395" s="18" t="s">
        <v>7</v>
      </c>
      <c r="F1395" s="10">
        <v>41479</v>
      </c>
      <c r="G1395" s="18" t="s">
        <v>4768</v>
      </c>
      <c r="H1395" s="18">
        <v>58364</v>
      </c>
      <c r="I1395" s="134" t="s">
        <v>4769</v>
      </c>
      <c r="J1395" s="134" t="s">
        <v>4770</v>
      </c>
      <c r="K1395" s="18" t="s">
        <v>570</v>
      </c>
      <c r="L1395" s="134" t="s">
        <v>570</v>
      </c>
      <c r="M1395" s="134" t="s">
        <v>570</v>
      </c>
      <c r="N1395" s="134" t="s">
        <v>570</v>
      </c>
      <c r="O1395" s="134" t="s">
        <v>570</v>
      </c>
      <c r="P1395" s="449"/>
      <c r="Q1395" s="26"/>
      <c r="R1395" s="26"/>
      <c r="S1395" s="26"/>
      <c r="T1395" s="500" t="e">
        <f>_xlfn.XLOOKUP(H1395,#REF!,#REF!,0,0)</f>
        <v>#REF!</v>
      </c>
    </row>
    <row r="1396" spans="1:20" x14ac:dyDescent="0.4">
      <c r="A1396" s="134" t="s">
        <v>570</v>
      </c>
      <c r="B1396" s="135" t="s">
        <v>4771</v>
      </c>
      <c r="C1396" s="135"/>
      <c r="D1396" s="134"/>
      <c r="E1396" s="18" t="s">
        <v>7</v>
      </c>
      <c r="F1396" s="10">
        <v>41479</v>
      </c>
      <c r="G1396" s="18" t="s">
        <v>4772</v>
      </c>
      <c r="H1396" s="18">
        <v>58365</v>
      </c>
      <c r="I1396" s="134" t="s">
        <v>4773</v>
      </c>
      <c r="J1396" s="134" t="s">
        <v>4774</v>
      </c>
      <c r="K1396" s="18" t="s">
        <v>570</v>
      </c>
      <c r="L1396" s="134" t="s">
        <v>570</v>
      </c>
      <c r="M1396" s="134" t="s">
        <v>570</v>
      </c>
      <c r="N1396" s="134" t="s">
        <v>570</v>
      </c>
      <c r="O1396" s="134" t="s">
        <v>570</v>
      </c>
      <c r="P1396" s="449"/>
      <c r="Q1396" s="26"/>
      <c r="R1396" s="26"/>
      <c r="S1396" s="26"/>
      <c r="T1396" s="500" t="e">
        <f>_xlfn.XLOOKUP(H1396,#REF!,#REF!,0,0)</f>
        <v>#REF!</v>
      </c>
    </row>
    <row r="1397" spans="1:20" x14ac:dyDescent="0.4">
      <c r="A1397" s="134" t="s">
        <v>570</v>
      </c>
      <c r="B1397" s="135" t="s">
        <v>4775</v>
      </c>
      <c r="C1397" s="135"/>
      <c r="D1397" s="134"/>
      <c r="E1397" s="18" t="s">
        <v>7</v>
      </c>
      <c r="F1397" s="10">
        <v>41479</v>
      </c>
      <c r="G1397" s="18" t="s">
        <v>4776</v>
      </c>
      <c r="H1397" s="18">
        <v>58366</v>
      </c>
      <c r="I1397" s="134" t="s">
        <v>4777</v>
      </c>
      <c r="J1397" s="134" t="s">
        <v>4778</v>
      </c>
      <c r="K1397" s="18" t="s">
        <v>570</v>
      </c>
      <c r="L1397" s="134" t="s">
        <v>570</v>
      </c>
      <c r="M1397" s="134" t="s">
        <v>570</v>
      </c>
      <c r="N1397" s="134" t="s">
        <v>570</v>
      </c>
      <c r="O1397" s="134" t="s">
        <v>570</v>
      </c>
      <c r="P1397" s="449"/>
      <c r="Q1397" s="26"/>
      <c r="R1397" s="26"/>
      <c r="S1397" s="26"/>
      <c r="T1397" s="500" t="e">
        <f>_xlfn.XLOOKUP(H1397,#REF!,#REF!,0,0)</f>
        <v>#REF!</v>
      </c>
    </row>
    <row r="1398" spans="1:20" x14ac:dyDescent="0.4">
      <c r="A1398" s="134" t="s">
        <v>570</v>
      </c>
      <c r="B1398" s="135" t="s">
        <v>4779</v>
      </c>
      <c r="C1398" s="135"/>
      <c r="D1398" s="134"/>
      <c r="E1398" s="18" t="s">
        <v>7</v>
      </c>
      <c r="F1398" s="10">
        <v>41479</v>
      </c>
      <c r="G1398" s="18" t="s">
        <v>4780</v>
      </c>
      <c r="H1398" s="18">
        <v>58367</v>
      </c>
      <c r="I1398" s="134" t="s">
        <v>4781</v>
      </c>
      <c r="J1398" s="134" t="s">
        <v>4782</v>
      </c>
      <c r="K1398" s="18" t="s">
        <v>570</v>
      </c>
      <c r="L1398" s="134" t="s">
        <v>570</v>
      </c>
      <c r="M1398" s="134" t="s">
        <v>570</v>
      </c>
      <c r="N1398" s="134" t="s">
        <v>570</v>
      </c>
      <c r="O1398" s="134" t="s">
        <v>570</v>
      </c>
      <c r="P1398" s="449"/>
      <c r="Q1398" s="26"/>
      <c r="R1398" s="26"/>
      <c r="S1398" s="26"/>
      <c r="T1398" s="500" t="e">
        <f>_xlfn.XLOOKUP(H1398,#REF!,#REF!,0,0)</f>
        <v>#REF!</v>
      </c>
    </row>
    <row r="1399" spans="1:20" x14ac:dyDescent="0.4">
      <c r="A1399" s="134" t="s">
        <v>570</v>
      </c>
      <c r="B1399" s="135" t="s">
        <v>4783</v>
      </c>
      <c r="C1399" s="135"/>
      <c r="D1399" s="134"/>
      <c r="E1399" s="18" t="s">
        <v>7</v>
      </c>
      <c r="F1399" s="10">
        <v>41479</v>
      </c>
      <c r="G1399" s="18" t="s">
        <v>4784</v>
      </c>
      <c r="H1399" s="18">
        <v>58368</v>
      </c>
      <c r="I1399" s="134" t="s">
        <v>4785</v>
      </c>
      <c r="J1399" s="134" t="s">
        <v>4786</v>
      </c>
      <c r="K1399" s="18" t="s">
        <v>570</v>
      </c>
      <c r="L1399" s="134" t="s">
        <v>570</v>
      </c>
      <c r="M1399" s="134" t="s">
        <v>570</v>
      </c>
      <c r="N1399" s="134" t="s">
        <v>570</v>
      </c>
      <c r="O1399" s="134" t="s">
        <v>570</v>
      </c>
      <c r="P1399" s="449"/>
      <c r="Q1399" s="26"/>
      <c r="R1399" s="26"/>
      <c r="S1399" s="26"/>
      <c r="T1399" s="500" t="e">
        <f>_xlfn.XLOOKUP(H1399,#REF!,#REF!,0,0)</f>
        <v>#REF!</v>
      </c>
    </row>
    <row r="1400" spans="1:20" x14ac:dyDescent="0.4">
      <c r="A1400" s="134" t="s">
        <v>570</v>
      </c>
      <c r="B1400" s="134" t="s">
        <v>4787</v>
      </c>
      <c r="C1400" s="134"/>
      <c r="D1400" s="134"/>
      <c r="E1400" s="18" t="s">
        <v>7</v>
      </c>
      <c r="F1400" s="10">
        <v>41479</v>
      </c>
      <c r="G1400" s="18" t="s">
        <v>4788</v>
      </c>
      <c r="H1400" s="18">
        <v>58369</v>
      </c>
      <c r="I1400" s="134" t="s">
        <v>4789</v>
      </c>
      <c r="J1400" s="134" t="s">
        <v>4790</v>
      </c>
      <c r="K1400" s="18" t="s">
        <v>570</v>
      </c>
      <c r="L1400" s="134" t="s">
        <v>570</v>
      </c>
      <c r="M1400" s="134" t="s">
        <v>570</v>
      </c>
      <c r="N1400" s="134" t="s">
        <v>570</v>
      </c>
      <c r="O1400" s="134" t="s">
        <v>570</v>
      </c>
      <c r="P1400" s="449"/>
      <c r="Q1400" s="26"/>
      <c r="R1400" s="26"/>
      <c r="S1400" s="26"/>
      <c r="T1400" s="500" t="e">
        <f>_xlfn.XLOOKUP(H1400,#REF!,#REF!,0,0)</f>
        <v>#REF!</v>
      </c>
    </row>
    <row r="1401" spans="1:20" x14ac:dyDescent="0.4">
      <c r="A1401" s="134"/>
      <c r="B1401" s="135" t="s">
        <v>4791</v>
      </c>
      <c r="C1401" s="135"/>
      <c r="D1401" s="134"/>
      <c r="E1401" s="18" t="s">
        <v>7</v>
      </c>
      <c r="F1401" s="10">
        <v>41479</v>
      </c>
      <c r="G1401" s="18" t="s">
        <v>4792</v>
      </c>
      <c r="H1401" s="18">
        <v>58370</v>
      </c>
      <c r="I1401" s="134" t="s">
        <v>4793</v>
      </c>
      <c r="J1401" s="134" t="s">
        <v>4794</v>
      </c>
      <c r="K1401" s="18" t="s">
        <v>570</v>
      </c>
      <c r="L1401" s="134" t="s">
        <v>570</v>
      </c>
      <c r="M1401" s="134" t="s">
        <v>570</v>
      </c>
      <c r="N1401" s="134" t="s">
        <v>570</v>
      </c>
      <c r="O1401" s="134" t="s">
        <v>570</v>
      </c>
      <c r="P1401" s="449"/>
      <c r="Q1401" s="26"/>
      <c r="R1401" s="26"/>
      <c r="S1401" s="26"/>
      <c r="T1401" s="500" t="e">
        <f>_xlfn.XLOOKUP(H1401,#REF!,#REF!,0,0)</f>
        <v>#REF!</v>
      </c>
    </row>
    <row r="1402" spans="1:20" x14ac:dyDescent="0.4">
      <c r="A1402" s="135" t="s">
        <v>570</v>
      </c>
      <c r="B1402" s="135" t="s">
        <v>4795</v>
      </c>
      <c r="C1402" s="135"/>
      <c r="D1402" s="135"/>
      <c r="E1402" s="19" t="s">
        <v>7</v>
      </c>
      <c r="F1402" s="20">
        <v>41590</v>
      </c>
      <c r="G1402" s="19" t="s">
        <v>4796</v>
      </c>
      <c r="H1402" s="19">
        <v>58576</v>
      </c>
      <c r="I1402" s="134" t="s">
        <v>4797</v>
      </c>
      <c r="J1402" s="135" t="s">
        <v>4798</v>
      </c>
      <c r="K1402" s="18" t="s">
        <v>570</v>
      </c>
      <c r="L1402" s="134" t="s">
        <v>570</v>
      </c>
      <c r="M1402" s="134" t="s">
        <v>570</v>
      </c>
      <c r="N1402" s="134" t="s">
        <v>570</v>
      </c>
      <c r="O1402" s="134" t="s">
        <v>570</v>
      </c>
      <c r="P1402" s="449"/>
      <c r="Q1402" s="26"/>
      <c r="R1402" s="26"/>
      <c r="S1402" s="26"/>
      <c r="T1402" s="500" t="e">
        <f>_xlfn.XLOOKUP(H1402,#REF!,#REF!,0,0)</f>
        <v>#REF!</v>
      </c>
    </row>
    <row r="1403" spans="1:20" x14ac:dyDescent="0.4">
      <c r="A1403" s="135" t="s">
        <v>570</v>
      </c>
      <c r="B1403" s="135" t="s">
        <v>4799</v>
      </c>
      <c r="C1403" s="135"/>
      <c r="D1403" s="135"/>
      <c r="E1403" s="19" t="s">
        <v>7</v>
      </c>
      <c r="F1403" s="20">
        <v>41590</v>
      </c>
      <c r="G1403" s="19" t="s">
        <v>4800</v>
      </c>
      <c r="H1403" s="19">
        <v>58577</v>
      </c>
      <c r="I1403" s="134" t="s">
        <v>4801</v>
      </c>
      <c r="J1403" s="135" t="s">
        <v>4802</v>
      </c>
      <c r="K1403" s="18" t="s">
        <v>570</v>
      </c>
      <c r="L1403" s="134" t="s">
        <v>570</v>
      </c>
      <c r="M1403" s="134" t="s">
        <v>570</v>
      </c>
      <c r="N1403" s="134" t="s">
        <v>570</v>
      </c>
      <c r="O1403" s="134" t="s">
        <v>570</v>
      </c>
      <c r="P1403" s="449"/>
      <c r="Q1403" s="26"/>
      <c r="R1403" s="26"/>
      <c r="S1403" s="26"/>
      <c r="T1403" s="500" t="e">
        <f>_xlfn.XLOOKUP(H1403,#REF!,#REF!,0,0)</f>
        <v>#REF!</v>
      </c>
    </row>
    <row r="1404" spans="1:20" x14ac:dyDescent="0.4">
      <c r="A1404" s="135" t="s">
        <v>570</v>
      </c>
      <c r="B1404" s="135" t="s">
        <v>4803</v>
      </c>
      <c r="C1404" s="135"/>
      <c r="D1404" s="135"/>
      <c r="E1404" s="19" t="s">
        <v>7</v>
      </c>
      <c r="F1404" s="20">
        <v>41590</v>
      </c>
      <c r="G1404" s="19" t="s">
        <v>4804</v>
      </c>
      <c r="H1404" s="19">
        <v>58578</v>
      </c>
      <c r="I1404" s="134" t="s">
        <v>4805</v>
      </c>
      <c r="J1404" s="135" t="s">
        <v>4806</v>
      </c>
      <c r="K1404" s="18" t="s">
        <v>570</v>
      </c>
      <c r="L1404" s="134" t="s">
        <v>570</v>
      </c>
      <c r="M1404" s="134" t="s">
        <v>570</v>
      </c>
      <c r="N1404" s="134" t="s">
        <v>570</v>
      </c>
      <c r="O1404" s="134" t="s">
        <v>570</v>
      </c>
      <c r="P1404" s="449"/>
      <c r="Q1404" s="26"/>
      <c r="R1404" s="26"/>
      <c r="S1404" s="26"/>
      <c r="T1404" s="500" t="e">
        <f>_xlfn.XLOOKUP(H1404,#REF!,#REF!,0,0)</f>
        <v>#REF!</v>
      </c>
    </row>
    <row r="1405" spans="1:20" x14ac:dyDescent="0.4">
      <c r="A1405" s="135" t="s">
        <v>570</v>
      </c>
      <c r="B1405" s="135" t="s">
        <v>788</v>
      </c>
      <c r="C1405" s="135"/>
      <c r="D1405" s="135"/>
      <c r="E1405" s="19" t="s">
        <v>7</v>
      </c>
      <c r="F1405" s="20">
        <v>41590</v>
      </c>
      <c r="G1405" s="19" t="s">
        <v>4807</v>
      </c>
      <c r="H1405" s="19">
        <v>58579</v>
      </c>
      <c r="I1405" s="134" t="s">
        <v>4808</v>
      </c>
      <c r="J1405" s="135" t="s">
        <v>4809</v>
      </c>
      <c r="K1405" s="18" t="s">
        <v>570</v>
      </c>
      <c r="L1405" s="134" t="s">
        <v>570</v>
      </c>
      <c r="M1405" s="134" t="s">
        <v>570</v>
      </c>
      <c r="N1405" s="134" t="s">
        <v>570</v>
      </c>
      <c r="O1405" s="134" t="s">
        <v>570</v>
      </c>
      <c r="P1405" s="449"/>
      <c r="Q1405" s="26"/>
      <c r="R1405" s="26"/>
      <c r="S1405" s="26"/>
      <c r="T1405" s="500" t="e">
        <f>_xlfn.XLOOKUP(H1405,#REF!,#REF!,0,0)</f>
        <v>#REF!</v>
      </c>
    </row>
    <row r="1406" spans="1:20" x14ac:dyDescent="0.4">
      <c r="A1406" s="135" t="s">
        <v>570</v>
      </c>
      <c r="B1406" s="135" t="s">
        <v>4810</v>
      </c>
      <c r="C1406" s="135"/>
      <c r="D1406" s="135"/>
      <c r="E1406" s="19" t="s">
        <v>7</v>
      </c>
      <c r="F1406" s="20">
        <v>41590</v>
      </c>
      <c r="G1406" s="19" t="s">
        <v>4811</v>
      </c>
      <c r="H1406" s="19">
        <v>58580</v>
      </c>
      <c r="I1406" s="134" t="s">
        <v>4812</v>
      </c>
      <c r="J1406" s="135" t="s">
        <v>4813</v>
      </c>
      <c r="K1406" s="18" t="s">
        <v>570</v>
      </c>
      <c r="L1406" s="134" t="s">
        <v>570</v>
      </c>
      <c r="M1406" s="134" t="s">
        <v>570</v>
      </c>
      <c r="N1406" s="134" t="s">
        <v>570</v>
      </c>
      <c r="O1406" s="134" t="s">
        <v>570</v>
      </c>
      <c r="P1406" s="449"/>
      <c r="Q1406" s="26"/>
      <c r="R1406" s="26"/>
      <c r="S1406" s="26"/>
      <c r="T1406" s="500" t="e">
        <f>_xlfn.XLOOKUP(H1406,#REF!,#REF!,0,0)</f>
        <v>#REF!</v>
      </c>
    </row>
    <row r="1407" spans="1:20" x14ac:dyDescent="0.4">
      <c r="A1407" s="135" t="s">
        <v>570</v>
      </c>
      <c r="B1407" s="135" t="s">
        <v>4814</v>
      </c>
      <c r="C1407" s="135"/>
      <c r="D1407" s="135"/>
      <c r="E1407" s="19" t="s">
        <v>7</v>
      </c>
      <c r="F1407" s="20">
        <v>41590</v>
      </c>
      <c r="G1407" s="19" t="s">
        <v>4815</v>
      </c>
      <c r="H1407" s="19">
        <v>58581</v>
      </c>
      <c r="I1407" s="134" t="s">
        <v>4816</v>
      </c>
      <c r="J1407" s="135" t="s">
        <v>4817</v>
      </c>
      <c r="K1407" s="18" t="s">
        <v>570</v>
      </c>
      <c r="L1407" s="134" t="s">
        <v>570</v>
      </c>
      <c r="M1407" s="134" t="s">
        <v>570</v>
      </c>
      <c r="N1407" s="134" t="s">
        <v>570</v>
      </c>
      <c r="O1407" s="134" t="s">
        <v>570</v>
      </c>
      <c r="P1407" s="449"/>
      <c r="Q1407" s="26"/>
      <c r="R1407" s="26"/>
      <c r="S1407" s="26"/>
      <c r="T1407" s="500" t="e">
        <f>_xlfn.XLOOKUP(H1407,#REF!,#REF!,0,0)</f>
        <v>#REF!</v>
      </c>
    </row>
    <row r="1408" spans="1:20" x14ac:dyDescent="0.4">
      <c r="A1408" s="135" t="s">
        <v>570</v>
      </c>
      <c r="B1408" s="135" t="s">
        <v>4818</v>
      </c>
      <c r="C1408" s="135"/>
      <c r="D1408" s="135"/>
      <c r="E1408" s="19" t="s">
        <v>7</v>
      </c>
      <c r="F1408" s="20">
        <v>41590</v>
      </c>
      <c r="G1408" s="19" t="s">
        <v>4819</v>
      </c>
      <c r="H1408" s="19">
        <v>58582</v>
      </c>
      <c r="I1408" s="134" t="s">
        <v>4820</v>
      </c>
      <c r="J1408" s="135" t="s">
        <v>4821</v>
      </c>
      <c r="K1408" s="18" t="s">
        <v>570</v>
      </c>
      <c r="L1408" s="134" t="s">
        <v>570</v>
      </c>
      <c r="M1408" s="134" t="s">
        <v>570</v>
      </c>
      <c r="N1408" s="134" t="s">
        <v>570</v>
      </c>
      <c r="O1408" s="134" t="s">
        <v>570</v>
      </c>
      <c r="P1408" s="449"/>
      <c r="Q1408" s="26"/>
      <c r="R1408" s="26"/>
      <c r="S1408" s="26"/>
      <c r="T1408" s="500" t="e">
        <f>_xlfn.XLOOKUP(H1408,#REF!,#REF!,0,0)</f>
        <v>#REF!</v>
      </c>
    </row>
    <row r="1409" spans="1:20" x14ac:dyDescent="0.4">
      <c r="A1409" s="135" t="s">
        <v>570</v>
      </c>
      <c r="B1409" s="135" t="s">
        <v>4822</v>
      </c>
      <c r="C1409" s="135"/>
      <c r="D1409" s="135"/>
      <c r="E1409" s="19" t="s">
        <v>7</v>
      </c>
      <c r="F1409" s="20">
        <v>41590</v>
      </c>
      <c r="G1409" s="19" t="s">
        <v>4823</v>
      </c>
      <c r="H1409" s="19">
        <v>58583</v>
      </c>
      <c r="I1409" s="134" t="s">
        <v>4824</v>
      </c>
      <c r="J1409" s="135" t="s">
        <v>4825</v>
      </c>
      <c r="K1409" s="18" t="s">
        <v>570</v>
      </c>
      <c r="L1409" s="134" t="s">
        <v>570</v>
      </c>
      <c r="M1409" s="134" t="s">
        <v>570</v>
      </c>
      <c r="N1409" s="134" t="s">
        <v>570</v>
      </c>
      <c r="O1409" s="134" t="s">
        <v>570</v>
      </c>
      <c r="P1409" s="449"/>
      <c r="Q1409" s="26"/>
      <c r="R1409" s="26"/>
      <c r="S1409" s="26"/>
      <c r="T1409" s="500" t="e">
        <f>_xlfn.XLOOKUP(H1409,#REF!,#REF!,0,0)</f>
        <v>#REF!</v>
      </c>
    </row>
    <row r="1410" spans="1:20" x14ac:dyDescent="0.4">
      <c r="A1410" s="135" t="s">
        <v>570</v>
      </c>
      <c r="B1410" s="135" t="s">
        <v>4826</v>
      </c>
      <c r="C1410" s="135"/>
      <c r="D1410" s="135" t="s">
        <v>4827</v>
      </c>
      <c r="E1410" s="19" t="s">
        <v>7</v>
      </c>
      <c r="F1410" s="20">
        <v>41590</v>
      </c>
      <c r="G1410" s="19" t="s">
        <v>4828</v>
      </c>
      <c r="H1410" s="19">
        <v>58584</v>
      </c>
      <c r="I1410" s="134" t="s">
        <v>4829</v>
      </c>
      <c r="J1410" s="135" t="s">
        <v>4830</v>
      </c>
      <c r="K1410" s="18" t="s">
        <v>570</v>
      </c>
      <c r="L1410" s="134" t="s">
        <v>570</v>
      </c>
      <c r="M1410" s="134" t="s">
        <v>570</v>
      </c>
      <c r="N1410" s="134" t="s">
        <v>570</v>
      </c>
      <c r="O1410" s="134" t="s">
        <v>570</v>
      </c>
      <c r="P1410" s="449"/>
      <c r="Q1410" s="26"/>
      <c r="R1410" s="26"/>
      <c r="S1410" s="26"/>
      <c r="T1410" s="500" t="e">
        <f>_xlfn.XLOOKUP(H1410,#REF!,#REF!,0,0)</f>
        <v>#REF!</v>
      </c>
    </row>
    <row r="1411" spans="1:20" x14ac:dyDescent="0.4">
      <c r="A1411" s="135" t="s">
        <v>570</v>
      </c>
      <c r="B1411" s="135" t="s">
        <v>4831</v>
      </c>
      <c r="C1411" s="135"/>
      <c r="D1411" s="135"/>
      <c r="E1411" s="19" t="s">
        <v>7</v>
      </c>
      <c r="F1411" s="20">
        <v>41590</v>
      </c>
      <c r="G1411" s="19" t="s">
        <v>4832</v>
      </c>
      <c r="H1411" s="19">
        <v>58585</v>
      </c>
      <c r="I1411" s="134" t="s">
        <v>4833</v>
      </c>
      <c r="J1411" s="135" t="s">
        <v>4834</v>
      </c>
      <c r="K1411" s="18" t="s">
        <v>570</v>
      </c>
      <c r="L1411" s="134" t="s">
        <v>570</v>
      </c>
      <c r="M1411" s="134" t="s">
        <v>570</v>
      </c>
      <c r="N1411" s="134" t="s">
        <v>570</v>
      </c>
      <c r="O1411" s="134" t="s">
        <v>570</v>
      </c>
      <c r="P1411" s="449"/>
      <c r="Q1411" s="26"/>
      <c r="R1411" s="26"/>
      <c r="S1411" s="26"/>
      <c r="T1411" s="500" t="e">
        <f>_xlfn.XLOOKUP(H1411,#REF!,#REF!,0,0)</f>
        <v>#REF!</v>
      </c>
    </row>
    <row r="1412" spans="1:20" x14ac:dyDescent="0.4">
      <c r="A1412" s="135" t="s">
        <v>570</v>
      </c>
      <c r="B1412" s="135" t="s">
        <v>4835</v>
      </c>
      <c r="C1412" s="135"/>
      <c r="D1412" s="135"/>
      <c r="E1412" s="19" t="s">
        <v>7</v>
      </c>
      <c r="F1412" s="20">
        <v>41590</v>
      </c>
      <c r="G1412" s="19" t="s">
        <v>4836</v>
      </c>
      <c r="H1412" s="19">
        <v>58586</v>
      </c>
      <c r="I1412" s="134" t="s">
        <v>4833</v>
      </c>
      <c r="J1412" s="135" t="s">
        <v>4837</v>
      </c>
      <c r="K1412" s="18" t="s">
        <v>570</v>
      </c>
      <c r="L1412" s="134" t="s">
        <v>570</v>
      </c>
      <c r="M1412" s="134" t="s">
        <v>570</v>
      </c>
      <c r="N1412" s="134" t="s">
        <v>570</v>
      </c>
      <c r="O1412" s="134" t="s">
        <v>570</v>
      </c>
      <c r="P1412" s="449"/>
      <c r="Q1412" s="26"/>
      <c r="R1412" s="26"/>
      <c r="S1412" s="26"/>
      <c r="T1412" s="500" t="e">
        <f>_xlfn.XLOOKUP(H1412,#REF!,#REF!,0,0)</f>
        <v>#REF!</v>
      </c>
    </row>
    <row r="1413" spans="1:20" x14ac:dyDescent="0.4">
      <c r="A1413" s="135" t="s">
        <v>570</v>
      </c>
      <c r="B1413" s="135" t="s">
        <v>4838</v>
      </c>
      <c r="C1413" s="135"/>
      <c r="D1413" s="135"/>
      <c r="E1413" s="19" t="s">
        <v>7</v>
      </c>
      <c r="F1413" s="20">
        <v>41590</v>
      </c>
      <c r="G1413" s="19" t="s">
        <v>4839</v>
      </c>
      <c r="H1413" s="19">
        <v>58587</v>
      </c>
      <c r="I1413" s="134" t="s">
        <v>4840</v>
      </c>
      <c r="J1413" s="135" t="s">
        <v>4841</v>
      </c>
      <c r="K1413" s="18" t="s">
        <v>570</v>
      </c>
      <c r="L1413" s="134" t="s">
        <v>570</v>
      </c>
      <c r="M1413" s="134" t="s">
        <v>570</v>
      </c>
      <c r="N1413" s="134" t="s">
        <v>570</v>
      </c>
      <c r="O1413" s="134" t="s">
        <v>570</v>
      </c>
      <c r="P1413" s="449"/>
      <c r="Q1413" s="26"/>
      <c r="R1413" s="26"/>
      <c r="S1413" s="26"/>
      <c r="T1413" s="500" t="e">
        <f>_xlfn.XLOOKUP(H1413,#REF!,#REF!,0,0)</f>
        <v>#REF!</v>
      </c>
    </row>
    <row r="1414" spans="1:20" x14ac:dyDescent="0.4">
      <c r="A1414" s="135" t="s">
        <v>570</v>
      </c>
      <c r="B1414" s="135" t="s">
        <v>4842</v>
      </c>
      <c r="C1414" s="135"/>
      <c r="D1414" s="135"/>
      <c r="E1414" s="19" t="s">
        <v>7</v>
      </c>
      <c r="F1414" s="20">
        <v>41590</v>
      </c>
      <c r="G1414" s="19" t="s">
        <v>4843</v>
      </c>
      <c r="H1414" s="19">
        <v>58588</v>
      </c>
      <c r="I1414" s="134" t="s">
        <v>4833</v>
      </c>
      <c r="J1414" s="135" t="s">
        <v>4844</v>
      </c>
      <c r="K1414" s="18" t="s">
        <v>570</v>
      </c>
      <c r="L1414" s="134" t="s">
        <v>570</v>
      </c>
      <c r="M1414" s="134" t="s">
        <v>570</v>
      </c>
      <c r="N1414" s="134" t="s">
        <v>570</v>
      </c>
      <c r="O1414" s="134" t="s">
        <v>570</v>
      </c>
      <c r="P1414" s="449"/>
      <c r="Q1414" s="26"/>
      <c r="R1414" s="26"/>
      <c r="S1414" s="26"/>
      <c r="T1414" s="500" t="e">
        <f>_xlfn.XLOOKUP(H1414,#REF!,#REF!,0,0)</f>
        <v>#REF!</v>
      </c>
    </row>
    <row r="1415" spans="1:20" x14ac:dyDescent="0.4">
      <c r="A1415" s="135" t="s">
        <v>570</v>
      </c>
      <c r="B1415" s="135" t="s">
        <v>4845</v>
      </c>
      <c r="C1415" s="135"/>
      <c r="D1415" s="135"/>
      <c r="E1415" s="19" t="s">
        <v>7</v>
      </c>
      <c r="F1415" s="20">
        <v>41590</v>
      </c>
      <c r="G1415" s="19" t="s">
        <v>4846</v>
      </c>
      <c r="H1415" s="19">
        <v>58589</v>
      </c>
      <c r="I1415" s="134" t="s">
        <v>4847</v>
      </c>
      <c r="J1415" s="135" t="s">
        <v>4848</v>
      </c>
      <c r="K1415" s="18" t="s">
        <v>570</v>
      </c>
      <c r="L1415" s="134" t="s">
        <v>570</v>
      </c>
      <c r="M1415" s="134" t="s">
        <v>570</v>
      </c>
      <c r="N1415" s="134" t="s">
        <v>570</v>
      </c>
      <c r="O1415" s="134" t="s">
        <v>570</v>
      </c>
      <c r="P1415" s="449"/>
      <c r="Q1415" s="26"/>
      <c r="R1415" s="26"/>
      <c r="S1415" s="26"/>
      <c r="T1415" s="500" t="e">
        <f>_xlfn.XLOOKUP(H1415,#REF!,#REF!,0,0)</f>
        <v>#REF!</v>
      </c>
    </row>
    <row r="1416" spans="1:20" x14ac:dyDescent="0.4">
      <c r="A1416" s="135" t="s">
        <v>570</v>
      </c>
      <c r="B1416" s="135" t="s">
        <v>4849</v>
      </c>
      <c r="C1416" s="135"/>
      <c r="D1416" s="135"/>
      <c r="E1416" s="19" t="s">
        <v>7</v>
      </c>
      <c r="F1416" s="20">
        <v>41590</v>
      </c>
      <c r="G1416" s="19" t="s">
        <v>4850</v>
      </c>
      <c r="H1416" s="19">
        <v>58590</v>
      </c>
      <c r="I1416" s="134" t="s">
        <v>4851</v>
      </c>
      <c r="J1416" s="135" t="s">
        <v>4852</v>
      </c>
      <c r="K1416" s="18" t="s">
        <v>570</v>
      </c>
      <c r="L1416" s="134" t="s">
        <v>570</v>
      </c>
      <c r="M1416" s="134" t="s">
        <v>570</v>
      </c>
      <c r="N1416" s="134" t="s">
        <v>570</v>
      </c>
      <c r="O1416" s="134" t="s">
        <v>570</v>
      </c>
      <c r="P1416" s="449"/>
      <c r="Q1416" s="26"/>
      <c r="R1416" s="26"/>
      <c r="S1416" s="26"/>
      <c r="T1416" s="500" t="e">
        <f>_xlfn.XLOOKUP(H1416,#REF!,#REF!,0,0)</f>
        <v>#REF!</v>
      </c>
    </row>
    <row r="1417" spans="1:20" x14ac:dyDescent="0.4">
      <c r="A1417" s="135" t="s">
        <v>570</v>
      </c>
      <c r="B1417" s="135" t="s">
        <v>4853</v>
      </c>
      <c r="C1417" s="135"/>
      <c r="D1417" s="135"/>
      <c r="E1417" s="19" t="s">
        <v>7</v>
      </c>
      <c r="F1417" s="20">
        <v>41590</v>
      </c>
      <c r="G1417" s="19" t="s">
        <v>4854</v>
      </c>
      <c r="H1417" s="19">
        <v>58591</v>
      </c>
      <c r="I1417" s="134" t="s">
        <v>4855</v>
      </c>
      <c r="J1417" s="135" t="s">
        <v>4856</v>
      </c>
      <c r="K1417" s="18" t="s">
        <v>570</v>
      </c>
      <c r="L1417" s="134" t="s">
        <v>570</v>
      </c>
      <c r="M1417" s="134" t="s">
        <v>570</v>
      </c>
      <c r="N1417" s="134" t="s">
        <v>570</v>
      </c>
      <c r="O1417" s="134" t="s">
        <v>570</v>
      </c>
      <c r="P1417" s="449"/>
      <c r="Q1417" s="26"/>
      <c r="R1417" s="26"/>
      <c r="S1417" s="26"/>
      <c r="T1417" s="500" t="e">
        <f>_xlfn.XLOOKUP(H1417,#REF!,#REF!,0,0)</f>
        <v>#REF!</v>
      </c>
    </row>
    <row r="1418" spans="1:20" x14ac:dyDescent="0.4">
      <c r="A1418" s="135" t="s">
        <v>570</v>
      </c>
      <c r="B1418" s="135" t="s">
        <v>4857</v>
      </c>
      <c r="C1418" s="135"/>
      <c r="D1418" s="135"/>
      <c r="E1418" s="19" t="s">
        <v>7</v>
      </c>
      <c r="F1418" s="20">
        <v>41590</v>
      </c>
      <c r="G1418" s="19" t="s">
        <v>4858</v>
      </c>
      <c r="H1418" s="19">
        <v>58592</v>
      </c>
      <c r="I1418" s="134" t="s">
        <v>4859</v>
      </c>
      <c r="J1418" s="135" t="s">
        <v>4860</v>
      </c>
      <c r="K1418" s="18" t="s">
        <v>570</v>
      </c>
      <c r="L1418" s="134" t="s">
        <v>570</v>
      </c>
      <c r="M1418" s="134" t="s">
        <v>570</v>
      </c>
      <c r="N1418" s="134" t="s">
        <v>570</v>
      </c>
      <c r="O1418" s="134" t="s">
        <v>570</v>
      </c>
      <c r="P1418" s="449"/>
      <c r="Q1418" s="26"/>
      <c r="R1418" s="26"/>
      <c r="S1418" s="26"/>
      <c r="T1418" s="500" t="e">
        <f>_xlfn.XLOOKUP(H1418,#REF!,#REF!,0,0)</f>
        <v>#REF!</v>
      </c>
    </row>
    <row r="1419" spans="1:20" x14ac:dyDescent="0.4">
      <c r="A1419" s="135" t="s">
        <v>570</v>
      </c>
      <c r="B1419" s="135" t="s">
        <v>4861</v>
      </c>
      <c r="C1419" s="135"/>
      <c r="D1419" s="135"/>
      <c r="E1419" s="19" t="s">
        <v>7</v>
      </c>
      <c r="F1419" s="20">
        <v>41590</v>
      </c>
      <c r="G1419" s="19" t="s">
        <v>33</v>
      </c>
      <c r="H1419" s="19">
        <v>58593</v>
      </c>
      <c r="I1419" s="134" t="s">
        <v>4833</v>
      </c>
      <c r="J1419" s="135" t="s">
        <v>4862</v>
      </c>
      <c r="K1419" s="18" t="s">
        <v>570</v>
      </c>
      <c r="L1419" s="134" t="s">
        <v>570</v>
      </c>
      <c r="M1419" s="134" t="s">
        <v>570</v>
      </c>
      <c r="N1419" s="134" t="s">
        <v>570</v>
      </c>
      <c r="O1419" s="134" t="s">
        <v>570</v>
      </c>
      <c r="P1419" s="449"/>
      <c r="Q1419" s="26"/>
      <c r="R1419" s="26"/>
      <c r="S1419" s="26"/>
      <c r="T1419" s="500" t="e">
        <f>_xlfn.XLOOKUP(H1419,#REF!,#REF!,0,0)</f>
        <v>#REF!</v>
      </c>
    </row>
    <row r="1420" spans="1:20" x14ac:dyDescent="0.4">
      <c r="A1420" s="135" t="s">
        <v>570</v>
      </c>
      <c r="B1420" s="135" t="s">
        <v>4863</v>
      </c>
      <c r="C1420" s="135"/>
      <c r="D1420" s="135"/>
      <c r="E1420" s="19" t="s">
        <v>7</v>
      </c>
      <c r="F1420" s="20">
        <v>41590</v>
      </c>
      <c r="G1420" s="19" t="s">
        <v>4864</v>
      </c>
      <c r="H1420" s="19">
        <v>58594</v>
      </c>
      <c r="I1420" s="134" t="s">
        <v>4865</v>
      </c>
      <c r="J1420" s="135" t="s">
        <v>4866</v>
      </c>
      <c r="K1420" s="18" t="s">
        <v>570</v>
      </c>
      <c r="L1420" s="134" t="s">
        <v>570</v>
      </c>
      <c r="M1420" s="134" t="s">
        <v>570</v>
      </c>
      <c r="N1420" s="134" t="s">
        <v>570</v>
      </c>
      <c r="O1420" s="134" t="s">
        <v>570</v>
      </c>
      <c r="P1420" s="449"/>
      <c r="Q1420" s="26"/>
      <c r="R1420" s="26"/>
      <c r="S1420" s="26"/>
      <c r="T1420" s="500" t="e">
        <f>_xlfn.XLOOKUP(H1420,#REF!,#REF!,0,0)</f>
        <v>#REF!</v>
      </c>
    </row>
    <row r="1421" spans="1:20" x14ac:dyDescent="0.4">
      <c r="A1421" s="135"/>
      <c r="B1421" s="135" t="s">
        <v>4867</v>
      </c>
      <c r="C1421" s="135"/>
      <c r="D1421" s="135"/>
      <c r="E1421" s="19" t="s">
        <v>7</v>
      </c>
      <c r="F1421" s="20">
        <v>41590</v>
      </c>
      <c r="G1421" s="19" t="s">
        <v>4868</v>
      </c>
      <c r="H1421" s="19">
        <v>58595</v>
      </c>
      <c r="I1421" s="134" t="s">
        <v>4833</v>
      </c>
      <c r="J1421" s="135" t="s">
        <v>4869</v>
      </c>
      <c r="K1421" s="18" t="s">
        <v>570</v>
      </c>
      <c r="L1421" s="134" t="s">
        <v>570</v>
      </c>
      <c r="M1421" s="134" t="s">
        <v>570</v>
      </c>
      <c r="N1421" s="134" t="s">
        <v>570</v>
      </c>
      <c r="O1421" s="134" t="s">
        <v>570</v>
      </c>
      <c r="P1421" s="449"/>
      <c r="Q1421" s="26"/>
      <c r="R1421" s="26"/>
      <c r="S1421" s="26"/>
      <c r="T1421" s="500" t="e">
        <f>_xlfn.XLOOKUP(H1421,#REF!,#REF!,0,0)</f>
        <v>#REF!</v>
      </c>
    </row>
    <row r="1422" spans="1:20" x14ac:dyDescent="0.4">
      <c r="A1422" s="135" t="s">
        <v>570</v>
      </c>
      <c r="B1422" s="135" t="s">
        <v>4870</v>
      </c>
      <c r="C1422" s="135"/>
      <c r="D1422" s="135"/>
      <c r="E1422" s="19" t="s">
        <v>7</v>
      </c>
      <c r="F1422" s="20">
        <v>41590</v>
      </c>
      <c r="G1422" s="19" t="s">
        <v>4871</v>
      </c>
      <c r="H1422" s="19">
        <v>58596</v>
      </c>
      <c r="I1422" s="134" t="s">
        <v>4872</v>
      </c>
      <c r="J1422" s="135" t="s">
        <v>4873</v>
      </c>
      <c r="K1422" s="18" t="s">
        <v>570</v>
      </c>
      <c r="L1422" s="134" t="s">
        <v>570</v>
      </c>
      <c r="M1422" s="134" t="s">
        <v>570</v>
      </c>
      <c r="N1422" s="134" t="s">
        <v>570</v>
      </c>
      <c r="O1422" s="134" t="s">
        <v>570</v>
      </c>
      <c r="P1422" s="449"/>
      <c r="Q1422" s="26"/>
      <c r="R1422" s="26"/>
      <c r="S1422" s="26"/>
      <c r="T1422" s="500" t="e">
        <f>_xlfn.XLOOKUP(H1422,#REF!,#REF!,0,0)</f>
        <v>#REF!</v>
      </c>
    </row>
    <row r="1423" spans="1:20" x14ac:dyDescent="0.4">
      <c r="A1423" s="135" t="s">
        <v>570</v>
      </c>
      <c r="B1423" s="135" t="s">
        <v>4874</v>
      </c>
      <c r="C1423" s="135"/>
      <c r="D1423" s="135"/>
      <c r="E1423" s="19" t="s">
        <v>7</v>
      </c>
      <c r="F1423" s="20">
        <v>41590</v>
      </c>
      <c r="G1423" s="19" t="s">
        <v>4875</v>
      </c>
      <c r="H1423" s="19">
        <v>58597</v>
      </c>
      <c r="I1423" s="134" t="s">
        <v>4876</v>
      </c>
      <c r="J1423" s="135" t="s">
        <v>4877</v>
      </c>
      <c r="K1423" s="18" t="s">
        <v>570</v>
      </c>
      <c r="L1423" s="134" t="s">
        <v>570</v>
      </c>
      <c r="M1423" s="134" t="s">
        <v>570</v>
      </c>
      <c r="N1423" s="134" t="s">
        <v>570</v>
      </c>
      <c r="O1423" s="134" t="s">
        <v>570</v>
      </c>
      <c r="P1423" s="449"/>
      <c r="Q1423" s="26"/>
      <c r="R1423" s="26"/>
      <c r="S1423" s="26"/>
      <c r="T1423" s="500" t="e">
        <f>_xlfn.XLOOKUP(H1423,#REF!,#REF!,0,0)</f>
        <v>#REF!</v>
      </c>
    </row>
    <row r="1424" spans="1:20" x14ac:dyDescent="0.4">
      <c r="A1424" s="135" t="s">
        <v>570</v>
      </c>
      <c r="B1424" s="135" t="s">
        <v>4878</v>
      </c>
      <c r="C1424" s="135"/>
      <c r="D1424" s="135"/>
      <c r="E1424" s="19" t="s">
        <v>7</v>
      </c>
      <c r="F1424" s="20">
        <v>41590</v>
      </c>
      <c r="G1424" s="19" t="s">
        <v>4879</v>
      </c>
      <c r="H1424" s="19">
        <v>58598</v>
      </c>
      <c r="I1424" s="134" t="s">
        <v>4880</v>
      </c>
      <c r="J1424" s="135" t="s">
        <v>4881</v>
      </c>
      <c r="K1424" s="18" t="s">
        <v>570</v>
      </c>
      <c r="L1424" s="134" t="s">
        <v>570</v>
      </c>
      <c r="M1424" s="134" t="s">
        <v>570</v>
      </c>
      <c r="N1424" s="134" t="s">
        <v>570</v>
      </c>
      <c r="O1424" s="134" t="s">
        <v>570</v>
      </c>
      <c r="P1424" s="449"/>
      <c r="Q1424" s="26"/>
      <c r="R1424" s="26"/>
      <c r="S1424" s="26"/>
      <c r="T1424" s="500" t="e">
        <f>_xlfn.XLOOKUP(H1424,#REF!,#REF!,0,0)</f>
        <v>#REF!</v>
      </c>
    </row>
    <row r="1425" spans="1:20" x14ac:dyDescent="0.4">
      <c r="A1425" s="135" t="s">
        <v>570</v>
      </c>
      <c r="B1425" s="135" t="s">
        <v>4882</v>
      </c>
      <c r="C1425" s="135"/>
      <c r="D1425" s="135"/>
      <c r="E1425" s="19" t="s">
        <v>7</v>
      </c>
      <c r="F1425" s="20">
        <v>41590</v>
      </c>
      <c r="G1425" s="19" t="s">
        <v>4883</v>
      </c>
      <c r="H1425" s="19">
        <v>58599</v>
      </c>
      <c r="I1425" s="134" t="s">
        <v>4884</v>
      </c>
      <c r="J1425" s="135" t="s">
        <v>4885</v>
      </c>
      <c r="K1425" s="18" t="s">
        <v>570</v>
      </c>
      <c r="L1425" s="134" t="s">
        <v>570</v>
      </c>
      <c r="M1425" s="134" t="s">
        <v>570</v>
      </c>
      <c r="N1425" s="134" t="s">
        <v>570</v>
      </c>
      <c r="O1425" s="134" t="s">
        <v>570</v>
      </c>
      <c r="P1425" s="449"/>
      <c r="Q1425" s="26"/>
      <c r="R1425" s="26"/>
      <c r="S1425" s="26"/>
      <c r="T1425" s="500" t="e">
        <f>_xlfn.XLOOKUP(H1425,#REF!,#REF!,0,0)</f>
        <v>#REF!</v>
      </c>
    </row>
    <row r="1426" spans="1:20" x14ac:dyDescent="0.4">
      <c r="A1426" s="135" t="s">
        <v>570</v>
      </c>
      <c r="B1426" s="135" t="s">
        <v>4886</v>
      </c>
      <c r="C1426" s="135"/>
      <c r="D1426" s="135"/>
      <c r="E1426" s="19" t="s">
        <v>7</v>
      </c>
      <c r="F1426" s="20">
        <v>41590</v>
      </c>
      <c r="G1426" s="19" t="s">
        <v>4887</v>
      </c>
      <c r="H1426" s="19">
        <v>58600</v>
      </c>
      <c r="I1426" s="134" t="s">
        <v>4888</v>
      </c>
      <c r="J1426" s="135" t="s">
        <v>4889</v>
      </c>
      <c r="K1426" s="18" t="s">
        <v>570</v>
      </c>
      <c r="L1426" s="134" t="s">
        <v>570</v>
      </c>
      <c r="M1426" s="134" t="s">
        <v>570</v>
      </c>
      <c r="N1426" s="134" t="s">
        <v>570</v>
      </c>
      <c r="O1426" s="134" t="s">
        <v>570</v>
      </c>
      <c r="P1426" s="449"/>
      <c r="Q1426" s="26"/>
      <c r="R1426" s="26"/>
      <c r="S1426" s="26"/>
      <c r="T1426" s="500" t="e">
        <f>_xlfn.XLOOKUP(H1426,#REF!,#REF!,0,0)</f>
        <v>#REF!</v>
      </c>
    </row>
    <row r="1427" spans="1:20" x14ac:dyDescent="0.4">
      <c r="A1427" s="135" t="s">
        <v>570</v>
      </c>
      <c r="B1427" s="135" t="s">
        <v>4890</v>
      </c>
      <c r="C1427" s="135"/>
      <c r="D1427" s="135"/>
      <c r="E1427" s="19" t="s">
        <v>7</v>
      </c>
      <c r="F1427" s="20">
        <v>41590</v>
      </c>
      <c r="G1427" s="19" t="s">
        <v>4891</v>
      </c>
      <c r="H1427" s="19">
        <v>58601</v>
      </c>
      <c r="I1427" s="134" t="s">
        <v>4833</v>
      </c>
      <c r="J1427" s="135" t="s">
        <v>4892</v>
      </c>
      <c r="K1427" s="18" t="s">
        <v>570</v>
      </c>
      <c r="L1427" s="134" t="s">
        <v>570</v>
      </c>
      <c r="M1427" s="134" t="s">
        <v>570</v>
      </c>
      <c r="N1427" s="134" t="s">
        <v>570</v>
      </c>
      <c r="O1427" s="134" t="s">
        <v>570</v>
      </c>
      <c r="P1427" s="449"/>
      <c r="Q1427" s="26"/>
      <c r="R1427" s="26"/>
      <c r="S1427" s="26"/>
      <c r="T1427" s="500" t="e">
        <f>_xlfn.XLOOKUP(H1427,#REF!,#REF!,0,0)</f>
        <v>#REF!</v>
      </c>
    </row>
    <row r="1428" spans="1:20" x14ac:dyDescent="0.4">
      <c r="A1428" s="135" t="s">
        <v>570</v>
      </c>
      <c r="B1428" s="135" t="s">
        <v>4893</v>
      </c>
      <c r="C1428" s="135"/>
      <c r="D1428" s="135"/>
      <c r="E1428" s="19" t="s">
        <v>7</v>
      </c>
      <c r="F1428" s="20">
        <v>41590</v>
      </c>
      <c r="G1428" s="19" t="s">
        <v>4894</v>
      </c>
      <c r="H1428" s="19">
        <v>58602</v>
      </c>
      <c r="I1428" s="134" t="s">
        <v>4895</v>
      </c>
      <c r="J1428" s="135" t="s">
        <v>4896</v>
      </c>
      <c r="K1428" s="18" t="s">
        <v>570</v>
      </c>
      <c r="L1428" s="134" t="s">
        <v>570</v>
      </c>
      <c r="M1428" s="134" t="s">
        <v>570</v>
      </c>
      <c r="N1428" s="134" t="s">
        <v>570</v>
      </c>
      <c r="O1428" s="134" t="s">
        <v>570</v>
      </c>
      <c r="P1428" s="449"/>
      <c r="Q1428" s="26"/>
      <c r="R1428" s="26"/>
      <c r="S1428" s="26"/>
      <c r="T1428" s="500" t="e">
        <f>_xlfn.XLOOKUP(H1428,#REF!,#REF!,0,0)</f>
        <v>#REF!</v>
      </c>
    </row>
    <row r="1429" spans="1:20" x14ac:dyDescent="0.4">
      <c r="A1429" s="135" t="s">
        <v>570</v>
      </c>
      <c r="B1429" s="135" t="s">
        <v>4897</v>
      </c>
      <c r="C1429" s="135"/>
      <c r="D1429" s="135"/>
      <c r="E1429" s="19" t="s">
        <v>7</v>
      </c>
      <c r="F1429" s="20">
        <v>41590</v>
      </c>
      <c r="G1429" s="19" t="s">
        <v>4898</v>
      </c>
      <c r="H1429" s="19">
        <v>58603</v>
      </c>
      <c r="I1429" s="134" t="s">
        <v>4899</v>
      </c>
      <c r="J1429" s="135" t="s">
        <v>4900</v>
      </c>
      <c r="K1429" s="18" t="s">
        <v>570</v>
      </c>
      <c r="L1429" s="134" t="s">
        <v>570</v>
      </c>
      <c r="M1429" s="134" t="s">
        <v>570</v>
      </c>
      <c r="N1429" s="134" t="s">
        <v>570</v>
      </c>
      <c r="O1429" s="134" t="s">
        <v>570</v>
      </c>
      <c r="P1429" s="449"/>
      <c r="Q1429" s="26"/>
      <c r="R1429" s="26"/>
      <c r="S1429" s="26"/>
      <c r="T1429" s="500" t="e">
        <f>_xlfn.XLOOKUP(H1429,#REF!,#REF!,0,0)</f>
        <v>#REF!</v>
      </c>
    </row>
    <row r="1430" spans="1:20" x14ac:dyDescent="0.4">
      <c r="A1430" s="134" t="s">
        <v>570</v>
      </c>
      <c r="B1430" s="135" t="s">
        <v>4901</v>
      </c>
      <c r="C1430" s="135"/>
      <c r="D1430" s="135"/>
      <c r="E1430" s="19" t="s">
        <v>4664</v>
      </c>
      <c r="F1430" s="20">
        <v>41221</v>
      </c>
      <c r="G1430" s="19" t="s">
        <v>4902</v>
      </c>
      <c r="H1430" s="19" t="s">
        <v>4903</v>
      </c>
      <c r="I1430" s="135" t="s">
        <v>4904</v>
      </c>
      <c r="J1430" s="134" t="s">
        <v>4905</v>
      </c>
      <c r="K1430" s="18" t="s">
        <v>570</v>
      </c>
      <c r="L1430" s="134" t="s">
        <v>570</v>
      </c>
      <c r="M1430" s="134" t="s">
        <v>570</v>
      </c>
      <c r="N1430" s="134" t="s">
        <v>570</v>
      </c>
      <c r="O1430" s="134" t="s">
        <v>570</v>
      </c>
      <c r="P1430" s="449"/>
      <c r="Q1430" s="26"/>
      <c r="R1430" s="26"/>
      <c r="S1430" s="26"/>
      <c r="T1430" s="500" t="e">
        <f>_xlfn.XLOOKUP(H1430,#REF!,#REF!,0,0)</f>
        <v>#REF!</v>
      </c>
    </row>
    <row r="1431" spans="1:20" x14ac:dyDescent="0.4">
      <c r="A1431" s="134" t="s">
        <v>570</v>
      </c>
      <c r="B1431" s="135" t="s">
        <v>3646</v>
      </c>
      <c r="C1431" s="135"/>
      <c r="D1431" s="135"/>
      <c r="E1431" s="19" t="s">
        <v>4664</v>
      </c>
      <c r="F1431" s="20">
        <v>41221</v>
      </c>
      <c r="G1431" s="19" t="s">
        <v>4906</v>
      </c>
      <c r="H1431" s="19" t="s">
        <v>4907</v>
      </c>
      <c r="I1431" s="135" t="s">
        <v>4908</v>
      </c>
      <c r="J1431" s="134" t="s">
        <v>4909</v>
      </c>
      <c r="K1431" s="18" t="s">
        <v>570</v>
      </c>
      <c r="L1431" s="134" t="s">
        <v>570</v>
      </c>
      <c r="M1431" s="134" t="s">
        <v>570</v>
      </c>
      <c r="N1431" s="134" t="s">
        <v>570</v>
      </c>
      <c r="O1431" s="134" t="s">
        <v>570</v>
      </c>
      <c r="P1431" s="449"/>
      <c r="Q1431" s="26"/>
      <c r="R1431" s="26"/>
      <c r="S1431" s="26"/>
      <c r="T1431" s="500" t="e">
        <f>_xlfn.XLOOKUP(H1431,#REF!,#REF!,0,0)</f>
        <v>#REF!</v>
      </c>
    </row>
    <row r="1432" spans="1:20" x14ac:dyDescent="0.4">
      <c r="A1432" s="134" t="s">
        <v>570</v>
      </c>
      <c r="B1432" s="135" t="s">
        <v>4910</v>
      </c>
      <c r="C1432" s="135"/>
      <c r="D1432" s="135"/>
      <c r="E1432" s="19" t="s">
        <v>4664</v>
      </c>
      <c r="F1432" s="20">
        <v>41221</v>
      </c>
      <c r="G1432" s="19" t="s">
        <v>4911</v>
      </c>
      <c r="H1432" s="19" t="s">
        <v>4912</v>
      </c>
      <c r="I1432" s="135" t="s">
        <v>4913</v>
      </c>
      <c r="J1432" s="134" t="s">
        <v>4914</v>
      </c>
      <c r="K1432" s="18" t="s">
        <v>570</v>
      </c>
      <c r="L1432" s="134" t="s">
        <v>570</v>
      </c>
      <c r="M1432" s="134" t="s">
        <v>570</v>
      </c>
      <c r="N1432" s="134" t="s">
        <v>570</v>
      </c>
      <c r="O1432" s="134" t="s">
        <v>570</v>
      </c>
      <c r="P1432" s="449"/>
      <c r="Q1432" s="26"/>
      <c r="R1432" s="26"/>
      <c r="S1432" s="26"/>
      <c r="T1432" s="500" t="e">
        <f>_xlfn.XLOOKUP(H1432,#REF!,#REF!,0,0)</f>
        <v>#REF!</v>
      </c>
    </row>
    <row r="1433" spans="1:20" x14ac:dyDescent="0.4">
      <c r="A1433" s="134" t="s">
        <v>570</v>
      </c>
      <c r="B1433" s="135" t="s">
        <v>4915</v>
      </c>
      <c r="C1433" s="135"/>
      <c r="D1433" s="135"/>
      <c r="E1433" s="19" t="s">
        <v>4664</v>
      </c>
      <c r="F1433" s="20">
        <v>41221</v>
      </c>
      <c r="G1433" s="19" t="s">
        <v>4916</v>
      </c>
      <c r="H1433" s="19" t="s">
        <v>4917</v>
      </c>
      <c r="I1433" s="135" t="s">
        <v>4918</v>
      </c>
      <c r="J1433" s="134" t="s">
        <v>4919</v>
      </c>
      <c r="K1433" s="18" t="s">
        <v>570</v>
      </c>
      <c r="L1433" s="134" t="s">
        <v>570</v>
      </c>
      <c r="M1433" s="134" t="s">
        <v>570</v>
      </c>
      <c r="N1433" s="134" t="s">
        <v>570</v>
      </c>
      <c r="O1433" s="134" t="s">
        <v>570</v>
      </c>
      <c r="P1433" s="449"/>
      <c r="Q1433" s="26"/>
      <c r="R1433" s="26"/>
      <c r="S1433" s="26"/>
      <c r="T1433" s="500" t="e">
        <f>_xlfn.XLOOKUP(H1433,#REF!,#REF!,0,0)</f>
        <v>#REF!</v>
      </c>
    </row>
    <row r="1434" spans="1:20" x14ac:dyDescent="0.4">
      <c r="A1434" s="134" t="s">
        <v>570</v>
      </c>
      <c r="B1434" s="135" t="s">
        <v>4920</v>
      </c>
      <c r="C1434" s="135"/>
      <c r="D1434" s="135"/>
      <c r="E1434" s="19" t="s">
        <v>4664</v>
      </c>
      <c r="F1434" s="20">
        <v>41221</v>
      </c>
      <c r="G1434" s="19" t="s">
        <v>4921</v>
      </c>
      <c r="H1434" s="19" t="s">
        <v>4922</v>
      </c>
      <c r="I1434" s="135" t="s">
        <v>4923</v>
      </c>
      <c r="J1434" s="134" t="s">
        <v>4924</v>
      </c>
      <c r="K1434" s="18" t="s">
        <v>570</v>
      </c>
      <c r="L1434" s="134" t="s">
        <v>570</v>
      </c>
      <c r="M1434" s="134" t="s">
        <v>570</v>
      </c>
      <c r="N1434" s="134" t="s">
        <v>570</v>
      </c>
      <c r="O1434" s="134" t="s">
        <v>570</v>
      </c>
      <c r="P1434" s="449"/>
      <c r="Q1434" s="26"/>
      <c r="R1434" s="26"/>
      <c r="S1434" s="26"/>
      <c r="T1434" s="500" t="e">
        <f>_xlfn.XLOOKUP(H1434,#REF!,#REF!,0,0)</f>
        <v>#REF!</v>
      </c>
    </row>
    <row r="1435" spans="1:20" x14ac:dyDescent="0.4">
      <c r="A1435" s="134" t="s">
        <v>570</v>
      </c>
      <c r="B1435" s="135" t="s">
        <v>3634</v>
      </c>
      <c r="C1435" s="135"/>
      <c r="D1435" s="135"/>
      <c r="E1435" s="19" t="s">
        <v>4664</v>
      </c>
      <c r="F1435" s="20">
        <v>41221</v>
      </c>
      <c r="G1435" s="19" t="s">
        <v>4925</v>
      </c>
      <c r="H1435" s="19" t="s">
        <v>4926</v>
      </c>
      <c r="I1435" s="135" t="s">
        <v>4927</v>
      </c>
      <c r="J1435" s="134" t="s">
        <v>4928</v>
      </c>
      <c r="K1435" s="18" t="s">
        <v>570</v>
      </c>
      <c r="L1435" s="134" t="s">
        <v>570</v>
      </c>
      <c r="M1435" s="134" t="s">
        <v>570</v>
      </c>
      <c r="N1435" s="134" t="s">
        <v>570</v>
      </c>
      <c r="O1435" s="134" t="s">
        <v>570</v>
      </c>
      <c r="P1435" s="449"/>
      <c r="Q1435" s="26"/>
      <c r="R1435" s="26"/>
      <c r="S1435" s="26"/>
      <c r="T1435" s="500" t="e">
        <f>_xlfn.XLOOKUP(H1435,#REF!,#REF!,0,0)</f>
        <v>#REF!</v>
      </c>
    </row>
    <row r="1436" spans="1:20" x14ac:dyDescent="0.4">
      <c r="A1436" s="134" t="s">
        <v>570</v>
      </c>
      <c r="B1436" s="135" t="s">
        <v>4929</v>
      </c>
      <c r="C1436" s="135"/>
      <c r="D1436" s="135"/>
      <c r="E1436" s="19" t="s">
        <v>4664</v>
      </c>
      <c r="F1436" s="20">
        <v>41221</v>
      </c>
      <c r="G1436" s="19" t="s">
        <v>4930</v>
      </c>
      <c r="H1436" s="19" t="s">
        <v>4931</v>
      </c>
      <c r="I1436" s="135" t="s">
        <v>4932</v>
      </c>
      <c r="J1436" s="134" t="s">
        <v>4933</v>
      </c>
      <c r="K1436" s="18" t="s">
        <v>570</v>
      </c>
      <c r="L1436" s="134" t="s">
        <v>570</v>
      </c>
      <c r="M1436" s="134" t="s">
        <v>570</v>
      </c>
      <c r="N1436" s="134" t="s">
        <v>570</v>
      </c>
      <c r="O1436" s="134" t="s">
        <v>570</v>
      </c>
      <c r="P1436" s="449"/>
      <c r="Q1436" s="26"/>
      <c r="R1436" s="26"/>
      <c r="S1436" s="26"/>
      <c r="T1436" s="500" t="e">
        <f>_xlfn.XLOOKUP(H1436,#REF!,#REF!,0,0)</f>
        <v>#REF!</v>
      </c>
    </row>
    <row r="1437" spans="1:20" x14ac:dyDescent="0.4">
      <c r="A1437" s="134" t="s">
        <v>570</v>
      </c>
      <c r="B1437" s="135" t="s">
        <v>4934</v>
      </c>
      <c r="C1437" s="135"/>
      <c r="D1437" s="135"/>
      <c r="E1437" s="19" t="s">
        <v>4664</v>
      </c>
      <c r="F1437" s="20">
        <v>41221</v>
      </c>
      <c r="G1437" s="19" t="s">
        <v>4935</v>
      </c>
      <c r="H1437" s="19" t="s">
        <v>4936</v>
      </c>
      <c r="I1437" s="135" t="s">
        <v>4937</v>
      </c>
      <c r="J1437" s="134" t="s">
        <v>4938</v>
      </c>
      <c r="K1437" s="18" t="s">
        <v>570</v>
      </c>
      <c r="L1437" s="134" t="s">
        <v>570</v>
      </c>
      <c r="M1437" s="134" t="s">
        <v>570</v>
      </c>
      <c r="N1437" s="134" t="s">
        <v>570</v>
      </c>
      <c r="O1437" s="134" t="s">
        <v>570</v>
      </c>
      <c r="P1437" s="449"/>
      <c r="Q1437" s="26"/>
      <c r="R1437" s="26"/>
      <c r="S1437" s="26"/>
      <c r="T1437" s="500" t="e">
        <f>_xlfn.XLOOKUP(H1437,#REF!,#REF!,0,0)</f>
        <v>#REF!</v>
      </c>
    </row>
    <row r="1438" spans="1:20" x14ac:dyDescent="0.4">
      <c r="A1438" s="135" t="s">
        <v>570</v>
      </c>
      <c r="B1438" s="135" t="s">
        <v>4939</v>
      </c>
      <c r="C1438" s="135"/>
      <c r="D1438" s="135"/>
      <c r="E1438" s="19" t="s">
        <v>4664</v>
      </c>
      <c r="F1438" s="20">
        <v>41221</v>
      </c>
      <c r="G1438" s="19" t="s">
        <v>4940</v>
      </c>
      <c r="H1438" s="19" t="s">
        <v>4941</v>
      </c>
      <c r="I1438" s="135" t="s">
        <v>4942</v>
      </c>
      <c r="J1438" s="134" t="s">
        <v>4943</v>
      </c>
      <c r="K1438" s="18" t="s">
        <v>570</v>
      </c>
      <c r="L1438" s="134" t="s">
        <v>570</v>
      </c>
      <c r="M1438" s="134" t="s">
        <v>570</v>
      </c>
      <c r="N1438" s="134" t="s">
        <v>570</v>
      </c>
      <c r="O1438" s="134" t="s">
        <v>570</v>
      </c>
      <c r="P1438" s="449"/>
      <c r="Q1438" s="26"/>
      <c r="R1438" s="26"/>
      <c r="S1438" s="26"/>
      <c r="T1438" s="500" t="e">
        <f>_xlfn.XLOOKUP(H1438,#REF!,#REF!,0,0)</f>
        <v>#REF!</v>
      </c>
    </row>
    <row r="1439" spans="1:20" x14ac:dyDescent="0.4">
      <c r="A1439" s="134" t="s">
        <v>570</v>
      </c>
      <c r="B1439" s="135" t="s">
        <v>4944</v>
      </c>
      <c r="C1439" s="135"/>
      <c r="D1439" s="135"/>
      <c r="E1439" s="19" t="s">
        <v>4664</v>
      </c>
      <c r="F1439" s="20">
        <v>41221</v>
      </c>
      <c r="G1439" s="19" t="s">
        <v>4945</v>
      </c>
      <c r="H1439" s="19" t="s">
        <v>4946</v>
      </c>
      <c r="I1439" s="135" t="s">
        <v>4947</v>
      </c>
      <c r="J1439" s="134" t="s">
        <v>4948</v>
      </c>
      <c r="K1439" s="18" t="s">
        <v>570</v>
      </c>
      <c r="L1439" s="134" t="s">
        <v>570</v>
      </c>
      <c r="M1439" s="134" t="s">
        <v>570</v>
      </c>
      <c r="N1439" s="134" t="s">
        <v>570</v>
      </c>
      <c r="O1439" s="134" t="s">
        <v>570</v>
      </c>
      <c r="P1439" s="449"/>
      <c r="Q1439" s="26"/>
      <c r="R1439" s="26"/>
      <c r="S1439" s="26"/>
      <c r="T1439" s="500" t="e">
        <f>_xlfn.XLOOKUP(H1439,#REF!,#REF!,0,0)</f>
        <v>#REF!</v>
      </c>
    </row>
    <row r="1440" spans="1:20" x14ac:dyDescent="0.4">
      <c r="A1440" s="134" t="s">
        <v>570</v>
      </c>
      <c r="B1440" s="135" t="s">
        <v>4949</v>
      </c>
      <c r="C1440" s="135"/>
      <c r="D1440" s="135"/>
      <c r="E1440" s="19" t="s">
        <v>4664</v>
      </c>
      <c r="F1440" s="20">
        <v>41221</v>
      </c>
      <c r="G1440" s="19" t="s">
        <v>4950</v>
      </c>
      <c r="H1440" s="19" t="s">
        <v>4951</v>
      </c>
      <c r="I1440" s="135" t="s">
        <v>4952</v>
      </c>
      <c r="J1440" s="134" t="s">
        <v>4953</v>
      </c>
      <c r="K1440" s="18" t="s">
        <v>570</v>
      </c>
      <c r="L1440" s="134" t="s">
        <v>570</v>
      </c>
      <c r="M1440" s="134" t="s">
        <v>570</v>
      </c>
      <c r="N1440" s="134" t="s">
        <v>570</v>
      </c>
      <c r="O1440" s="134" t="s">
        <v>570</v>
      </c>
      <c r="P1440" s="449"/>
      <c r="Q1440" s="26"/>
      <c r="R1440" s="26"/>
      <c r="S1440" s="26"/>
      <c r="T1440" s="500" t="e">
        <f>_xlfn.XLOOKUP(H1440,#REF!,#REF!,0,0)</f>
        <v>#REF!</v>
      </c>
    </row>
    <row r="1441" spans="1:20" x14ac:dyDescent="0.4">
      <c r="A1441" s="135" t="s">
        <v>570</v>
      </c>
      <c r="B1441" s="135" t="s">
        <v>4954</v>
      </c>
      <c r="C1441" s="135"/>
      <c r="D1441" s="135"/>
      <c r="E1441" s="19" t="s">
        <v>4664</v>
      </c>
      <c r="F1441" s="20">
        <v>41221</v>
      </c>
      <c r="G1441" s="19" t="s">
        <v>4955</v>
      </c>
      <c r="H1441" s="19" t="s">
        <v>4956</v>
      </c>
      <c r="I1441" s="135" t="s">
        <v>4957</v>
      </c>
      <c r="J1441" s="134" t="s">
        <v>4958</v>
      </c>
      <c r="K1441" s="18" t="s">
        <v>570</v>
      </c>
      <c r="L1441" s="134" t="s">
        <v>570</v>
      </c>
      <c r="M1441" s="134" t="s">
        <v>570</v>
      </c>
      <c r="N1441" s="134" t="s">
        <v>570</v>
      </c>
      <c r="O1441" s="134" t="s">
        <v>570</v>
      </c>
      <c r="P1441" s="449"/>
      <c r="Q1441" s="26"/>
      <c r="R1441" s="26"/>
      <c r="S1441" s="26"/>
      <c r="T1441" s="500" t="e">
        <f>_xlfn.XLOOKUP(H1441,#REF!,#REF!,0,0)</f>
        <v>#REF!</v>
      </c>
    </row>
    <row r="1442" spans="1:20" x14ac:dyDescent="0.4">
      <c r="A1442" s="134" t="s">
        <v>570</v>
      </c>
      <c r="B1442" s="135" t="s">
        <v>4959</v>
      </c>
      <c r="C1442" s="135"/>
      <c r="D1442" s="135"/>
      <c r="E1442" s="19" t="s">
        <v>4664</v>
      </c>
      <c r="F1442" s="20">
        <v>41221</v>
      </c>
      <c r="G1442" s="19" t="s">
        <v>4960</v>
      </c>
      <c r="H1442" s="19" t="s">
        <v>4961</v>
      </c>
      <c r="I1442" s="135" t="s">
        <v>4962</v>
      </c>
      <c r="J1442" s="134" t="s">
        <v>4963</v>
      </c>
      <c r="K1442" s="18" t="s">
        <v>570</v>
      </c>
      <c r="L1442" s="134" t="s">
        <v>570</v>
      </c>
      <c r="M1442" s="134" t="s">
        <v>570</v>
      </c>
      <c r="N1442" s="134" t="s">
        <v>570</v>
      </c>
      <c r="O1442" s="134" t="s">
        <v>570</v>
      </c>
      <c r="P1442" s="449"/>
      <c r="Q1442" s="26"/>
      <c r="R1442" s="26"/>
      <c r="S1442" s="26"/>
      <c r="T1442" s="500" t="e">
        <f>_xlfn.XLOOKUP(H1442,#REF!,#REF!,0,0)</f>
        <v>#REF!</v>
      </c>
    </row>
    <row r="1443" spans="1:20" x14ac:dyDescent="0.4">
      <c r="A1443" s="135" t="s">
        <v>570</v>
      </c>
      <c r="B1443" s="135" t="s">
        <v>4964</v>
      </c>
      <c r="C1443" s="135"/>
      <c r="D1443" s="135"/>
      <c r="E1443" s="19" t="s">
        <v>4664</v>
      </c>
      <c r="F1443" s="20">
        <v>41221</v>
      </c>
      <c r="G1443" s="19" t="s">
        <v>4965</v>
      </c>
      <c r="H1443" s="19" t="s">
        <v>4966</v>
      </c>
      <c r="I1443" s="135" t="s">
        <v>4967</v>
      </c>
      <c r="J1443" s="134" t="s">
        <v>4968</v>
      </c>
      <c r="K1443" s="18" t="s">
        <v>570</v>
      </c>
      <c r="L1443" s="134" t="s">
        <v>570</v>
      </c>
      <c r="M1443" s="134" t="s">
        <v>570</v>
      </c>
      <c r="N1443" s="134" t="s">
        <v>570</v>
      </c>
      <c r="O1443" s="134" t="s">
        <v>570</v>
      </c>
      <c r="P1443" s="449"/>
      <c r="Q1443" s="26"/>
      <c r="R1443" s="26"/>
      <c r="S1443" s="26"/>
      <c r="T1443" s="500" t="e">
        <f>_xlfn.XLOOKUP(H1443,#REF!,#REF!,0,0)</f>
        <v>#REF!</v>
      </c>
    </row>
    <row r="1444" spans="1:20" x14ac:dyDescent="0.4">
      <c r="A1444" s="134" t="s">
        <v>570</v>
      </c>
      <c r="B1444" s="135" t="s">
        <v>4969</v>
      </c>
      <c r="C1444" s="135"/>
      <c r="D1444" s="135"/>
      <c r="E1444" s="19" t="s">
        <v>4664</v>
      </c>
      <c r="F1444" s="20">
        <v>41221</v>
      </c>
      <c r="G1444" s="19" t="s">
        <v>4970</v>
      </c>
      <c r="H1444" s="19" t="s">
        <v>4971</v>
      </c>
      <c r="I1444" s="135" t="s">
        <v>4972</v>
      </c>
      <c r="J1444" s="134" t="s">
        <v>4973</v>
      </c>
      <c r="K1444" s="18" t="s">
        <v>570</v>
      </c>
      <c r="L1444" s="134" t="s">
        <v>570</v>
      </c>
      <c r="M1444" s="134" t="s">
        <v>570</v>
      </c>
      <c r="N1444" s="134" t="s">
        <v>570</v>
      </c>
      <c r="O1444" s="134" t="s">
        <v>570</v>
      </c>
      <c r="P1444" s="449"/>
      <c r="Q1444" s="26"/>
      <c r="R1444" s="26"/>
      <c r="S1444" s="26"/>
      <c r="T1444" s="500" t="e">
        <f>_xlfn.XLOOKUP(H1444,#REF!,#REF!,0,0)</f>
        <v>#REF!</v>
      </c>
    </row>
    <row r="1445" spans="1:20" x14ac:dyDescent="0.4">
      <c r="A1445" s="134" t="s">
        <v>570</v>
      </c>
      <c r="B1445" s="135" t="s">
        <v>3683</v>
      </c>
      <c r="C1445" s="135"/>
      <c r="D1445" s="135"/>
      <c r="E1445" s="19" t="s">
        <v>4664</v>
      </c>
      <c r="F1445" s="20">
        <v>41221</v>
      </c>
      <c r="G1445" s="19" t="s">
        <v>4974</v>
      </c>
      <c r="H1445" s="19" t="s">
        <v>4975</v>
      </c>
      <c r="I1445" s="135" t="s">
        <v>4976</v>
      </c>
      <c r="J1445" s="134" t="s">
        <v>4977</v>
      </c>
      <c r="K1445" s="18" t="s">
        <v>570</v>
      </c>
      <c r="L1445" s="134" t="s">
        <v>570</v>
      </c>
      <c r="M1445" s="134" t="s">
        <v>570</v>
      </c>
      <c r="N1445" s="134" t="s">
        <v>570</v>
      </c>
      <c r="O1445" s="134" t="s">
        <v>570</v>
      </c>
      <c r="P1445" s="449"/>
      <c r="Q1445" s="26"/>
      <c r="R1445" s="26"/>
      <c r="S1445" s="26"/>
      <c r="T1445" s="500" t="e">
        <f>_xlfn.XLOOKUP(H1445,#REF!,#REF!,0,0)</f>
        <v>#REF!</v>
      </c>
    </row>
    <row r="1446" spans="1:20" x14ac:dyDescent="0.4">
      <c r="A1446" s="134" t="s">
        <v>570</v>
      </c>
      <c r="B1446" s="135" t="s">
        <v>4978</v>
      </c>
      <c r="C1446" s="135"/>
      <c r="D1446" s="135"/>
      <c r="E1446" s="19" t="s">
        <v>4664</v>
      </c>
      <c r="F1446" s="20">
        <v>41221</v>
      </c>
      <c r="G1446" s="19" t="s">
        <v>4979</v>
      </c>
      <c r="H1446" s="19" t="s">
        <v>4980</v>
      </c>
      <c r="I1446" s="135" t="s">
        <v>4981</v>
      </c>
      <c r="J1446" s="134" t="s">
        <v>4982</v>
      </c>
      <c r="K1446" s="18" t="s">
        <v>570</v>
      </c>
      <c r="L1446" s="134" t="s">
        <v>570</v>
      </c>
      <c r="M1446" s="134" t="s">
        <v>570</v>
      </c>
      <c r="N1446" s="134" t="s">
        <v>570</v>
      </c>
      <c r="O1446" s="134" t="s">
        <v>570</v>
      </c>
      <c r="P1446" s="449"/>
      <c r="Q1446" s="26"/>
      <c r="R1446" s="26"/>
      <c r="S1446" s="26"/>
      <c r="T1446" s="500" t="e">
        <f>_xlfn.XLOOKUP(H1446,#REF!,#REF!,0,0)</f>
        <v>#REF!</v>
      </c>
    </row>
    <row r="1447" spans="1:20" x14ac:dyDescent="0.4">
      <c r="A1447" s="134" t="s">
        <v>570</v>
      </c>
      <c r="B1447" s="135" t="s">
        <v>4983</v>
      </c>
      <c r="C1447" s="135"/>
      <c r="D1447" s="135"/>
      <c r="E1447" s="19" t="s">
        <v>4664</v>
      </c>
      <c r="F1447" s="20">
        <v>41221</v>
      </c>
      <c r="G1447" s="19" t="s">
        <v>4984</v>
      </c>
      <c r="H1447" s="19" t="s">
        <v>4985</v>
      </c>
      <c r="I1447" s="135" t="s">
        <v>4986</v>
      </c>
      <c r="J1447" s="134" t="s">
        <v>4987</v>
      </c>
      <c r="K1447" s="18" t="s">
        <v>570</v>
      </c>
      <c r="L1447" s="134" t="s">
        <v>570</v>
      </c>
      <c r="M1447" s="134" t="s">
        <v>570</v>
      </c>
      <c r="N1447" s="134" t="s">
        <v>570</v>
      </c>
      <c r="O1447" s="134" t="s">
        <v>570</v>
      </c>
      <c r="P1447" s="449"/>
      <c r="Q1447" s="26"/>
      <c r="R1447" s="26"/>
      <c r="S1447" s="26"/>
      <c r="T1447" s="500" t="e">
        <f>_xlfn.XLOOKUP(H1447,#REF!,#REF!,0,0)</f>
        <v>#REF!</v>
      </c>
    </row>
    <row r="1448" spans="1:20" x14ac:dyDescent="0.4">
      <c r="A1448" s="134" t="s">
        <v>570</v>
      </c>
      <c r="B1448" s="135" t="s">
        <v>4988</v>
      </c>
      <c r="C1448" s="135"/>
      <c r="D1448" s="135"/>
      <c r="E1448" s="19" t="s">
        <v>4664</v>
      </c>
      <c r="F1448" s="20">
        <v>41221</v>
      </c>
      <c r="G1448" s="19" t="s">
        <v>4989</v>
      </c>
      <c r="H1448" s="19" t="s">
        <v>4990</v>
      </c>
      <c r="I1448" s="135" t="s">
        <v>4991</v>
      </c>
      <c r="J1448" s="134" t="s">
        <v>4992</v>
      </c>
      <c r="K1448" s="18" t="s">
        <v>570</v>
      </c>
      <c r="L1448" s="134" t="s">
        <v>570</v>
      </c>
      <c r="M1448" s="134" t="s">
        <v>570</v>
      </c>
      <c r="N1448" s="134" t="s">
        <v>570</v>
      </c>
      <c r="O1448" s="134" t="s">
        <v>570</v>
      </c>
      <c r="P1448" s="449"/>
      <c r="Q1448" s="26"/>
      <c r="R1448" s="26"/>
      <c r="S1448" s="26"/>
      <c r="T1448" s="500" t="e">
        <f>_xlfn.XLOOKUP(H1448,#REF!,#REF!,0,0)</f>
        <v>#REF!</v>
      </c>
    </row>
    <row r="1449" spans="1:20" x14ac:dyDescent="0.4">
      <c r="A1449" s="134" t="s">
        <v>570</v>
      </c>
      <c r="B1449" s="135" t="s">
        <v>4993</v>
      </c>
      <c r="C1449" s="135"/>
      <c r="D1449" s="135"/>
      <c r="E1449" s="19" t="s">
        <v>4664</v>
      </c>
      <c r="F1449" s="20">
        <v>41221</v>
      </c>
      <c r="G1449" s="19" t="s">
        <v>4994</v>
      </c>
      <c r="H1449" s="19" t="s">
        <v>4995</v>
      </c>
      <c r="I1449" s="135" t="s">
        <v>4996</v>
      </c>
      <c r="J1449" s="134" t="s">
        <v>4997</v>
      </c>
      <c r="K1449" s="18" t="s">
        <v>570</v>
      </c>
      <c r="L1449" s="134" t="s">
        <v>570</v>
      </c>
      <c r="M1449" s="134" t="s">
        <v>570</v>
      </c>
      <c r="N1449" s="134" t="s">
        <v>570</v>
      </c>
      <c r="O1449" s="134" t="s">
        <v>570</v>
      </c>
      <c r="P1449" s="449"/>
      <c r="Q1449" s="26"/>
      <c r="R1449" s="26"/>
      <c r="S1449" s="26"/>
      <c r="T1449" s="500" t="e">
        <f>_xlfn.XLOOKUP(H1449,#REF!,#REF!,0,0)</f>
        <v>#REF!</v>
      </c>
    </row>
    <row r="1450" spans="1:20" x14ac:dyDescent="0.4">
      <c r="A1450" s="134" t="s">
        <v>570</v>
      </c>
      <c r="B1450" s="134" t="s">
        <v>4998</v>
      </c>
      <c r="C1450" s="134"/>
      <c r="D1450" s="134"/>
      <c r="E1450" s="18" t="s">
        <v>4999</v>
      </c>
      <c r="F1450" s="10">
        <v>41053</v>
      </c>
      <c r="G1450" s="18" t="s">
        <v>5000</v>
      </c>
      <c r="H1450" s="18">
        <v>56065</v>
      </c>
      <c r="I1450" s="134"/>
      <c r="J1450" s="134"/>
      <c r="K1450" s="18" t="s">
        <v>570</v>
      </c>
      <c r="L1450" s="134" t="s">
        <v>570</v>
      </c>
      <c r="M1450" s="134" t="s">
        <v>570</v>
      </c>
      <c r="N1450" s="134" t="s">
        <v>570</v>
      </c>
      <c r="O1450" s="134" t="s">
        <v>570</v>
      </c>
      <c r="P1450" s="449"/>
      <c r="Q1450" s="26"/>
      <c r="R1450" s="26"/>
      <c r="S1450" s="26"/>
      <c r="T1450" s="500" t="e">
        <f>_xlfn.XLOOKUP(H1450,#REF!,#REF!,0,0)</f>
        <v>#REF!</v>
      </c>
    </row>
    <row r="1451" spans="1:20" x14ac:dyDescent="0.4">
      <c r="A1451" s="134" t="s">
        <v>570</v>
      </c>
      <c r="B1451" s="134" t="s">
        <v>5001</v>
      </c>
      <c r="C1451" s="134"/>
      <c r="D1451" s="134"/>
      <c r="E1451" s="18" t="s">
        <v>8</v>
      </c>
      <c r="F1451" s="10">
        <v>41478</v>
      </c>
      <c r="G1451" s="18" t="s">
        <v>5002</v>
      </c>
      <c r="H1451" s="18">
        <v>58269</v>
      </c>
      <c r="I1451" s="134" t="s">
        <v>5003</v>
      </c>
      <c r="J1451" s="134" t="s">
        <v>5004</v>
      </c>
      <c r="K1451" s="18" t="s">
        <v>570</v>
      </c>
      <c r="L1451" s="134" t="s">
        <v>570</v>
      </c>
      <c r="M1451" s="134" t="s">
        <v>570</v>
      </c>
      <c r="N1451" s="134" t="s">
        <v>570</v>
      </c>
      <c r="O1451" s="134" t="s">
        <v>570</v>
      </c>
      <c r="P1451" s="449"/>
      <c r="Q1451" s="26"/>
      <c r="R1451" s="26"/>
      <c r="S1451" s="26"/>
      <c r="T1451" s="500" t="e">
        <f>_xlfn.XLOOKUP(H1451,#REF!,#REF!,0,0)</f>
        <v>#REF!</v>
      </c>
    </row>
    <row r="1452" spans="1:20" x14ac:dyDescent="0.4">
      <c r="A1452" s="134" t="s">
        <v>570</v>
      </c>
      <c r="B1452" s="134" t="s">
        <v>5005</v>
      </c>
      <c r="C1452" s="134"/>
      <c r="D1452" s="134"/>
      <c r="E1452" s="18" t="s">
        <v>8</v>
      </c>
      <c r="F1452" s="10">
        <v>41478</v>
      </c>
      <c r="G1452" s="18" t="s">
        <v>5006</v>
      </c>
      <c r="H1452" s="18">
        <v>58270</v>
      </c>
      <c r="I1452" s="134" t="s">
        <v>5007</v>
      </c>
      <c r="J1452" s="134" t="s">
        <v>5008</v>
      </c>
      <c r="K1452" s="18" t="s">
        <v>570</v>
      </c>
      <c r="L1452" s="134" t="s">
        <v>570</v>
      </c>
      <c r="M1452" s="134" t="s">
        <v>570</v>
      </c>
      <c r="N1452" s="134" t="s">
        <v>570</v>
      </c>
      <c r="O1452" s="134" t="s">
        <v>570</v>
      </c>
      <c r="P1452" s="449"/>
      <c r="Q1452" s="26"/>
      <c r="R1452" s="26"/>
      <c r="S1452" s="26"/>
      <c r="T1452" s="500" t="e">
        <f>_xlfn.XLOOKUP(H1452,#REF!,#REF!,0,0)</f>
        <v>#REF!</v>
      </c>
    </row>
    <row r="1453" spans="1:20" x14ac:dyDescent="0.4">
      <c r="A1453" s="134" t="s">
        <v>570</v>
      </c>
      <c r="B1453" s="134" t="s">
        <v>5009</v>
      </c>
      <c r="C1453" s="134"/>
      <c r="D1453" s="134"/>
      <c r="E1453" s="18" t="s">
        <v>8</v>
      </c>
      <c r="F1453" s="10">
        <v>41478</v>
      </c>
      <c r="G1453" s="18" t="s">
        <v>5010</v>
      </c>
      <c r="H1453" s="18">
        <v>58271</v>
      </c>
      <c r="I1453" s="134" t="s">
        <v>5011</v>
      </c>
      <c r="J1453" s="134" t="s">
        <v>5012</v>
      </c>
      <c r="K1453" s="18" t="s">
        <v>570</v>
      </c>
      <c r="L1453" s="134" t="s">
        <v>570</v>
      </c>
      <c r="M1453" s="134" t="s">
        <v>570</v>
      </c>
      <c r="N1453" s="134" t="s">
        <v>570</v>
      </c>
      <c r="O1453" s="134" t="s">
        <v>570</v>
      </c>
      <c r="P1453" s="449"/>
      <c r="Q1453" s="26"/>
      <c r="R1453" s="26"/>
      <c r="S1453" s="26"/>
      <c r="T1453" s="500" t="e">
        <f>_xlfn.XLOOKUP(H1453,#REF!,#REF!,0,0)</f>
        <v>#REF!</v>
      </c>
    </row>
    <row r="1454" spans="1:20" x14ac:dyDescent="0.4">
      <c r="A1454" s="134" t="s">
        <v>570</v>
      </c>
      <c r="B1454" s="134" t="s">
        <v>5013</v>
      </c>
      <c r="C1454" s="134"/>
      <c r="D1454" s="134"/>
      <c r="E1454" s="18" t="s">
        <v>8</v>
      </c>
      <c r="F1454" s="10">
        <v>41478</v>
      </c>
      <c r="G1454" s="18" t="s">
        <v>5014</v>
      </c>
      <c r="H1454" s="18">
        <v>58272</v>
      </c>
      <c r="I1454" s="134" t="s">
        <v>5015</v>
      </c>
      <c r="J1454" s="134" t="s">
        <v>5016</v>
      </c>
      <c r="K1454" s="18" t="s">
        <v>570</v>
      </c>
      <c r="L1454" s="134" t="s">
        <v>570</v>
      </c>
      <c r="M1454" s="134" t="s">
        <v>570</v>
      </c>
      <c r="N1454" s="134" t="s">
        <v>570</v>
      </c>
      <c r="O1454" s="134" t="s">
        <v>570</v>
      </c>
      <c r="P1454" s="449"/>
      <c r="Q1454" s="26"/>
      <c r="R1454" s="26"/>
      <c r="S1454" s="26"/>
      <c r="T1454" s="500" t="e">
        <f>_xlfn.XLOOKUP(H1454,#REF!,#REF!,0,0)</f>
        <v>#REF!</v>
      </c>
    </row>
    <row r="1455" spans="1:20" x14ac:dyDescent="0.4">
      <c r="A1455" s="134" t="s">
        <v>570</v>
      </c>
      <c r="B1455" s="134" t="s">
        <v>2944</v>
      </c>
      <c r="C1455" s="134"/>
      <c r="D1455" s="134"/>
      <c r="E1455" s="18" t="s">
        <v>8</v>
      </c>
      <c r="F1455" s="10">
        <v>41478</v>
      </c>
      <c r="G1455" s="18" t="s">
        <v>5017</v>
      </c>
      <c r="H1455" s="18">
        <v>58273</v>
      </c>
      <c r="I1455" s="134" t="s">
        <v>5018</v>
      </c>
      <c r="J1455" s="134" t="s">
        <v>5019</v>
      </c>
      <c r="K1455" s="18" t="s">
        <v>570</v>
      </c>
      <c r="L1455" s="134" t="s">
        <v>570</v>
      </c>
      <c r="M1455" s="134" t="s">
        <v>570</v>
      </c>
      <c r="N1455" s="134" t="s">
        <v>570</v>
      </c>
      <c r="O1455" s="134" t="s">
        <v>570</v>
      </c>
      <c r="P1455" s="449"/>
      <c r="Q1455" s="26"/>
      <c r="R1455" s="26"/>
      <c r="S1455" s="26"/>
      <c r="T1455" s="500" t="e">
        <f>_xlfn.XLOOKUP(H1455,#REF!,#REF!,0,0)</f>
        <v>#REF!</v>
      </c>
    </row>
    <row r="1456" spans="1:20" x14ac:dyDescent="0.4">
      <c r="A1456" s="134" t="s">
        <v>570</v>
      </c>
      <c r="B1456" s="134" t="s">
        <v>5020</v>
      </c>
      <c r="C1456" s="134"/>
      <c r="D1456" s="134"/>
      <c r="E1456" s="18" t="s">
        <v>8</v>
      </c>
      <c r="F1456" s="10">
        <v>41478</v>
      </c>
      <c r="G1456" s="18" t="s">
        <v>5021</v>
      </c>
      <c r="H1456" s="18">
        <v>58274</v>
      </c>
      <c r="I1456" s="134" t="s">
        <v>5022</v>
      </c>
      <c r="J1456" s="134" t="s">
        <v>5023</v>
      </c>
      <c r="K1456" s="18" t="s">
        <v>570</v>
      </c>
      <c r="L1456" s="134" t="s">
        <v>570</v>
      </c>
      <c r="M1456" s="134" t="s">
        <v>570</v>
      </c>
      <c r="N1456" s="134" t="s">
        <v>570</v>
      </c>
      <c r="O1456" s="134" t="s">
        <v>570</v>
      </c>
      <c r="P1456" s="449"/>
      <c r="Q1456" s="26"/>
      <c r="R1456" s="26"/>
      <c r="S1456" s="26"/>
      <c r="T1456" s="500" t="e">
        <f>_xlfn.XLOOKUP(H1456,#REF!,#REF!,0,0)</f>
        <v>#REF!</v>
      </c>
    </row>
    <row r="1457" spans="1:20" x14ac:dyDescent="0.4">
      <c r="A1457" s="134" t="s">
        <v>570</v>
      </c>
      <c r="B1457" s="134" t="s">
        <v>5024</v>
      </c>
      <c r="C1457" s="134"/>
      <c r="D1457" s="134"/>
      <c r="E1457" s="18" t="s">
        <v>8</v>
      </c>
      <c r="F1457" s="10">
        <v>41478</v>
      </c>
      <c r="G1457" s="18" t="s">
        <v>5025</v>
      </c>
      <c r="H1457" s="18">
        <v>58275</v>
      </c>
      <c r="I1457" s="134" t="s">
        <v>5026</v>
      </c>
      <c r="J1457" s="134" t="s">
        <v>5027</v>
      </c>
      <c r="K1457" s="18" t="s">
        <v>570</v>
      </c>
      <c r="L1457" s="134" t="s">
        <v>570</v>
      </c>
      <c r="M1457" s="134" t="s">
        <v>570</v>
      </c>
      <c r="N1457" s="134" t="s">
        <v>570</v>
      </c>
      <c r="O1457" s="134" t="s">
        <v>570</v>
      </c>
      <c r="P1457" s="449"/>
      <c r="Q1457" s="26"/>
      <c r="R1457" s="26"/>
      <c r="S1457" s="26"/>
      <c r="T1457" s="500" t="e">
        <f>_xlfn.XLOOKUP(H1457,#REF!,#REF!,0,0)</f>
        <v>#REF!</v>
      </c>
    </row>
    <row r="1458" spans="1:20" x14ac:dyDescent="0.4">
      <c r="A1458" s="134" t="s">
        <v>570</v>
      </c>
      <c r="B1458" s="134" t="s">
        <v>5028</v>
      </c>
      <c r="C1458" s="134"/>
      <c r="D1458" s="134"/>
      <c r="E1458" s="18" t="s">
        <v>8</v>
      </c>
      <c r="F1458" s="10">
        <v>41478</v>
      </c>
      <c r="G1458" s="18" t="s">
        <v>5029</v>
      </c>
      <c r="H1458" s="18">
        <v>58276</v>
      </c>
      <c r="I1458" s="134" t="s">
        <v>5030</v>
      </c>
      <c r="J1458" s="134" t="s">
        <v>5031</v>
      </c>
      <c r="K1458" s="18" t="s">
        <v>570</v>
      </c>
      <c r="L1458" s="134" t="s">
        <v>570</v>
      </c>
      <c r="M1458" s="134" t="s">
        <v>570</v>
      </c>
      <c r="N1458" s="134" t="s">
        <v>570</v>
      </c>
      <c r="O1458" s="134" t="s">
        <v>570</v>
      </c>
      <c r="P1458" s="449"/>
      <c r="Q1458" s="26"/>
      <c r="R1458" s="26"/>
      <c r="S1458" s="26"/>
      <c r="T1458" s="500" t="e">
        <f>_xlfn.XLOOKUP(H1458,#REF!,#REF!,0,0)</f>
        <v>#REF!</v>
      </c>
    </row>
    <row r="1459" spans="1:20" x14ac:dyDescent="0.4">
      <c r="A1459" s="134" t="s">
        <v>570</v>
      </c>
      <c r="B1459" s="134" t="s">
        <v>5032</v>
      </c>
      <c r="C1459" s="134"/>
      <c r="D1459" s="134"/>
      <c r="E1459" s="18" t="s">
        <v>8</v>
      </c>
      <c r="F1459" s="10">
        <v>41478</v>
      </c>
      <c r="G1459" s="18" t="s">
        <v>5033</v>
      </c>
      <c r="H1459" s="18">
        <v>58277</v>
      </c>
      <c r="I1459" s="134" t="s">
        <v>5034</v>
      </c>
      <c r="J1459" s="134" t="s">
        <v>5035</v>
      </c>
      <c r="K1459" s="18" t="s">
        <v>570</v>
      </c>
      <c r="L1459" s="134" t="s">
        <v>570</v>
      </c>
      <c r="M1459" s="134" t="s">
        <v>570</v>
      </c>
      <c r="N1459" s="134" t="s">
        <v>570</v>
      </c>
      <c r="O1459" s="134" t="s">
        <v>570</v>
      </c>
      <c r="P1459" s="449"/>
      <c r="Q1459" s="26"/>
      <c r="R1459" s="26"/>
      <c r="S1459" s="26"/>
      <c r="T1459" s="500" t="e">
        <f>_xlfn.XLOOKUP(H1459,#REF!,#REF!,0,0)</f>
        <v>#REF!</v>
      </c>
    </row>
    <row r="1460" spans="1:20" x14ac:dyDescent="0.4">
      <c r="A1460" s="134" t="s">
        <v>570</v>
      </c>
      <c r="B1460" s="134" t="s">
        <v>5036</v>
      </c>
      <c r="C1460" s="134"/>
      <c r="D1460" s="134"/>
      <c r="E1460" s="18" t="s">
        <v>8</v>
      </c>
      <c r="F1460" s="10">
        <v>41478</v>
      </c>
      <c r="G1460" s="18" t="s">
        <v>5037</v>
      </c>
      <c r="H1460" s="18">
        <v>58279</v>
      </c>
      <c r="I1460" s="134" t="s">
        <v>5038</v>
      </c>
      <c r="J1460" s="134" t="s">
        <v>5039</v>
      </c>
      <c r="K1460" s="18" t="s">
        <v>570</v>
      </c>
      <c r="L1460" s="134" t="s">
        <v>570</v>
      </c>
      <c r="M1460" s="134" t="s">
        <v>570</v>
      </c>
      <c r="N1460" s="134" t="s">
        <v>570</v>
      </c>
      <c r="O1460" s="134" t="s">
        <v>570</v>
      </c>
      <c r="P1460" s="449"/>
      <c r="Q1460" s="26"/>
      <c r="R1460" s="26"/>
      <c r="S1460" s="26"/>
      <c r="T1460" s="500" t="e">
        <f>_xlfn.XLOOKUP(H1460,#REF!,#REF!,0,0)</f>
        <v>#REF!</v>
      </c>
    </row>
    <row r="1461" spans="1:20" x14ac:dyDescent="0.4">
      <c r="A1461" s="134" t="s">
        <v>570</v>
      </c>
      <c r="B1461" s="134" t="s">
        <v>5040</v>
      </c>
      <c r="C1461" s="134"/>
      <c r="D1461" s="134"/>
      <c r="E1461" s="18" t="s">
        <v>8</v>
      </c>
      <c r="F1461" s="10">
        <v>41478</v>
      </c>
      <c r="G1461" s="18" t="s">
        <v>5041</v>
      </c>
      <c r="H1461" s="18">
        <v>58280</v>
      </c>
      <c r="I1461" s="134" t="s">
        <v>5042</v>
      </c>
      <c r="J1461" s="134" t="s">
        <v>5043</v>
      </c>
      <c r="K1461" s="18" t="s">
        <v>570</v>
      </c>
      <c r="L1461" s="134" t="s">
        <v>570</v>
      </c>
      <c r="M1461" s="134" t="s">
        <v>570</v>
      </c>
      <c r="N1461" s="134" t="s">
        <v>570</v>
      </c>
      <c r="O1461" s="134" t="s">
        <v>570</v>
      </c>
      <c r="P1461" s="449"/>
      <c r="Q1461" s="26"/>
      <c r="R1461" s="26"/>
      <c r="S1461" s="26"/>
      <c r="T1461" s="500" t="e">
        <f>_xlfn.XLOOKUP(H1461,#REF!,#REF!,0,0)</f>
        <v>#REF!</v>
      </c>
    </row>
    <row r="1462" spans="1:20" x14ac:dyDescent="0.4">
      <c r="A1462" s="134" t="s">
        <v>570</v>
      </c>
      <c r="B1462" s="134" t="s">
        <v>5044</v>
      </c>
      <c r="C1462" s="134"/>
      <c r="D1462" s="134"/>
      <c r="E1462" s="18" t="s">
        <v>8</v>
      </c>
      <c r="F1462" s="10">
        <v>41478</v>
      </c>
      <c r="G1462" s="18" t="s">
        <v>5045</v>
      </c>
      <c r="H1462" s="18">
        <v>58281</v>
      </c>
      <c r="I1462" s="134" t="s">
        <v>5046</v>
      </c>
      <c r="J1462" s="134" t="s">
        <v>5047</v>
      </c>
      <c r="K1462" s="18" t="s">
        <v>570</v>
      </c>
      <c r="L1462" s="134" t="s">
        <v>570</v>
      </c>
      <c r="M1462" s="134" t="s">
        <v>570</v>
      </c>
      <c r="N1462" s="134" t="s">
        <v>570</v>
      </c>
      <c r="O1462" s="134" t="s">
        <v>570</v>
      </c>
      <c r="P1462" s="449"/>
      <c r="Q1462" s="26"/>
      <c r="R1462" s="26"/>
      <c r="S1462" s="26"/>
      <c r="T1462" s="500" t="e">
        <f>_xlfn.XLOOKUP(H1462,#REF!,#REF!,0,0)</f>
        <v>#REF!</v>
      </c>
    </row>
    <row r="1463" spans="1:20" x14ac:dyDescent="0.4">
      <c r="A1463" s="134" t="s">
        <v>570</v>
      </c>
      <c r="B1463" s="134" t="s">
        <v>5048</v>
      </c>
      <c r="C1463" s="134"/>
      <c r="D1463" s="134"/>
      <c r="E1463" s="18" t="s">
        <v>8</v>
      </c>
      <c r="F1463" s="10">
        <v>41478</v>
      </c>
      <c r="G1463" s="18" t="s">
        <v>5049</v>
      </c>
      <c r="H1463" s="18">
        <v>58282</v>
      </c>
      <c r="I1463" s="134" t="s">
        <v>5050</v>
      </c>
      <c r="J1463" s="134" t="s">
        <v>5051</v>
      </c>
      <c r="K1463" s="18" t="s">
        <v>570</v>
      </c>
      <c r="L1463" s="134" t="s">
        <v>570</v>
      </c>
      <c r="M1463" s="134" t="s">
        <v>570</v>
      </c>
      <c r="N1463" s="134" t="s">
        <v>570</v>
      </c>
      <c r="O1463" s="134" t="s">
        <v>570</v>
      </c>
      <c r="P1463" s="449"/>
      <c r="Q1463" s="26"/>
      <c r="R1463" s="26"/>
      <c r="S1463" s="26"/>
      <c r="T1463" s="500" t="e">
        <f>_xlfn.XLOOKUP(H1463,#REF!,#REF!,0,0)</f>
        <v>#REF!</v>
      </c>
    </row>
    <row r="1464" spans="1:20" x14ac:dyDescent="0.4">
      <c r="A1464" s="86"/>
      <c r="B1464" s="86" t="s">
        <v>5052</v>
      </c>
      <c r="C1464" s="86"/>
      <c r="D1464" s="134"/>
      <c r="E1464" s="18" t="s">
        <v>8</v>
      </c>
      <c r="F1464" s="10">
        <v>41478</v>
      </c>
      <c r="G1464" s="18" t="s">
        <v>5053</v>
      </c>
      <c r="H1464" s="18">
        <v>58283</v>
      </c>
      <c r="I1464" s="134" t="s">
        <v>5054</v>
      </c>
      <c r="J1464" s="134" t="s">
        <v>5055</v>
      </c>
      <c r="K1464" s="18" t="s">
        <v>570</v>
      </c>
      <c r="L1464" s="134" t="s">
        <v>570</v>
      </c>
      <c r="M1464" s="134" t="s">
        <v>570</v>
      </c>
      <c r="N1464" s="134" t="s">
        <v>570</v>
      </c>
      <c r="O1464" s="134" t="s">
        <v>570</v>
      </c>
      <c r="P1464" s="449"/>
      <c r="Q1464" s="26"/>
      <c r="R1464" s="26"/>
      <c r="S1464" s="26"/>
      <c r="T1464" s="500" t="e">
        <f>_xlfn.XLOOKUP(H1464,#REF!,#REF!,0,0)</f>
        <v>#REF!</v>
      </c>
    </row>
    <row r="1465" spans="1:20" x14ac:dyDescent="0.4">
      <c r="A1465" s="134" t="s">
        <v>570</v>
      </c>
      <c r="B1465" s="134" t="s">
        <v>5056</v>
      </c>
      <c r="C1465" s="134"/>
      <c r="D1465" s="134"/>
      <c r="E1465" s="18" t="s">
        <v>8</v>
      </c>
      <c r="F1465" s="10">
        <v>41478</v>
      </c>
      <c r="G1465" s="18" t="s">
        <v>5057</v>
      </c>
      <c r="H1465" s="18">
        <v>58284</v>
      </c>
      <c r="I1465" s="134" t="s">
        <v>5058</v>
      </c>
      <c r="J1465" s="134" t="s">
        <v>5059</v>
      </c>
      <c r="K1465" s="18" t="s">
        <v>570</v>
      </c>
      <c r="L1465" s="134" t="s">
        <v>570</v>
      </c>
      <c r="M1465" s="134" t="s">
        <v>570</v>
      </c>
      <c r="N1465" s="134" t="s">
        <v>570</v>
      </c>
      <c r="O1465" s="134" t="s">
        <v>570</v>
      </c>
      <c r="P1465" s="449"/>
      <c r="Q1465" s="26"/>
      <c r="R1465" s="26"/>
      <c r="S1465" s="26"/>
      <c r="T1465" s="500" t="e">
        <f>_xlfn.XLOOKUP(H1465,#REF!,#REF!,0,0)</f>
        <v>#REF!</v>
      </c>
    </row>
    <row r="1466" spans="1:20" x14ac:dyDescent="0.4">
      <c r="A1466" s="134" t="s">
        <v>570</v>
      </c>
      <c r="B1466" s="134" t="s">
        <v>5060</v>
      </c>
      <c r="C1466" s="134"/>
      <c r="D1466" s="134"/>
      <c r="E1466" s="18" t="s">
        <v>8</v>
      </c>
      <c r="F1466" s="10">
        <v>41478</v>
      </c>
      <c r="G1466" s="18" t="s">
        <v>5061</v>
      </c>
      <c r="H1466" s="18">
        <v>58285</v>
      </c>
      <c r="I1466" s="134" t="s">
        <v>5062</v>
      </c>
      <c r="J1466" s="134" t="s">
        <v>5063</v>
      </c>
      <c r="K1466" s="18" t="s">
        <v>570</v>
      </c>
      <c r="L1466" s="134" t="s">
        <v>570</v>
      </c>
      <c r="M1466" s="134" t="s">
        <v>570</v>
      </c>
      <c r="N1466" s="134" t="s">
        <v>570</v>
      </c>
      <c r="O1466" s="134" t="s">
        <v>570</v>
      </c>
      <c r="P1466" s="449"/>
      <c r="Q1466" s="26"/>
      <c r="R1466" s="26"/>
      <c r="S1466" s="26"/>
      <c r="T1466" s="500" t="e">
        <f>_xlfn.XLOOKUP(H1466,#REF!,#REF!,0,0)</f>
        <v>#REF!</v>
      </c>
    </row>
    <row r="1467" spans="1:20" x14ac:dyDescent="0.4">
      <c r="A1467" s="134" t="s">
        <v>570</v>
      </c>
      <c r="B1467" s="134" t="s">
        <v>5064</v>
      </c>
      <c r="C1467" s="134"/>
      <c r="D1467" s="134"/>
      <c r="E1467" s="18" t="s">
        <v>8</v>
      </c>
      <c r="F1467" s="10">
        <v>41478</v>
      </c>
      <c r="G1467" s="18" t="s">
        <v>5065</v>
      </c>
      <c r="H1467" s="18">
        <v>58286</v>
      </c>
      <c r="I1467" s="134" t="s">
        <v>5066</v>
      </c>
      <c r="J1467" s="134" t="s">
        <v>5067</v>
      </c>
      <c r="K1467" s="18" t="s">
        <v>570</v>
      </c>
      <c r="L1467" s="134" t="s">
        <v>570</v>
      </c>
      <c r="M1467" s="134" t="s">
        <v>570</v>
      </c>
      <c r="N1467" s="134" t="s">
        <v>570</v>
      </c>
      <c r="O1467" s="134" t="s">
        <v>570</v>
      </c>
      <c r="P1467" s="449"/>
      <c r="Q1467" s="26"/>
      <c r="R1467" s="26"/>
      <c r="S1467" s="26"/>
      <c r="T1467" s="500" t="e">
        <f>_xlfn.XLOOKUP(H1467,#REF!,#REF!,0,0)</f>
        <v>#REF!</v>
      </c>
    </row>
    <row r="1468" spans="1:20" x14ac:dyDescent="0.4">
      <c r="A1468" s="134" t="s">
        <v>570</v>
      </c>
      <c r="B1468" s="134" t="s">
        <v>5068</v>
      </c>
      <c r="C1468" s="134"/>
      <c r="D1468" s="134"/>
      <c r="E1468" s="18" t="s">
        <v>8</v>
      </c>
      <c r="F1468" s="10">
        <v>41478</v>
      </c>
      <c r="G1468" s="18" t="s">
        <v>5069</v>
      </c>
      <c r="H1468" s="18">
        <v>58287</v>
      </c>
      <c r="I1468" s="134" t="s">
        <v>5070</v>
      </c>
      <c r="J1468" s="134" t="s">
        <v>5071</v>
      </c>
      <c r="K1468" s="18" t="s">
        <v>570</v>
      </c>
      <c r="L1468" s="134" t="s">
        <v>570</v>
      </c>
      <c r="M1468" s="134" t="s">
        <v>570</v>
      </c>
      <c r="N1468" s="134" t="s">
        <v>570</v>
      </c>
      <c r="O1468" s="134" t="s">
        <v>570</v>
      </c>
      <c r="P1468" s="449"/>
      <c r="Q1468" s="26"/>
      <c r="R1468" s="26"/>
      <c r="S1468" s="26"/>
      <c r="T1468" s="500" t="e">
        <f>_xlfn.XLOOKUP(H1468,#REF!,#REF!,0,0)</f>
        <v>#REF!</v>
      </c>
    </row>
    <row r="1469" spans="1:20" x14ac:dyDescent="0.4">
      <c r="A1469" s="134" t="s">
        <v>570</v>
      </c>
      <c r="B1469" s="134" t="s">
        <v>5044</v>
      </c>
      <c r="C1469" s="134"/>
      <c r="D1469" s="134"/>
      <c r="E1469" s="18" t="s">
        <v>8</v>
      </c>
      <c r="F1469" s="10">
        <v>41478</v>
      </c>
      <c r="G1469" s="18" t="s">
        <v>5072</v>
      </c>
      <c r="H1469" s="18">
        <v>58288</v>
      </c>
      <c r="I1469" s="134" t="s">
        <v>5073</v>
      </c>
      <c r="J1469" s="134" t="s">
        <v>5074</v>
      </c>
      <c r="K1469" s="18" t="s">
        <v>570</v>
      </c>
      <c r="L1469" s="134" t="s">
        <v>570</v>
      </c>
      <c r="M1469" s="134" t="s">
        <v>570</v>
      </c>
      <c r="N1469" s="134" t="s">
        <v>570</v>
      </c>
      <c r="O1469" s="134" t="s">
        <v>570</v>
      </c>
      <c r="P1469" s="449"/>
      <c r="Q1469" s="26"/>
      <c r="R1469" s="26"/>
      <c r="S1469" s="26"/>
      <c r="T1469" s="500" t="e">
        <f>_xlfn.XLOOKUP(H1469,#REF!,#REF!,0,0)</f>
        <v>#REF!</v>
      </c>
    </row>
    <row r="1470" spans="1:20" x14ac:dyDescent="0.4">
      <c r="A1470" s="134"/>
      <c r="B1470" s="135" t="s">
        <v>5075</v>
      </c>
      <c r="C1470" s="135"/>
      <c r="D1470" s="135"/>
      <c r="E1470" s="19" t="s">
        <v>5076</v>
      </c>
      <c r="F1470" s="20">
        <v>41215</v>
      </c>
      <c r="G1470" s="19" t="s">
        <v>5077</v>
      </c>
      <c r="H1470" s="19" t="s">
        <v>5078</v>
      </c>
      <c r="I1470" s="135"/>
      <c r="J1470" s="134" t="s">
        <v>5079</v>
      </c>
      <c r="K1470" s="18" t="s">
        <v>570</v>
      </c>
      <c r="L1470" s="134" t="s">
        <v>570</v>
      </c>
      <c r="M1470" s="134" t="s">
        <v>570</v>
      </c>
      <c r="N1470" s="134" t="s">
        <v>570</v>
      </c>
      <c r="O1470" s="134" t="s">
        <v>570</v>
      </c>
      <c r="P1470" s="449"/>
      <c r="Q1470" s="26"/>
      <c r="R1470" s="26"/>
      <c r="S1470" s="26"/>
      <c r="T1470" s="500" t="e">
        <f>_xlfn.XLOOKUP(H1470,#REF!,#REF!,0,0)</f>
        <v>#REF!</v>
      </c>
    </row>
    <row r="1471" spans="1:20" x14ac:dyDescent="0.4">
      <c r="A1471" s="134"/>
      <c r="B1471" s="135" t="s">
        <v>5080</v>
      </c>
      <c r="C1471" s="135"/>
      <c r="D1471" s="135"/>
      <c r="E1471" s="19" t="s">
        <v>5076</v>
      </c>
      <c r="F1471" s="20">
        <v>41215</v>
      </c>
      <c r="G1471" s="19" t="s">
        <v>5081</v>
      </c>
      <c r="H1471" s="19" t="s">
        <v>5082</v>
      </c>
      <c r="I1471" s="135"/>
      <c r="J1471" s="134" t="s">
        <v>5083</v>
      </c>
      <c r="K1471" s="18" t="s">
        <v>570</v>
      </c>
      <c r="L1471" s="134" t="s">
        <v>570</v>
      </c>
      <c r="M1471" s="134" t="s">
        <v>570</v>
      </c>
      <c r="N1471" s="134" t="s">
        <v>570</v>
      </c>
      <c r="O1471" s="134" t="s">
        <v>570</v>
      </c>
      <c r="P1471" s="449"/>
      <c r="Q1471" s="26"/>
      <c r="R1471" s="26"/>
      <c r="S1471" s="26"/>
      <c r="T1471" s="500" t="e">
        <f>_xlfn.XLOOKUP(H1471,#REF!,#REF!,0,0)</f>
        <v>#REF!</v>
      </c>
    </row>
    <row r="1472" spans="1:20" x14ac:dyDescent="0.4">
      <c r="A1472" s="134"/>
      <c r="B1472" s="135" t="s">
        <v>5084</v>
      </c>
      <c r="C1472" s="135"/>
      <c r="D1472" s="135"/>
      <c r="E1472" s="19" t="s">
        <v>5076</v>
      </c>
      <c r="F1472" s="20">
        <v>41215</v>
      </c>
      <c r="G1472" s="19" t="s">
        <v>5085</v>
      </c>
      <c r="H1472" s="19" t="s">
        <v>5086</v>
      </c>
      <c r="I1472" s="135"/>
      <c r="J1472" s="134" t="s">
        <v>5087</v>
      </c>
      <c r="K1472" s="18" t="s">
        <v>570</v>
      </c>
      <c r="L1472" s="134" t="s">
        <v>570</v>
      </c>
      <c r="M1472" s="134" t="s">
        <v>570</v>
      </c>
      <c r="N1472" s="134" t="s">
        <v>570</v>
      </c>
      <c r="O1472" s="134" t="s">
        <v>570</v>
      </c>
      <c r="P1472" s="449"/>
      <c r="Q1472" s="26"/>
      <c r="R1472" s="26"/>
      <c r="S1472" s="26"/>
      <c r="T1472" s="500" t="e">
        <f>_xlfn.XLOOKUP(H1472,#REF!,#REF!,0,0)</f>
        <v>#REF!</v>
      </c>
    </row>
    <row r="1473" spans="1:20" x14ac:dyDescent="0.4">
      <c r="A1473" s="134"/>
      <c r="B1473" s="135" t="s">
        <v>5088</v>
      </c>
      <c r="C1473" s="135"/>
      <c r="D1473" s="135"/>
      <c r="E1473" s="19" t="s">
        <v>5076</v>
      </c>
      <c r="F1473" s="20">
        <v>41215</v>
      </c>
      <c r="G1473" s="19" t="s">
        <v>5089</v>
      </c>
      <c r="H1473" s="19" t="s">
        <v>5090</v>
      </c>
      <c r="I1473" s="135" t="s">
        <v>5091</v>
      </c>
      <c r="J1473" s="134" t="s">
        <v>5092</v>
      </c>
      <c r="K1473" s="18" t="s">
        <v>570</v>
      </c>
      <c r="L1473" s="134" t="s">
        <v>570</v>
      </c>
      <c r="M1473" s="134" t="s">
        <v>570</v>
      </c>
      <c r="N1473" s="134" t="s">
        <v>570</v>
      </c>
      <c r="O1473" s="134" t="s">
        <v>570</v>
      </c>
      <c r="P1473" s="449"/>
      <c r="Q1473" s="26"/>
      <c r="R1473" s="26"/>
      <c r="S1473" s="26"/>
      <c r="T1473" s="500" t="e">
        <f>_xlfn.XLOOKUP(H1473,#REF!,#REF!,0,0)</f>
        <v>#REF!</v>
      </c>
    </row>
    <row r="1474" spans="1:20" x14ac:dyDescent="0.4">
      <c r="A1474" s="134"/>
      <c r="B1474" s="135" t="s">
        <v>5088</v>
      </c>
      <c r="C1474" s="135"/>
      <c r="D1474" s="135"/>
      <c r="E1474" s="19" t="s">
        <v>5076</v>
      </c>
      <c r="F1474" s="20">
        <v>41215</v>
      </c>
      <c r="G1474" s="19" t="s">
        <v>5093</v>
      </c>
      <c r="H1474" s="19" t="s">
        <v>5094</v>
      </c>
      <c r="I1474" s="135" t="s">
        <v>5095</v>
      </c>
      <c r="J1474" s="134" t="s">
        <v>5096</v>
      </c>
      <c r="K1474" s="18" t="s">
        <v>570</v>
      </c>
      <c r="L1474" s="134" t="s">
        <v>570</v>
      </c>
      <c r="M1474" s="134" t="s">
        <v>570</v>
      </c>
      <c r="N1474" s="134" t="s">
        <v>570</v>
      </c>
      <c r="O1474" s="134" t="s">
        <v>570</v>
      </c>
      <c r="P1474" s="449"/>
      <c r="Q1474" s="26"/>
      <c r="R1474" s="26"/>
      <c r="S1474" s="26"/>
      <c r="T1474" s="500" t="e">
        <f>_xlfn.XLOOKUP(H1474,#REF!,#REF!,0,0)</f>
        <v>#REF!</v>
      </c>
    </row>
    <row r="1475" spans="1:20" x14ac:dyDescent="0.4">
      <c r="A1475" s="134"/>
      <c r="B1475" s="135" t="s">
        <v>5097</v>
      </c>
      <c r="C1475" s="135"/>
      <c r="D1475" s="135"/>
      <c r="E1475" s="19" t="s">
        <v>5076</v>
      </c>
      <c r="F1475" s="20">
        <v>41215</v>
      </c>
      <c r="G1475" s="19" t="s">
        <v>5098</v>
      </c>
      <c r="H1475" s="19" t="s">
        <v>5099</v>
      </c>
      <c r="I1475" s="135" t="s">
        <v>5100</v>
      </c>
      <c r="J1475" s="134" t="s">
        <v>5101</v>
      </c>
      <c r="K1475" s="18" t="s">
        <v>570</v>
      </c>
      <c r="L1475" s="134" t="s">
        <v>570</v>
      </c>
      <c r="M1475" s="134" t="s">
        <v>570</v>
      </c>
      <c r="N1475" s="134" t="s">
        <v>570</v>
      </c>
      <c r="O1475" s="134" t="s">
        <v>570</v>
      </c>
      <c r="P1475" s="449"/>
      <c r="Q1475" s="26"/>
      <c r="R1475" s="26"/>
      <c r="S1475" s="26"/>
      <c r="T1475" s="500" t="e">
        <f>_xlfn.XLOOKUP(H1475,#REF!,#REF!,0,0)</f>
        <v>#REF!</v>
      </c>
    </row>
    <row r="1476" spans="1:20" x14ac:dyDescent="0.4">
      <c r="A1476" s="134" t="s">
        <v>570</v>
      </c>
      <c r="B1476" s="135" t="s">
        <v>5102</v>
      </c>
      <c r="C1476" s="135"/>
      <c r="D1476" s="135"/>
      <c r="E1476" s="19" t="s">
        <v>5076</v>
      </c>
      <c r="F1476" s="20">
        <v>41215</v>
      </c>
      <c r="G1476" s="19" t="s">
        <v>5103</v>
      </c>
      <c r="H1476" s="19" t="s">
        <v>5104</v>
      </c>
      <c r="I1476" s="135" t="s">
        <v>5105</v>
      </c>
      <c r="J1476" s="134" t="s">
        <v>5106</v>
      </c>
      <c r="K1476" s="18" t="s">
        <v>570</v>
      </c>
      <c r="L1476" s="134" t="s">
        <v>570</v>
      </c>
      <c r="M1476" s="134" t="s">
        <v>570</v>
      </c>
      <c r="N1476" s="134" t="s">
        <v>570</v>
      </c>
      <c r="O1476" s="134" t="s">
        <v>570</v>
      </c>
      <c r="P1476" s="449"/>
      <c r="Q1476" s="26"/>
      <c r="R1476" s="26"/>
      <c r="S1476" s="26"/>
      <c r="T1476" s="500" t="e">
        <f>_xlfn.XLOOKUP(H1476,#REF!,#REF!,0,0)</f>
        <v>#REF!</v>
      </c>
    </row>
    <row r="1477" spans="1:20" x14ac:dyDescent="0.4">
      <c r="A1477" s="134" t="s">
        <v>570</v>
      </c>
      <c r="B1477" s="135" t="s">
        <v>5102</v>
      </c>
      <c r="C1477" s="135"/>
      <c r="D1477" s="135"/>
      <c r="E1477" s="19" t="s">
        <v>5076</v>
      </c>
      <c r="F1477" s="20">
        <v>41215</v>
      </c>
      <c r="G1477" s="19" t="s">
        <v>5107</v>
      </c>
      <c r="H1477" s="19" t="s">
        <v>5108</v>
      </c>
      <c r="I1477" s="135" t="s">
        <v>5109</v>
      </c>
      <c r="J1477" s="134" t="s">
        <v>5110</v>
      </c>
      <c r="K1477" s="18" t="s">
        <v>570</v>
      </c>
      <c r="L1477" s="134" t="s">
        <v>570</v>
      </c>
      <c r="M1477" s="134" t="s">
        <v>570</v>
      </c>
      <c r="N1477" s="134" t="s">
        <v>570</v>
      </c>
      <c r="O1477" s="134" t="s">
        <v>570</v>
      </c>
      <c r="P1477" s="449"/>
      <c r="Q1477" s="26"/>
      <c r="R1477" s="26"/>
      <c r="S1477" s="26"/>
      <c r="T1477" s="500" t="e">
        <f>_xlfn.XLOOKUP(H1477,#REF!,#REF!,0,0)</f>
        <v>#REF!</v>
      </c>
    </row>
    <row r="1478" spans="1:20" x14ac:dyDescent="0.4">
      <c r="A1478" s="134" t="s">
        <v>570</v>
      </c>
      <c r="B1478" s="135" t="s">
        <v>5111</v>
      </c>
      <c r="C1478" s="135"/>
      <c r="D1478" s="135"/>
      <c r="E1478" s="19" t="s">
        <v>5076</v>
      </c>
      <c r="F1478" s="20">
        <v>41215</v>
      </c>
      <c r="G1478" s="19" t="s">
        <v>5112</v>
      </c>
      <c r="H1478" s="19" t="s">
        <v>5113</v>
      </c>
      <c r="I1478" s="135" t="s">
        <v>5114</v>
      </c>
      <c r="J1478" s="134" t="s">
        <v>5115</v>
      </c>
      <c r="K1478" s="18" t="s">
        <v>570</v>
      </c>
      <c r="L1478" s="134" t="s">
        <v>570</v>
      </c>
      <c r="M1478" s="134" t="s">
        <v>570</v>
      </c>
      <c r="N1478" s="134" t="s">
        <v>570</v>
      </c>
      <c r="O1478" s="134" t="s">
        <v>570</v>
      </c>
      <c r="P1478" s="449"/>
      <c r="Q1478" s="26"/>
      <c r="R1478" s="26"/>
      <c r="S1478" s="26"/>
      <c r="T1478" s="500" t="e">
        <f>_xlfn.XLOOKUP(H1478,#REF!,#REF!,0,0)</f>
        <v>#REF!</v>
      </c>
    </row>
    <row r="1479" spans="1:20" x14ac:dyDescent="0.4">
      <c r="A1479" s="134" t="s">
        <v>570</v>
      </c>
      <c r="B1479" s="135" t="s">
        <v>5111</v>
      </c>
      <c r="C1479" s="135"/>
      <c r="D1479" s="135"/>
      <c r="E1479" s="19" t="s">
        <v>5076</v>
      </c>
      <c r="F1479" s="20">
        <v>41215</v>
      </c>
      <c r="G1479" s="19" t="s">
        <v>5116</v>
      </c>
      <c r="H1479" s="19" t="s">
        <v>5117</v>
      </c>
      <c r="I1479" s="135" t="s">
        <v>5118</v>
      </c>
      <c r="J1479" s="134" t="s">
        <v>5119</v>
      </c>
      <c r="K1479" s="18" t="s">
        <v>570</v>
      </c>
      <c r="L1479" s="134" t="s">
        <v>570</v>
      </c>
      <c r="M1479" s="134" t="s">
        <v>570</v>
      </c>
      <c r="N1479" s="134" t="s">
        <v>570</v>
      </c>
      <c r="O1479" s="134" t="s">
        <v>570</v>
      </c>
      <c r="P1479" s="449"/>
      <c r="Q1479" s="26"/>
      <c r="R1479" s="26"/>
      <c r="S1479" s="26"/>
      <c r="T1479" s="500" t="e">
        <f>_xlfn.XLOOKUP(H1479,#REF!,#REF!,0,0)</f>
        <v>#REF!</v>
      </c>
    </row>
    <row r="1480" spans="1:20" x14ac:dyDescent="0.4">
      <c r="A1480" s="134"/>
      <c r="B1480" s="135" t="s">
        <v>5120</v>
      </c>
      <c r="C1480" s="135"/>
      <c r="D1480" s="135"/>
      <c r="E1480" s="19" t="s">
        <v>5121</v>
      </c>
      <c r="F1480" s="20">
        <v>41276</v>
      </c>
      <c r="G1480" s="19" t="s">
        <v>5122</v>
      </c>
      <c r="H1480" s="19" t="s">
        <v>5123</v>
      </c>
      <c r="I1480" s="135" t="s">
        <v>5124</v>
      </c>
      <c r="J1480" s="134" t="s">
        <v>5125</v>
      </c>
      <c r="K1480" s="18" t="s">
        <v>570</v>
      </c>
      <c r="L1480" s="134" t="s">
        <v>570</v>
      </c>
      <c r="M1480" s="134" t="s">
        <v>570</v>
      </c>
      <c r="N1480" s="134" t="s">
        <v>570</v>
      </c>
      <c r="O1480" s="134" t="s">
        <v>570</v>
      </c>
      <c r="P1480" s="449"/>
      <c r="Q1480" s="26"/>
      <c r="R1480" s="26"/>
      <c r="S1480" s="26"/>
      <c r="T1480" s="500" t="e">
        <f>_xlfn.XLOOKUP(H1480,#REF!,#REF!,0,0)</f>
        <v>#REF!</v>
      </c>
    </row>
    <row r="1481" spans="1:20" x14ac:dyDescent="0.4">
      <c r="A1481" s="134" t="s">
        <v>570</v>
      </c>
      <c r="B1481" s="135" t="s">
        <v>5126</v>
      </c>
      <c r="C1481" s="135"/>
      <c r="D1481" s="135"/>
      <c r="E1481" s="19" t="s">
        <v>5121</v>
      </c>
      <c r="F1481" s="20">
        <v>41276</v>
      </c>
      <c r="G1481" s="19" t="s">
        <v>5127</v>
      </c>
      <c r="H1481" s="19" t="s">
        <v>5128</v>
      </c>
      <c r="I1481" s="135" t="s">
        <v>5129</v>
      </c>
      <c r="J1481" s="134" t="s">
        <v>5130</v>
      </c>
      <c r="K1481" s="18" t="s">
        <v>570</v>
      </c>
      <c r="L1481" s="134" t="s">
        <v>570</v>
      </c>
      <c r="M1481" s="134" t="s">
        <v>570</v>
      </c>
      <c r="N1481" s="134" t="s">
        <v>570</v>
      </c>
      <c r="O1481" s="134" t="s">
        <v>570</v>
      </c>
      <c r="P1481" s="449"/>
      <c r="Q1481" s="26"/>
      <c r="R1481" s="26"/>
      <c r="S1481" s="26"/>
      <c r="T1481" s="500" t="e">
        <f>_xlfn.XLOOKUP(H1481,#REF!,#REF!,0,0)</f>
        <v>#REF!</v>
      </c>
    </row>
    <row r="1482" spans="1:20" x14ac:dyDescent="0.4">
      <c r="A1482" s="134" t="s">
        <v>570</v>
      </c>
      <c r="B1482" s="135" t="s">
        <v>5131</v>
      </c>
      <c r="C1482" s="135"/>
      <c r="D1482" s="135"/>
      <c r="E1482" s="19" t="s">
        <v>5121</v>
      </c>
      <c r="F1482" s="20">
        <v>41276</v>
      </c>
      <c r="G1482" s="19" t="s">
        <v>5132</v>
      </c>
      <c r="H1482" s="19" t="s">
        <v>5133</v>
      </c>
      <c r="I1482" s="135" t="s">
        <v>5134</v>
      </c>
      <c r="J1482" s="134" t="s">
        <v>5135</v>
      </c>
      <c r="K1482" s="18" t="s">
        <v>570</v>
      </c>
      <c r="L1482" s="134" t="s">
        <v>570</v>
      </c>
      <c r="M1482" s="134" t="s">
        <v>570</v>
      </c>
      <c r="N1482" s="134" t="s">
        <v>570</v>
      </c>
      <c r="O1482" s="134" t="s">
        <v>570</v>
      </c>
      <c r="P1482" s="449"/>
      <c r="Q1482" s="26"/>
      <c r="R1482" s="26"/>
      <c r="S1482" s="26"/>
      <c r="T1482" s="500" t="e">
        <f>_xlfn.XLOOKUP(H1482,#REF!,#REF!,0,0)</f>
        <v>#REF!</v>
      </c>
    </row>
    <row r="1483" spans="1:20" x14ac:dyDescent="0.4">
      <c r="A1483" s="134" t="s">
        <v>570</v>
      </c>
      <c r="B1483" s="135" t="s">
        <v>5136</v>
      </c>
      <c r="C1483" s="135"/>
      <c r="D1483" s="135"/>
      <c r="E1483" s="19" t="s">
        <v>5121</v>
      </c>
      <c r="F1483" s="20">
        <v>41276</v>
      </c>
      <c r="G1483" s="19" t="s">
        <v>5137</v>
      </c>
      <c r="H1483" s="19" t="s">
        <v>5138</v>
      </c>
      <c r="I1483" s="135" t="s">
        <v>5139</v>
      </c>
      <c r="J1483" s="134" t="s">
        <v>5140</v>
      </c>
      <c r="K1483" s="18" t="s">
        <v>570</v>
      </c>
      <c r="L1483" s="134" t="s">
        <v>570</v>
      </c>
      <c r="M1483" s="134" t="s">
        <v>570</v>
      </c>
      <c r="N1483" s="134" t="s">
        <v>570</v>
      </c>
      <c r="O1483" s="134" t="s">
        <v>570</v>
      </c>
      <c r="P1483" s="449"/>
      <c r="Q1483" s="26"/>
      <c r="R1483" s="26"/>
      <c r="S1483" s="26"/>
      <c r="T1483" s="500" t="e">
        <f>_xlfn.XLOOKUP(H1483,#REF!,#REF!,0,0)</f>
        <v>#REF!</v>
      </c>
    </row>
    <row r="1484" spans="1:20" x14ac:dyDescent="0.4">
      <c r="A1484" s="134" t="s">
        <v>570</v>
      </c>
      <c r="B1484" s="135" t="s">
        <v>5131</v>
      </c>
      <c r="C1484" s="135"/>
      <c r="D1484" s="135"/>
      <c r="E1484" s="19" t="s">
        <v>5121</v>
      </c>
      <c r="F1484" s="20">
        <v>41276</v>
      </c>
      <c r="G1484" s="19" t="s">
        <v>5141</v>
      </c>
      <c r="H1484" s="19" t="s">
        <v>5142</v>
      </c>
      <c r="I1484" s="135" t="s">
        <v>5143</v>
      </c>
      <c r="J1484" s="134" t="s">
        <v>5144</v>
      </c>
      <c r="K1484" s="18" t="s">
        <v>570</v>
      </c>
      <c r="L1484" s="134" t="s">
        <v>570</v>
      </c>
      <c r="M1484" s="134" t="s">
        <v>570</v>
      </c>
      <c r="N1484" s="134" t="s">
        <v>570</v>
      </c>
      <c r="O1484" s="134" t="s">
        <v>570</v>
      </c>
      <c r="P1484" s="449"/>
      <c r="Q1484" s="26"/>
      <c r="R1484" s="26"/>
      <c r="S1484" s="26"/>
      <c r="T1484" s="500" t="e">
        <f>_xlfn.XLOOKUP(H1484,#REF!,#REF!,0,0)</f>
        <v>#REF!</v>
      </c>
    </row>
    <row r="1485" spans="1:20" x14ac:dyDescent="0.4">
      <c r="A1485" s="134"/>
      <c r="B1485" s="135" t="s">
        <v>5145</v>
      </c>
      <c r="C1485" s="135"/>
      <c r="D1485" s="135"/>
      <c r="E1485" s="19" t="s">
        <v>5121</v>
      </c>
      <c r="F1485" s="20">
        <v>41428</v>
      </c>
      <c r="G1485" s="19" t="s">
        <v>5146</v>
      </c>
      <c r="H1485" s="19">
        <v>58176</v>
      </c>
      <c r="I1485" s="135" t="s">
        <v>5147</v>
      </c>
      <c r="J1485" s="134" t="s">
        <v>5148</v>
      </c>
      <c r="K1485" s="18" t="s">
        <v>570</v>
      </c>
      <c r="L1485" s="134" t="s">
        <v>570</v>
      </c>
      <c r="M1485" s="134" t="s">
        <v>570</v>
      </c>
      <c r="N1485" s="134" t="s">
        <v>570</v>
      </c>
      <c r="O1485" s="134" t="s">
        <v>570</v>
      </c>
      <c r="P1485" s="449"/>
      <c r="Q1485" s="26"/>
      <c r="R1485" s="26"/>
      <c r="S1485" s="26"/>
      <c r="T1485" s="500" t="e">
        <f>_xlfn.XLOOKUP(H1485,#REF!,#REF!,0,0)</f>
        <v>#REF!</v>
      </c>
    </row>
    <row r="1486" spans="1:20" x14ac:dyDescent="0.4">
      <c r="A1486" s="134"/>
      <c r="B1486" s="135" t="s">
        <v>5149</v>
      </c>
      <c r="C1486" s="135"/>
      <c r="D1486" s="135"/>
      <c r="E1486" s="19" t="s">
        <v>5121</v>
      </c>
      <c r="F1486" s="20">
        <v>41428</v>
      </c>
      <c r="G1486" s="19" t="s">
        <v>5150</v>
      </c>
      <c r="H1486" s="19">
        <v>58177</v>
      </c>
      <c r="I1486" s="135" t="s">
        <v>5151</v>
      </c>
      <c r="J1486" s="134" t="s">
        <v>5152</v>
      </c>
      <c r="K1486" s="18" t="s">
        <v>570</v>
      </c>
      <c r="L1486" s="135" t="s">
        <v>570</v>
      </c>
      <c r="M1486" s="135" t="s">
        <v>570</v>
      </c>
      <c r="N1486" s="135" t="s">
        <v>570</v>
      </c>
      <c r="O1486" s="135" t="s">
        <v>570</v>
      </c>
      <c r="P1486" s="449"/>
      <c r="Q1486" s="26"/>
      <c r="R1486" s="26"/>
      <c r="S1486" s="26"/>
      <c r="T1486" s="500" t="e">
        <f>_xlfn.XLOOKUP(H1486,#REF!,#REF!,0,0)</f>
        <v>#REF!</v>
      </c>
    </row>
    <row r="1487" spans="1:20" x14ac:dyDescent="0.4">
      <c r="A1487" s="134"/>
      <c r="B1487" s="135"/>
      <c r="C1487" s="135"/>
      <c r="D1487" s="135"/>
      <c r="E1487" s="19" t="s">
        <v>5076</v>
      </c>
      <c r="F1487" s="20"/>
      <c r="G1487" s="19"/>
      <c r="H1487" s="19"/>
      <c r="I1487" s="135" t="s">
        <v>5153</v>
      </c>
      <c r="J1487" s="134"/>
      <c r="K1487" s="18"/>
      <c r="L1487" s="135" t="s">
        <v>570</v>
      </c>
      <c r="M1487" s="135" t="s">
        <v>570</v>
      </c>
      <c r="N1487" s="135" t="s">
        <v>570</v>
      </c>
      <c r="O1487" s="135" t="s">
        <v>570</v>
      </c>
      <c r="P1487" s="449"/>
      <c r="Q1487" s="26"/>
      <c r="R1487" s="26"/>
      <c r="S1487" s="26"/>
      <c r="T1487" s="500" t="e">
        <f>_xlfn.XLOOKUP(H1487,#REF!,#REF!,0,0)</f>
        <v>#REF!</v>
      </c>
    </row>
    <row r="1488" spans="1:20" x14ac:dyDescent="0.4">
      <c r="A1488" s="135" t="s">
        <v>5154</v>
      </c>
      <c r="B1488" s="135" t="s">
        <v>817</v>
      </c>
      <c r="C1488" s="135"/>
      <c r="D1488" s="135" t="s">
        <v>334</v>
      </c>
      <c r="E1488" s="19">
        <v>41953</v>
      </c>
      <c r="F1488" s="20">
        <v>59447</v>
      </c>
      <c r="G1488" s="19">
        <v>59447</v>
      </c>
      <c r="H1488" s="19" t="s">
        <v>3718</v>
      </c>
      <c r="I1488" s="135" t="s">
        <v>5155</v>
      </c>
      <c r="J1488" s="135" t="s">
        <v>3718</v>
      </c>
      <c r="K1488" s="19" t="s">
        <v>570</v>
      </c>
      <c r="L1488" s="135" t="s">
        <v>570</v>
      </c>
      <c r="M1488" s="135" t="s">
        <v>570</v>
      </c>
      <c r="N1488" s="135" t="s">
        <v>570</v>
      </c>
      <c r="O1488" s="135" t="s">
        <v>570</v>
      </c>
      <c r="P1488" s="449"/>
      <c r="Q1488" s="26"/>
      <c r="R1488" s="26"/>
      <c r="S1488" s="26"/>
      <c r="T1488" s="500" t="e">
        <f>_xlfn.XLOOKUP(H1488,#REF!,#REF!,0,0)</f>
        <v>#REF!</v>
      </c>
    </row>
    <row r="1489" spans="1:20" x14ac:dyDescent="0.4">
      <c r="A1489" s="135" t="s">
        <v>5156</v>
      </c>
      <c r="B1489" s="135" t="s">
        <v>817</v>
      </c>
      <c r="C1489" s="135"/>
      <c r="D1489" s="135" t="s">
        <v>334</v>
      </c>
      <c r="E1489" s="19">
        <v>41953</v>
      </c>
      <c r="F1489" s="20">
        <v>59448</v>
      </c>
      <c r="G1489" s="19">
        <v>59448</v>
      </c>
      <c r="H1489" s="19" t="s">
        <v>3718</v>
      </c>
      <c r="I1489" s="135" t="s">
        <v>5157</v>
      </c>
      <c r="J1489" s="135" t="s">
        <v>3718</v>
      </c>
      <c r="K1489" s="19" t="s">
        <v>570</v>
      </c>
      <c r="L1489" s="135" t="s">
        <v>570</v>
      </c>
      <c r="M1489" s="135" t="s">
        <v>570</v>
      </c>
      <c r="N1489" s="135" t="s">
        <v>570</v>
      </c>
      <c r="O1489" s="135" t="s">
        <v>570</v>
      </c>
      <c r="P1489" s="449"/>
      <c r="Q1489" s="26"/>
      <c r="R1489" s="26"/>
      <c r="S1489" s="26"/>
      <c r="T1489" s="500" t="e">
        <f>_xlfn.XLOOKUP(H1489,#REF!,#REF!,0,0)</f>
        <v>#REF!</v>
      </c>
    </row>
    <row r="1490" spans="1:20" x14ac:dyDescent="0.4">
      <c r="A1490" s="135" t="s">
        <v>3214</v>
      </c>
      <c r="B1490" s="135" t="s">
        <v>817</v>
      </c>
      <c r="C1490" s="135"/>
      <c r="D1490" s="135" t="s">
        <v>334</v>
      </c>
      <c r="E1490" s="19">
        <v>41953</v>
      </c>
      <c r="F1490" s="20">
        <v>59449</v>
      </c>
      <c r="G1490" s="19">
        <v>59449</v>
      </c>
      <c r="H1490" s="19" t="s">
        <v>3718</v>
      </c>
      <c r="I1490" s="135" t="s">
        <v>5158</v>
      </c>
      <c r="J1490" s="135" t="s">
        <v>3718</v>
      </c>
      <c r="K1490" s="19" t="s">
        <v>570</v>
      </c>
      <c r="L1490" s="135" t="s">
        <v>570</v>
      </c>
      <c r="M1490" s="135" t="s">
        <v>570</v>
      </c>
      <c r="N1490" s="135" t="s">
        <v>570</v>
      </c>
      <c r="O1490" s="135" t="s">
        <v>570</v>
      </c>
      <c r="P1490" s="449"/>
      <c r="Q1490" s="26"/>
      <c r="R1490" s="26"/>
      <c r="S1490" s="26"/>
      <c r="T1490" s="500" t="e">
        <f>_xlfn.XLOOKUP(H1490,#REF!,#REF!,0,0)</f>
        <v>#REF!</v>
      </c>
    </row>
    <row r="1491" spans="1:20" x14ac:dyDescent="0.4">
      <c r="A1491" s="135" t="s">
        <v>5159</v>
      </c>
      <c r="B1491" s="135" t="s">
        <v>817</v>
      </c>
      <c r="C1491" s="135"/>
      <c r="D1491" s="135" t="s">
        <v>334</v>
      </c>
      <c r="E1491" s="19">
        <v>41953</v>
      </c>
      <c r="F1491" s="20">
        <v>59450</v>
      </c>
      <c r="G1491" s="19">
        <v>59450</v>
      </c>
      <c r="H1491" s="19" t="s">
        <v>3718</v>
      </c>
      <c r="I1491" s="135" t="s">
        <v>5160</v>
      </c>
      <c r="J1491" s="135" t="s">
        <v>3718</v>
      </c>
      <c r="K1491" s="19" t="s">
        <v>570</v>
      </c>
      <c r="L1491" s="135" t="s">
        <v>570</v>
      </c>
      <c r="M1491" s="135" t="s">
        <v>570</v>
      </c>
      <c r="N1491" s="135" t="s">
        <v>570</v>
      </c>
      <c r="O1491" s="135" t="s">
        <v>570</v>
      </c>
      <c r="P1491" s="449"/>
      <c r="Q1491" s="26"/>
      <c r="R1491" s="26"/>
      <c r="S1491" s="26"/>
      <c r="T1491" s="500" t="e">
        <f>_xlfn.XLOOKUP(H1491,#REF!,#REF!,0,0)</f>
        <v>#REF!</v>
      </c>
    </row>
    <row r="1492" spans="1:20" x14ac:dyDescent="0.4">
      <c r="A1492" s="135" t="s">
        <v>5161</v>
      </c>
      <c r="B1492" s="135" t="s">
        <v>817</v>
      </c>
      <c r="C1492" s="135"/>
      <c r="D1492" s="135" t="s">
        <v>334</v>
      </c>
      <c r="E1492" s="19">
        <v>41991</v>
      </c>
      <c r="F1492" s="20">
        <v>59493</v>
      </c>
      <c r="G1492" s="19">
        <v>59493</v>
      </c>
      <c r="H1492" s="19" t="s">
        <v>3718</v>
      </c>
      <c r="I1492" s="135" t="s">
        <v>5162</v>
      </c>
      <c r="J1492" s="135" t="s">
        <v>3718</v>
      </c>
      <c r="K1492" s="19" t="s">
        <v>570</v>
      </c>
      <c r="L1492" s="135" t="s">
        <v>570</v>
      </c>
      <c r="M1492" s="135" t="s">
        <v>570</v>
      </c>
      <c r="N1492" s="135" t="s">
        <v>570</v>
      </c>
      <c r="O1492" s="135" t="s">
        <v>570</v>
      </c>
      <c r="P1492" s="449"/>
      <c r="Q1492" s="26"/>
      <c r="R1492" s="26"/>
      <c r="S1492" s="26"/>
      <c r="T1492" s="500" t="e">
        <f>_xlfn.XLOOKUP(H1492,#REF!,#REF!,0,0)</f>
        <v>#REF!</v>
      </c>
    </row>
    <row r="1493" spans="1:20" s="302" customFormat="1" x14ac:dyDescent="0.4">
      <c r="A1493" s="19" t="s">
        <v>5163</v>
      </c>
      <c r="B1493" s="19" t="s">
        <v>5164</v>
      </c>
      <c r="C1493" s="19"/>
      <c r="D1493" s="19" t="s">
        <v>5165</v>
      </c>
      <c r="E1493" s="19" t="s">
        <v>10</v>
      </c>
      <c r="F1493" s="20" t="s">
        <v>3072</v>
      </c>
      <c r="G1493" s="19">
        <v>44281</v>
      </c>
      <c r="H1493" s="19" t="s">
        <v>5166</v>
      </c>
      <c r="I1493" s="135">
        <v>70739</v>
      </c>
      <c r="J1493" s="19" t="s">
        <v>5167</v>
      </c>
      <c r="K1493" s="19" t="s">
        <v>5168</v>
      </c>
      <c r="L1493" s="19" t="s">
        <v>364</v>
      </c>
      <c r="M1493" s="19" t="s">
        <v>364</v>
      </c>
      <c r="N1493" s="19" t="s">
        <v>364</v>
      </c>
      <c r="O1493" s="19" t="s">
        <v>364</v>
      </c>
      <c r="P1493" s="463" t="s">
        <v>5169</v>
      </c>
      <c r="Q1493" s="135"/>
      <c r="R1493" s="135"/>
      <c r="S1493" s="347"/>
      <c r="T1493" s="512" t="e">
        <f>_xlfn.XLOOKUP(H1493,#REF!,#REF!,0,0)</f>
        <v>#REF!</v>
      </c>
    </row>
    <row r="1494" spans="1:20" s="302" customFormat="1" x14ac:dyDescent="0.4">
      <c r="A1494" s="19" t="s">
        <v>5170</v>
      </c>
      <c r="B1494" s="19" t="s">
        <v>5171</v>
      </c>
      <c r="C1494" s="19"/>
      <c r="D1494" s="19" t="s">
        <v>5172</v>
      </c>
      <c r="E1494" s="19" t="s">
        <v>10</v>
      </c>
      <c r="F1494" s="20" t="s">
        <v>3072</v>
      </c>
      <c r="G1494" s="19">
        <v>44281</v>
      </c>
      <c r="H1494" s="19" t="s">
        <v>5173</v>
      </c>
      <c r="I1494" s="135">
        <v>70740</v>
      </c>
      <c r="J1494" s="19" t="s">
        <v>5174</v>
      </c>
      <c r="K1494" s="19" t="s">
        <v>5175</v>
      </c>
      <c r="L1494" s="19" t="s">
        <v>364</v>
      </c>
      <c r="M1494" s="19" t="s">
        <v>364</v>
      </c>
      <c r="N1494" s="19" t="s">
        <v>364</v>
      </c>
      <c r="O1494" s="19" t="s">
        <v>364</v>
      </c>
      <c r="P1494" s="463" t="s">
        <v>5176</v>
      </c>
      <c r="Q1494" s="135"/>
      <c r="R1494" s="135"/>
      <c r="S1494" s="347"/>
      <c r="T1494" s="512" t="e">
        <f>_xlfn.XLOOKUP(H1494,#REF!,#REF!,0,0)</f>
        <v>#REF!</v>
      </c>
    </row>
    <row r="1495" spans="1:20" s="302" customFormat="1" x14ac:dyDescent="0.4">
      <c r="A1495" s="19" t="s">
        <v>5177</v>
      </c>
      <c r="B1495" s="19" t="s">
        <v>5178</v>
      </c>
      <c r="C1495" s="19"/>
      <c r="D1495" s="19" t="s">
        <v>629</v>
      </c>
      <c r="E1495" s="19" t="s">
        <v>10</v>
      </c>
      <c r="F1495" s="20" t="s">
        <v>5179</v>
      </c>
      <c r="G1495" s="19">
        <v>44281</v>
      </c>
      <c r="H1495" s="19" t="s">
        <v>268</v>
      </c>
      <c r="I1495" s="135">
        <v>70715</v>
      </c>
      <c r="J1495" s="19"/>
      <c r="K1495" s="19">
        <v>44326</v>
      </c>
      <c r="L1495" s="19" t="s">
        <v>364</v>
      </c>
      <c r="M1495" s="19" t="s">
        <v>364</v>
      </c>
      <c r="N1495" s="19" t="s">
        <v>364</v>
      </c>
      <c r="O1495" s="19" t="s">
        <v>364</v>
      </c>
      <c r="P1495" s="463" t="s">
        <v>5180</v>
      </c>
      <c r="Q1495" s="135"/>
      <c r="R1495" s="135"/>
      <c r="S1495" s="347"/>
      <c r="T1495" s="512" t="e">
        <f>_xlfn.XLOOKUP(H1495,#REF!,#REF!,0,0)</f>
        <v>#REF!</v>
      </c>
    </row>
    <row r="1496" spans="1:20" s="302" customFormat="1" x14ac:dyDescent="0.4">
      <c r="A1496" s="19" t="s">
        <v>5181</v>
      </c>
      <c r="B1496" s="19" t="s">
        <v>5182</v>
      </c>
      <c r="C1496" s="19"/>
      <c r="D1496" s="19" t="s">
        <v>5172</v>
      </c>
      <c r="E1496" s="19" t="s">
        <v>10</v>
      </c>
      <c r="F1496" s="20" t="s">
        <v>3072</v>
      </c>
      <c r="G1496" s="19">
        <v>44281</v>
      </c>
      <c r="H1496" s="19" t="s">
        <v>5183</v>
      </c>
      <c r="I1496" s="135">
        <v>70754</v>
      </c>
      <c r="J1496" s="19" t="s">
        <v>5184</v>
      </c>
      <c r="K1496" s="19" t="s">
        <v>5185</v>
      </c>
      <c r="L1496" s="19" t="s">
        <v>364</v>
      </c>
      <c r="M1496" s="19" t="s">
        <v>364</v>
      </c>
      <c r="N1496" s="19" t="s">
        <v>364</v>
      </c>
      <c r="O1496" s="19" t="s">
        <v>364</v>
      </c>
      <c r="P1496" s="463"/>
      <c r="Q1496" s="135"/>
      <c r="R1496" s="135"/>
      <c r="S1496" s="347"/>
      <c r="T1496" s="512" t="e">
        <f>_xlfn.XLOOKUP(H1496,#REF!,#REF!,0,0)</f>
        <v>#REF!</v>
      </c>
    </row>
    <row r="1497" spans="1:20" s="302" customFormat="1" x14ac:dyDescent="0.4">
      <c r="A1497" s="19" t="s">
        <v>5186</v>
      </c>
      <c r="B1497" s="19" t="s">
        <v>5187</v>
      </c>
      <c r="C1497" s="19"/>
      <c r="D1497" s="19" t="s">
        <v>693</v>
      </c>
      <c r="E1497" s="19" t="s">
        <v>10</v>
      </c>
      <c r="F1497" s="20" t="s">
        <v>5179</v>
      </c>
      <c r="G1497" s="19">
        <v>44281</v>
      </c>
      <c r="H1497" s="19" t="s">
        <v>5188</v>
      </c>
      <c r="I1497" s="135">
        <v>70665</v>
      </c>
      <c r="J1497" s="19" t="s">
        <v>5189</v>
      </c>
      <c r="K1497" s="19" t="s">
        <v>5190</v>
      </c>
      <c r="L1497" s="19" t="s">
        <v>364</v>
      </c>
      <c r="M1497" s="19" t="s">
        <v>364</v>
      </c>
      <c r="N1497" s="19" t="s">
        <v>364</v>
      </c>
      <c r="O1497" s="19" t="s">
        <v>364</v>
      </c>
      <c r="P1497" s="463"/>
      <c r="Q1497" s="135"/>
      <c r="R1497" s="135"/>
      <c r="S1497" s="347"/>
      <c r="T1497" s="512" t="e">
        <f>_xlfn.XLOOKUP(H1497,#REF!,#REF!,0,0)</f>
        <v>#REF!</v>
      </c>
    </row>
    <row r="1498" spans="1:20" s="302" customFormat="1" x14ac:dyDescent="0.4">
      <c r="A1498" s="19" t="s">
        <v>5191</v>
      </c>
      <c r="B1498" s="19" t="s">
        <v>5192</v>
      </c>
      <c r="C1498" s="19"/>
      <c r="D1498" s="19" t="s">
        <v>5193</v>
      </c>
      <c r="E1498" s="19" t="s">
        <v>10</v>
      </c>
      <c r="F1498" s="20" t="s">
        <v>3072</v>
      </c>
      <c r="G1498" s="19">
        <v>44281</v>
      </c>
      <c r="H1498" s="19" t="s">
        <v>5194</v>
      </c>
      <c r="I1498" s="135">
        <v>70746</v>
      </c>
      <c r="J1498" s="19" t="s">
        <v>5195</v>
      </c>
      <c r="K1498" s="19" t="s">
        <v>5196</v>
      </c>
      <c r="L1498" s="19" t="s">
        <v>364</v>
      </c>
      <c r="M1498" s="19" t="s">
        <v>364</v>
      </c>
      <c r="N1498" s="19" t="s">
        <v>364</v>
      </c>
      <c r="O1498" s="19" t="s">
        <v>364</v>
      </c>
      <c r="P1498" s="463" t="s">
        <v>5197</v>
      </c>
      <c r="Q1498" s="135"/>
      <c r="R1498" s="135"/>
      <c r="S1498" s="347"/>
      <c r="T1498" s="512" t="e">
        <f>_xlfn.XLOOKUP(H1498,#REF!,#REF!,0,0)</f>
        <v>#REF!</v>
      </c>
    </row>
    <row r="1499" spans="1:20" s="302" customFormat="1" x14ac:dyDescent="0.4">
      <c r="A1499" s="19" t="s">
        <v>5198</v>
      </c>
      <c r="B1499" s="19" t="s">
        <v>5199</v>
      </c>
      <c r="C1499" s="19"/>
      <c r="D1499" s="19" t="s">
        <v>5193</v>
      </c>
      <c r="E1499" s="19" t="s">
        <v>10</v>
      </c>
      <c r="F1499" s="20" t="s">
        <v>5179</v>
      </c>
      <c r="G1499" s="19">
        <v>44281</v>
      </c>
      <c r="H1499" s="19" t="s">
        <v>5200</v>
      </c>
      <c r="I1499" s="135">
        <v>70724</v>
      </c>
      <c r="J1499" s="19" t="s">
        <v>5201</v>
      </c>
      <c r="K1499" s="19" t="s">
        <v>5202</v>
      </c>
      <c r="L1499" s="19" t="s">
        <v>364</v>
      </c>
      <c r="M1499" s="19" t="s">
        <v>364</v>
      </c>
      <c r="N1499" s="19" t="s">
        <v>364</v>
      </c>
      <c r="O1499" s="19" t="s">
        <v>364</v>
      </c>
      <c r="P1499" s="463" t="s">
        <v>5203</v>
      </c>
      <c r="Q1499" s="135"/>
      <c r="R1499" s="135"/>
      <c r="S1499" s="347"/>
      <c r="T1499" s="512" t="e">
        <f>_xlfn.XLOOKUP(H1499,#REF!,#REF!,0,0)</f>
        <v>#REF!</v>
      </c>
    </row>
    <row r="1500" spans="1:20" s="302" customFormat="1" x14ac:dyDescent="0.4">
      <c r="A1500" s="19" t="s">
        <v>5204</v>
      </c>
      <c r="B1500" s="19" t="s">
        <v>5205</v>
      </c>
      <c r="C1500" s="19"/>
      <c r="D1500" s="19" t="s">
        <v>693</v>
      </c>
      <c r="E1500" s="19" t="s">
        <v>10</v>
      </c>
      <c r="F1500" s="20" t="s">
        <v>3072</v>
      </c>
      <c r="G1500" s="19">
        <v>44281</v>
      </c>
      <c r="H1500" s="19" t="s">
        <v>5206</v>
      </c>
      <c r="I1500" s="135">
        <v>70755</v>
      </c>
      <c r="J1500" s="19" t="s">
        <v>5207</v>
      </c>
      <c r="K1500" s="19">
        <v>44335</v>
      </c>
      <c r="L1500" s="19" t="s">
        <v>364</v>
      </c>
      <c r="M1500" s="19" t="s">
        <v>364</v>
      </c>
      <c r="N1500" s="19" t="s">
        <v>364</v>
      </c>
      <c r="O1500" s="19" t="s">
        <v>364</v>
      </c>
      <c r="P1500" s="463"/>
      <c r="Q1500" s="135"/>
      <c r="R1500" s="135"/>
      <c r="S1500" s="347"/>
      <c r="T1500" s="512" t="e">
        <f>_xlfn.XLOOKUP(H1500,#REF!,#REF!,0,0)</f>
        <v>#REF!</v>
      </c>
    </row>
    <row r="1501" spans="1:20" s="302" customFormat="1" x14ac:dyDescent="0.4">
      <c r="A1501" s="19" t="s">
        <v>5208</v>
      </c>
      <c r="B1501" s="19" t="s">
        <v>5209</v>
      </c>
      <c r="C1501" s="19"/>
      <c r="D1501" s="19" t="s">
        <v>5210</v>
      </c>
      <c r="E1501" s="19" t="s">
        <v>10</v>
      </c>
      <c r="F1501" s="20" t="s">
        <v>3072</v>
      </c>
      <c r="G1501" s="19">
        <v>44281</v>
      </c>
      <c r="H1501" s="19" t="s">
        <v>5211</v>
      </c>
      <c r="I1501" s="135">
        <v>70757</v>
      </c>
      <c r="J1501" s="19" t="s">
        <v>5212</v>
      </c>
      <c r="K1501" s="19" t="s">
        <v>5213</v>
      </c>
      <c r="L1501" s="19" t="s">
        <v>364</v>
      </c>
      <c r="M1501" s="19" t="s">
        <v>364</v>
      </c>
      <c r="N1501" s="19" t="s">
        <v>364</v>
      </c>
      <c r="O1501" s="19" t="s">
        <v>364</v>
      </c>
      <c r="P1501" s="463"/>
      <c r="Q1501" s="135"/>
      <c r="R1501" s="135"/>
      <c r="S1501" s="347"/>
      <c r="T1501" s="512" t="e">
        <f>_xlfn.XLOOKUP(H1501,#REF!,#REF!,0,0)</f>
        <v>#REF!</v>
      </c>
    </row>
    <row r="1502" spans="1:20" s="302" customFormat="1" x14ac:dyDescent="0.4">
      <c r="A1502" s="19" t="s">
        <v>5214</v>
      </c>
      <c r="B1502" s="19" t="s">
        <v>5215</v>
      </c>
      <c r="C1502" s="19"/>
      <c r="D1502" s="19" t="s">
        <v>5216</v>
      </c>
      <c r="E1502" s="19" t="s">
        <v>10</v>
      </c>
      <c r="F1502" s="20" t="s">
        <v>5179</v>
      </c>
      <c r="G1502" s="19">
        <v>44281</v>
      </c>
      <c r="H1502" s="19" t="s">
        <v>5217</v>
      </c>
      <c r="I1502" s="135">
        <v>70664</v>
      </c>
      <c r="J1502" s="19" t="s">
        <v>5218</v>
      </c>
      <c r="K1502" s="19" t="s">
        <v>5219</v>
      </c>
      <c r="L1502" s="19" t="s">
        <v>364</v>
      </c>
      <c r="M1502" s="19" t="s">
        <v>364</v>
      </c>
      <c r="N1502" s="19" t="s">
        <v>364</v>
      </c>
      <c r="O1502" s="19" t="s">
        <v>364</v>
      </c>
      <c r="P1502" s="463" t="s">
        <v>5220</v>
      </c>
      <c r="Q1502" s="135"/>
      <c r="R1502" s="135"/>
      <c r="S1502" s="347"/>
      <c r="T1502" s="512" t="e">
        <f>_xlfn.XLOOKUP(H1502,#REF!,#REF!,0,0)</f>
        <v>#REF!</v>
      </c>
    </row>
    <row r="1503" spans="1:20" s="302" customFormat="1" x14ac:dyDescent="0.4">
      <c r="A1503" s="19" t="s">
        <v>5221</v>
      </c>
      <c r="B1503" s="19" t="s">
        <v>5222</v>
      </c>
      <c r="C1503" s="19"/>
      <c r="D1503" s="19" t="s">
        <v>1097</v>
      </c>
      <c r="E1503" s="19" t="s">
        <v>10</v>
      </c>
      <c r="F1503" s="20" t="s">
        <v>3072</v>
      </c>
      <c r="G1503" s="19">
        <v>44281</v>
      </c>
      <c r="H1503" s="19" t="s">
        <v>5223</v>
      </c>
      <c r="I1503" s="135">
        <v>70753</v>
      </c>
      <c r="J1503" s="19" t="s">
        <v>5224</v>
      </c>
      <c r="K1503" s="19" t="s">
        <v>5225</v>
      </c>
      <c r="L1503" s="19" t="s">
        <v>364</v>
      </c>
      <c r="M1503" s="19" t="s">
        <v>364</v>
      </c>
      <c r="N1503" s="19" t="s">
        <v>364</v>
      </c>
      <c r="O1503" s="19" t="s">
        <v>364</v>
      </c>
      <c r="P1503" s="463" t="s">
        <v>5226</v>
      </c>
      <c r="Q1503" s="135"/>
      <c r="R1503" s="135"/>
      <c r="S1503" s="347"/>
      <c r="T1503" s="512" t="e">
        <f>_xlfn.XLOOKUP(H1503,#REF!,#REF!,0,0)</f>
        <v>#REF!</v>
      </c>
    </row>
    <row r="1504" spans="1:20" s="302" customFormat="1" x14ac:dyDescent="0.4">
      <c r="A1504" s="19" t="s">
        <v>5227</v>
      </c>
      <c r="B1504" s="19" t="s">
        <v>5228</v>
      </c>
      <c r="C1504" s="19"/>
      <c r="D1504" s="19" t="s">
        <v>1097</v>
      </c>
      <c r="E1504" s="19" t="s">
        <v>10</v>
      </c>
      <c r="F1504" s="20" t="s">
        <v>3072</v>
      </c>
      <c r="G1504" s="19">
        <v>44281</v>
      </c>
      <c r="H1504" s="19" t="s">
        <v>273</v>
      </c>
      <c r="I1504" s="135">
        <v>70772</v>
      </c>
      <c r="J1504" s="19" t="s">
        <v>5229</v>
      </c>
      <c r="K1504" s="19" t="s">
        <v>5230</v>
      </c>
      <c r="L1504" s="19" t="s">
        <v>364</v>
      </c>
      <c r="M1504" s="19" t="s">
        <v>364</v>
      </c>
      <c r="N1504" s="19" t="s">
        <v>364</v>
      </c>
      <c r="O1504" s="19" t="s">
        <v>364</v>
      </c>
      <c r="P1504" s="463" t="s">
        <v>5231</v>
      </c>
      <c r="Q1504" s="135"/>
      <c r="R1504" s="135"/>
      <c r="S1504" s="347"/>
      <c r="T1504" s="512" t="e">
        <f>_xlfn.XLOOKUP(H1504,#REF!,#REF!,0,0)</f>
        <v>#REF!</v>
      </c>
    </row>
    <row r="1505" spans="1:20" s="302" customFormat="1" x14ac:dyDescent="0.4">
      <c r="A1505" s="19" t="s">
        <v>5232</v>
      </c>
      <c r="B1505" s="19" t="s">
        <v>5233</v>
      </c>
      <c r="C1505" s="19"/>
      <c r="D1505" s="19" t="s">
        <v>693</v>
      </c>
      <c r="E1505" s="19" t="s">
        <v>10</v>
      </c>
      <c r="F1505" s="20" t="s">
        <v>5179</v>
      </c>
      <c r="G1505" s="19">
        <v>44281</v>
      </c>
      <c r="H1505" s="19" t="s">
        <v>5234</v>
      </c>
      <c r="I1505" s="135">
        <v>70666</v>
      </c>
      <c r="J1505" s="19" t="s">
        <v>5235</v>
      </c>
      <c r="K1505" s="19">
        <v>44343</v>
      </c>
      <c r="L1505" s="19" t="s">
        <v>364</v>
      </c>
      <c r="M1505" s="19" t="s">
        <v>364</v>
      </c>
      <c r="N1505" s="19" t="s">
        <v>364</v>
      </c>
      <c r="O1505" s="19" t="s">
        <v>364</v>
      </c>
      <c r="P1505" s="463" t="s">
        <v>5236</v>
      </c>
      <c r="Q1505" s="135"/>
      <c r="R1505" s="135"/>
      <c r="S1505" s="347"/>
      <c r="T1505" s="512" t="e">
        <f>_xlfn.XLOOKUP(H1505,#REF!,#REF!,0,0)</f>
        <v>#REF!</v>
      </c>
    </row>
    <row r="1506" spans="1:20" s="302" customFormat="1" x14ac:dyDescent="0.4">
      <c r="A1506" s="19" t="s">
        <v>5237</v>
      </c>
      <c r="B1506" s="19" t="s">
        <v>5238</v>
      </c>
      <c r="C1506" s="19"/>
      <c r="D1506" s="19" t="s">
        <v>693</v>
      </c>
      <c r="E1506" s="19" t="s">
        <v>10</v>
      </c>
      <c r="F1506" s="20" t="s">
        <v>5179</v>
      </c>
      <c r="G1506" s="19">
        <v>44281</v>
      </c>
      <c r="H1506" s="19" t="s">
        <v>5239</v>
      </c>
      <c r="I1506" s="135">
        <v>70676</v>
      </c>
      <c r="J1506" s="19" t="s">
        <v>5240</v>
      </c>
      <c r="K1506" s="19">
        <v>44343</v>
      </c>
      <c r="L1506" s="19" t="s">
        <v>364</v>
      </c>
      <c r="M1506" s="19" t="s">
        <v>364</v>
      </c>
      <c r="N1506" s="19" t="s">
        <v>364</v>
      </c>
      <c r="O1506" s="19" t="s">
        <v>364</v>
      </c>
      <c r="P1506" s="463" t="s">
        <v>5236</v>
      </c>
      <c r="Q1506" s="135"/>
      <c r="R1506" s="135"/>
      <c r="S1506" s="347"/>
      <c r="T1506" s="512" t="e">
        <f>_xlfn.XLOOKUP(H1506,#REF!,#REF!,0,0)</f>
        <v>#REF!</v>
      </c>
    </row>
    <row r="1507" spans="1:20" s="302" customFormat="1" x14ac:dyDescent="0.4">
      <c r="A1507" s="19" t="s">
        <v>5241</v>
      </c>
      <c r="B1507" s="19" t="s">
        <v>5242</v>
      </c>
      <c r="C1507" s="19"/>
      <c r="D1507" s="19" t="s">
        <v>1097</v>
      </c>
      <c r="E1507" s="19" t="s">
        <v>10</v>
      </c>
      <c r="F1507" s="20" t="s">
        <v>3072</v>
      </c>
      <c r="G1507" s="19">
        <v>44281</v>
      </c>
      <c r="H1507" s="19" t="s">
        <v>5243</v>
      </c>
      <c r="I1507" s="135">
        <v>70758</v>
      </c>
      <c r="J1507" s="19" t="s">
        <v>5244</v>
      </c>
      <c r="K1507" s="19" t="s">
        <v>5245</v>
      </c>
      <c r="L1507" s="19" t="s">
        <v>364</v>
      </c>
      <c r="M1507" s="19" t="s">
        <v>364</v>
      </c>
      <c r="N1507" s="19" t="s">
        <v>364</v>
      </c>
      <c r="O1507" s="19" t="s">
        <v>364</v>
      </c>
      <c r="P1507" s="463"/>
      <c r="Q1507" s="135"/>
      <c r="R1507" s="135"/>
      <c r="S1507" s="347"/>
      <c r="T1507" s="512" t="e">
        <f>_xlfn.XLOOKUP(H1507,#REF!,#REF!,0,0)</f>
        <v>#REF!</v>
      </c>
    </row>
    <row r="1508" spans="1:20" s="302" customFormat="1" x14ac:dyDescent="0.4">
      <c r="A1508" s="19" t="s">
        <v>5246</v>
      </c>
      <c r="B1508" s="19" t="s">
        <v>5247</v>
      </c>
      <c r="C1508" s="19"/>
      <c r="D1508" s="19" t="s">
        <v>1097</v>
      </c>
      <c r="E1508" s="19" t="s">
        <v>10</v>
      </c>
      <c r="F1508" s="20" t="s">
        <v>3072</v>
      </c>
      <c r="G1508" s="19">
        <v>44281</v>
      </c>
      <c r="H1508" s="19" t="s">
        <v>5248</v>
      </c>
      <c r="I1508" s="135">
        <v>70747</v>
      </c>
      <c r="J1508" s="19" t="s">
        <v>5195</v>
      </c>
      <c r="K1508" s="19" t="s">
        <v>5245</v>
      </c>
      <c r="L1508" s="19" t="s">
        <v>364</v>
      </c>
      <c r="M1508" s="19" t="s">
        <v>364</v>
      </c>
      <c r="N1508" s="19" t="s">
        <v>364</v>
      </c>
      <c r="O1508" s="19" t="s">
        <v>364</v>
      </c>
      <c r="P1508" s="463" t="s">
        <v>5249</v>
      </c>
      <c r="Q1508" s="135"/>
      <c r="R1508" s="135"/>
      <c r="S1508" s="347"/>
      <c r="T1508" s="512" t="e">
        <f>_xlfn.XLOOKUP(H1508,#REF!,#REF!,0,0)</f>
        <v>#REF!</v>
      </c>
    </row>
    <row r="1509" spans="1:20" s="302" customFormat="1" x14ac:dyDescent="0.4">
      <c r="A1509" s="19" t="s">
        <v>5250</v>
      </c>
      <c r="B1509" s="19" t="s">
        <v>5251</v>
      </c>
      <c r="C1509" s="19"/>
      <c r="D1509" s="19" t="s">
        <v>693</v>
      </c>
      <c r="E1509" s="19" t="s">
        <v>10</v>
      </c>
      <c r="F1509" s="20" t="s">
        <v>3072</v>
      </c>
      <c r="G1509" s="19">
        <v>44281</v>
      </c>
      <c r="H1509" s="19" t="s">
        <v>5252</v>
      </c>
      <c r="I1509" s="135">
        <v>70769</v>
      </c>
      <c r="J1509" s="19" t="s">
        <v>5253</v>
      </c>
      <c r="K1509" s="19" t="s">
        <v>5254</v>
      </c>
      <c r="L1509" s="19" t="s">
        <v>364</v>
      </c>
      <c r="M1509" s="19" t="s">
        <v>364</v>
      </c>
      <c r="N1509" s="19" t="s">
        <v>364</v>
      </c>
      <c r="O1509" s="19" t="s">
        <v>364</v>
      </c>
      <c r="P1509" s="463" t="s">
        <v>5255</v>
      </c>
      <c r="Q1509" s="135"/>
      <c r="R1509" s="135"/>
      <c r="S1509" s="347"/>
      <c r="T1509" s="512" t="e">
        <f>_xlfn.XLOOKUP(H1509,#REF!,#REF!,0,0)</f>
        <v>#REF!</v>
      </c>
    </row>
    <row r="1510" spans="1:20" s="302" customFormat="1" x14ac:dyDescent="0.4">
      <c r="A1510" s="19" t="s">
        <v>5256</v>
      </c>
      <c r="B1510" s="19" t="s">
        <v>5257</v>
      </c>
      <c r="C1510" s="19"/>
      <c r="D1510" s="19" t="s">
        <v>5216</v>
      </c>
      <c r="E1510" s="19" t="s">
        <v>10</v>
      </c>
      <c r="F1510" s="20" t="s">
        <v>3072</v>
      </c>
      <c r="G1510" s="19">
        <v>44323</v>
      </c>
      <c r="H1510" s="19" t="s">
        <v>5258</v>
      </c>
      <c r="I1510" s="135">
        <v>70961</v>
      </c>
      <c r="J1510" s="19" t="s">
        <v>5259</v>
      </c>
      <c r="K1510" s="19" t="s">
        <v>5260</v>
      </c>
      <c r="L1510" s="19" t="s">
        <v>364</v>
      </c>
      <c r="M1510" s="19" t="s">
        <v>364</v>
      </c>
      <c r="N1510" s="19" t="s">
        <v>364</v>
      </c>
      <c r="O1510" s="19" t="s">
        <v>364</v>
      </c>
      <c r="P1510" s="463" t="s">
        <v>5261</v>
      </c>
      <c r="Q1510" s="135"/>
      <c r="R1510" s="135"/>
      <c r="S1510" s="347"/>
      <c r="T1510" s="512" t="e">
        <f>_xlfn.XLOOKUP(H1510,#REF!,#REF!,0,0)</f>
        <v>#REF!</v>
      </c>
    </row>
    <row r="1511" spans="1:20" s="302" customFormat="1" x14ac:dyDescent="0.4">
      <c r="A1511" s="19" t="s">
        <v>5262</v>
      </c>
      <c r="B1511" s="19" t="s">
        <v>5263</v>
      </c>
      <c r="C1511" s="19"/>
      <c r="D1511" s="19" t="s">
        <v>693</v>
      </c>
      <c r="E1511" s="19" t="s">
        <v>10</v>
      </c>
      <c r="F1511" s="20" t="s">
        <v>3072</v>
      </c>
      <c r="G1511" s="19">
        <v>44323</v>
      </c>
      <c r="H1511" s="19" t="s">
        <v>5264</v>
      </c>
      <c r="I1511" s="135">
        <v>70963</v>
      </c>
      <c r="J1511" s="19" t="s">
        <v>5265</v>
      </c>
      <c r="K1511" s="19">
        <v>44343</v>
      </c>
      <c r="L1511" s="19" t="s">
        <v>364</v>
      </c>
      <c r="M1511" s="19" t="s">
        <v>364</v>
      </c>
      <c r="N1511" s="19" t="s">
        <v>364</v>
      </c>
      <c r="O1511" s="19" t="s">
        <v>364</v>
      </c>
      <c r="P1511" s="463" t="s">
        <v>5266</v>
      </c>
      <c r="Q1511" s="135"/>
      <c r="R1511" s="135"/>
      <c r="S1511" s="347"/>
      <c r="T1511" s="512" t="e">
        <f>_xlfn.XLOOKUP(H1511,#REF!,#REF!,0,0)</f>
        <v>#REF!</v>
      </c>
    </row>
    <row r="1512" spans="1:20" s="302" customFormat="1" x14ac:dyDescent="0.4">
      <c r="A1512" s="19" t="s">
        <v>5267</v>
      </c>
      <c r="B1512" s="19" t="s">
        <v>5268</v>
      </c>
      <c r="C1512" s="19"/>
      <c r="D1512" s="19" t="s">
        <v>704</v>
      </c>
      <c r="E1512" s="19" t="s">
        <v>10</v>
      </c>
      <c r="F1512" s="20" t="s">
        <v>5179</v>
      </c>
      <c r="G1512" s="19">
        <v>44281</v>
      </c>
      <c r="H1512" s="19" t="s">
        <v>5269</v>
      </c>
      <c r="I1512" s="135">
        <v>70667</v>
      </c>
      <c r="J1512" s="19" t="s">
        <v>5270</v>
      </c>
      <c r="K1512" s="19">
        <v>44343</v>
      </c>
      <c r="L1512" s="19" t="s">
        <v>364</v>
      </c>
      <c r="M1512" s="19" t="s">
        <v>364</v>
      </c>
      <c r="N1512" s="19" t="s">
        <v>364</v>
      </c>
      <c r="O1512" s="19" t="s">
        <v>364</v>
      </c>
      <c r="P1512" s="463"/>
      <c r="Q1512" s="135"/>
      <c r="R1512" s="135"/>
      <c r="S1512" s="347"/>
      <c r="T1512" s="512" t="e">
        <f>_xlfn.XLOOKUP(H1512,#REF!,#REF!,0,0)</f>
        <v>#REF!</v>
      </c>
    </row>
    <row r="1513" spans="1:20" s="302" customFormat="1" x14ac:dyDescent="0.4">
      <c r="A1513" s="19" t="s">
        <v>5271</v>
      </c>
      <c r="B1513" s="19" t="s">
        <v>5272</v>
      </c>
      <c r="C1513" s="19"/>
      <c r="D1513" s="19" t="s">
        <v>704</v>
      </c>
      <c r="E1513" s="19" t="s">
        <v>10</v>
      </c>
      <c r="F1513" s="20" t="s">
        <v>5179</v>
      </c>
      <c r="G1513" s="19">
        <v>44281</v>
      </c>
      <c r="H1513" s="19" t="s">
        <v>5273</v>
      </c>
      <c r="I1513" s="135">
        <v>70678</v>
      </c>
      <c r="J1513" s="19" t="s">
        <v>5274</v>
      </c>
      <c r="K1513" s="19">
        <v>44343</v>
      </c>
      <c r="L1513" s="19" t="s">
        <v>364</v>
      </c>
      <c r="M1513" s="19" t="s">
        <v>364</v>
      </c>
      <c r="N1513" s="19" t="s">
        <v>364</v>
      </c>
      <c r="O1513" s="19" t="s">
        <v>364</v>
      </c>
      <c r="P1513" s="463"/>
      <c r="Q1513" s="135"/>
      <c r="R1513" s="135"/>
      <c r="S1513" s="347"/>
      <c r="T1513" s="512" t="e">
        <f>_xlfn.XLOOKUP(H1513,#REF!,#REF!,0,0)</f>
        <v>#REF!</v>
      </c>
    </row>
    <row r="1514" spans="1:20" s="302" customFormat="1" x14ac:dyDescent="0.4">
      <c r="A1514" s="19" t="s">
        <v>5275</v>
      </c>
      <c r="B1514" s="19" t="s">
        <v>5276</v>
      </c>
      <c r="C1514" s="19"/>
      <c r="D1514" s="19" t="s">
        <v>1097</v>
      </c>
      <c r="E1514" s="19" t="s">
        <v>10</v>
      </c>
      <c r="F1514" s="20" t="s">
        <v>5179</v>
      </c>
      <c r="G1514" s="19">
        <v>44281</v>
      </c>
      <c r="H1514" s="19" t="s">
        <v>5277</v>
      </c>
      <c r="I1514" s="135">
        <v>70680</v>
      </c>
      <c r="J1514" s="19" t="s">
        <v>5278</v>
      </c>
      <c r="K1514" s="19">
        <v>44347</v>
      </c>
      <c r="L1514" s="19" t="s">
        <v>364</v>
      </c>
      <c r="M1514" s="19" t="s">
        <v>364</v>
      </c>
      <c r="N1514" s="19" t="s">
        <v>364</v>
      </c>
      <c r="O1514" s="19" t="s">
        <v>364</v>
      </c>
      <c r="P1514" s="463" t="s">
        <v>5279</v>
      </c>
      <c r="Q1514" s="135"/>
      <c r="R1514" s="135"/>
      <c r="S1514" s="347"/>
      <c r="T1514" s="512" t="e">
        <f>_xlfn.XLOOKUP(H1514,#REF!,#REF!,0,0)</f>
        <v>#REF!</v>
      </c>
    </row>
    <row r="1515" spans="1:20" s="302" customFormat="1" x14ac:dyDescent="0.4">
      <c r="A1515" s="19" t="s">
        <v>5280</v>
      </c>
      <c r="B1515" s="19" t="s">
        <v>5281</v>
      </c>
      <c r="C1515" s="19"/>
      <c r="D1515" s="19" t="s">
        <v>1097</v>
      </c>
      <c r="E1515" s="19" t="s">
        <v>10</v>
      </c>
      <c r="F1515" s="20" t="s">
        <v>3072</v>
      </c>
      <c r="G1515" s="19">
        <v>44281</v>
      </c>
      <c r="H1515" s="19" t="s">
        <v>5282</v>
      </c>
      <c r="I1515" s="135">
        <v>70738</v>
      </c>
      <c r="J1515" s="19" t="s">
        <v>5283</v>
      </c>
      <c r="K1515" s="19" t="s">
        <v>5284</v>
      </c>
      <c r="L1515" s="19" t="s">
        <v>364</v>
      </c>
      <c r="M1515" s="19" t="s">
        <v>364</v>
      </c>
      <c r="N1515" s="19" t="s">
        <v>364</v>
      </c>
      <c r="O1515" s="19" t="s">
        <v>364</v>
      </c>
      <c r="P1515" s="463"/>
      <c r="Q1515" s="135"/>
      <c r="R1515" s="135"/>
      <c r="S1515" s="347"/>
      <c r="T1515" s="512" t="e">
        <f>_xlfn.XLOOKUP(H1515,#REF!,#REF!,0,0)</f>
        <v>#REF!</v>
      </c>
    </row>
    <row r="1516" spans="1:20" s="302" customFormat="1" x14ac:dyDescent="0.4">
      <c r="A1516" s="19" t="s">
        <v>5285</v>
      </c>
      <c r="B1516" s="19" t="s">
        <v>5286</v>
      </c>
      <c r="C1516" s="19"/>
      <c r="D1516" s="19" t="s">
        <v>1097</v>
      </c>
      <c r="E1516" s="19" t="s">
        <v>10</v>
      </c>
      <c r="F1516" s="20" t="s">
        <v>3072</v>
      </c>
      <c r="G1516" s="19">
        <v>44323</v>
      </c>
      <c r="H1516" s="19" t="s">
        <v>276</v>
      </c>
      <c r="I1516" s="135">
        <v>70964</v>
      </c>
      <c r="J1516" s="19" t="s">
        <v>5287</v>
      </c>
      <c r="K1516" s="19" t="s">
        <v>5288</v>
      </c>
      <c r="L1516" s="19" t="s">
        <v>364</v>
      </c>
      <c r="M1516" s="19" t="s">
        <v>364</v>
      </c>
      <c r="N1516" s="19" t="s">
        <v>364</v>
      </c>
      <c r="O1516" s="19" t="s">
        <v>364</v>
      </c>
      <c r="P1516" s="463" t="s">
        <v>5289</v>
      </c>
      <c r="Q1516" s="135"/>
      <c r="R1516" s="135"/>
      <c r="S1516" s="347"/>
      <c r="T1516" s="512" t="e">
        <f>_xlfn.XLOOKUP(H1516,#REF!,#REF!,0,0)</f>
        <v>#REF!</v>
      </c>
    </row>
    <row r="1517" spans="1:20" s="302" customFormat="1" x14ac:dyDescent="0.4">
      <c r="A1517" s="19" t="s">
        <v>5290</v>
      </c>
      <c r="B1517" s="19" t="s">
        <v>5291</v>
      </c>
      <c r="C1517" s="19"/>
      <c r="D1517" s="19" t="s">
        <v>693</v>
      </c>
      <c r="E1517" s="19" t="s">
        <v>10</v>
      </c>
      <c r="F1517" s="20" t="s">
        <v>5179</v>
      </c>
      <c r="G1517" s="19">
        <v>44281</v>
      </c>
      <c r="H1517" s="19" t="s">
        <v>260</v>
      </c>
      <c r="I1517" s="135">
        <v>70673</v>
      </c>
      <c r="J1517" s="19" t="s">
        <v>5292</v>
      </c>
      <c r="K1517" s="19" t="s">
        <v>364</v>
      </c>
      <c r="L1517" s="19" t="s">
        <v>364</v>
      </c>
      <c r="M1517" s="19" t="s">
        <v>364</v>
      </c>
      <c r="N1517" s="19" t="s">
        <v>364</v>
      </c>
      <c r="O1517" s="19" t="s">
        <v>364</v>
      </c>
      <c r="P1517" s="463" t="s">
        <v>5293</v>
      </c>
      <c r="Q1517" s="135"/>
      <c r="R1517" s="135"/>
      <c r="S1517" s="347"/>
      <c r="T1517" s="512" t="e">
        <f>_xlfn.XLOOKUP(H1517,#REF!,#REF!,0,0)</f>
        <v>#REF!</v>
      </c>
    </row>
    <row r="1518" spans="1:20" s="302" customFormat="1" x14ac:dyDescent="0.4">
      <c r="A1518" s="19" t="s">
        <v>5294</v>
      </c>
      <c r="B1518" s="19" t="s">
        <v>5295</v>
      </c>
      <c r="C1518" s="19"/>
      <c r="D1518" s="19" t="s">
        <v>693</v>
      </c>
      <c r="E1518" s="19" t="s">
        <v>10</v>
      </c>
      <c r="F1518" s="20" t="s">
        <v>3072</v>
      </c>
      <c r="G1518" s="19">
        <v>44281</v>
      </c>
      <c r="H1518" s="19" t="s">
        <v>5296</v>
      </c>
      <c r="I1518" s="135">
        <v>70771</v>
      </c>
      <c r="J1518" s="19" t="s">
        <v>5297</v>
      </c>
      <c r="K1518" s="19" t="s">
        <v>5298</v>
      </c>
      <c r="L1518" s="19" t="s">
        <v>364</v>
      </c>
      <c r="M1518" s="19" t="s">
        <v>364</v>
      </c>
      <c r="N1518" s="19" t="s">
        <v>364</v>
      </c>
      <c r="O1518" s="19" t="s">
        <v>364</v>
      </c>
      <c r="P1518" s="463" t="s">
        <v>5255</v>
      </c>
      <c r="Q1518" s="135"/>
      <c r="R1518" s="135"/>
      <c r="S1518" s="347"/>
      <c r="T1518" s="512" t="e">
        <f>_xlfn.XLOOKUP(H1518,#REF!,#REF!,0,0)</f>
        <v>#REF!</v>
      </c>
    </row>
    <row r="1519" spans="1:20" s="302" customFormat="1" x14ac:dyDescent="0.4">
      <c r="A1519" s="19" t="s">
        <v>5299</v>
      </c>
      <c r="B1519" s="19" t="s">
        <v>5300</v>
      </c>
      <c r="C1519" s="19"/>
      <c r="D1519" s="19" t="s">
        <v>693</v>
      </c>
      <c r="E1519" s="19" t="s">
        <v>10</v>
      </c>
      <c r="F1519" s="20" t="s">
        <v>3072</v>
      </c>
      <c r="G1519" s="19">
        <v>44281</v>
      </c>
      <c r="H1519" s="19" t="s">
        <v>5301</v>
      </c>
      <c r="I1519" s="135">
        <v>70774</v>
      </c>
      <c r="J1519" s="19"/>
      <c r="K1519" s="19">
        <v>44348</v>
      </c>
      <c r="L1519" s="19" t="s">
        <v>364</v>
      </c>
      <c r="M1519" s="19" t="s">
        <v>364</v>
      </c>
      <c r="N1519" s="19" t="s">
        <v>364</v>
      </c>
      <c r="O1519" s="19" t="s">
        <v>364</v>
      </c>
      <c r="P1519" s="463" t="s">
        <v>5302</v>
      </c>
      <c r="Q1519" s="135"/>
      <c r="R1519" s="135"/>
      <c r="S1519" s="347"/>
      <c r="T1519" s="512" t="e">
        <f>_xlfn.XLOOKUP(H1519,#REF!,#REF!,0,0)</f>
        <v>#REF!</v>
      </c>
    </row>
    <row r="1520" spans="1:20" s="302" customFormat="1" x14ac:dyDescent="0.4">
      <c r="A1520" s="19" t="s">
        <v>5303</v>
      </c>
      <c r="B1520" s="19" t="s">
        <v>5304</v>
      </c>
      <c r="C1520" s="19"/>
      <c r="D1520" s="19" t="s">
        <v>704</v>
      </c>
      <c r="E1520" s="19" t="s">
        <v>10</v>
      </c>
      <c r="F1520" s="20" t="s">
        <v>5179</v>
      </c>
      <c r="G1520" s="19">
        <v>44281</v>
      </c>
      <c r="H1520" s="19" t="s">
        <v>261</v>
      </c>
      <c r="I1520" s="135">
        <v>70679</v>
      </c>
      <c r="J1520" s="19" t="s">
        <v>5305</v>
      </c>
      <c r="K1520" s="19">
        <v>44350</v>
      </c>
      <c r="L1520" s="19" t="s">
        <v>364</v>
      </c>
      <c r="M1520" s="19" t="s">
        <v>364</v>
      </c>
      <c r="N1520" s="19" t="s">
        <v>364</v>
      </c>
      <c r="O1520" s="19" t="s">
        <v>364</v>
      </c>
      <c r="P1520" s="463" t="s">
        <v>5306</v>
      </c>
      <c r="Q1520" s="135"/>
      <c r="R1520" s="135"/>
      <c r="S1520" s="347"/>
      <c r="T1520" s="512" t="e">
        <f>_xlfn.XLOOKUP(H1520,#REF!,#REF!,0,0)</f>
        <v>#REF!</v>
      </c>
    </row>
    <row r="1521" spans="1:20" s="302" customFormat="1" x14ac:dyDescent="0.4">
      <c r="A1521" s="19" t="s">
        <v>5307</v>
      </c>
      <c r="B1521" s="19" t="s">
        <v>5308</v>
      </c>
      <c r="C1521" s="19"/>
      <c r="D1521" s="19" t="s">
        <v>704</v>
      </c>
      <c r="E1521" s="19" t="s">
        <v>10</v>
      </c>
      <c r="F1521" s="20" t="s">
        <v>5179</v>
      </c>
      <c r="G1521" s="19">
        <v>44281</v>
      </c>
      <c r="H1521" s="19" t="s">
        <v>5309</v>
      </c>
      <c r="I1521" s="135">
        <v>70677</v>
      </c>
      <c r="J1521" s="19" t="s">
        <v>5310</v>
      </c>
      <c r="K1521" s="19">
        <v>44350</v>
      </c>
      <c r="L1521" s="19" t="s">
        <v>364</v>
      </c>
      <c r="M1521" s="19" t="s">
        <v>364</v>
      </c>
      <c r="N1521" s="19" t="s">
        <v>364</v>
      </c>
      <c r="O1521" s="19" t="s">
        <v>364</v>
      </c>
      <c r="P1521" s="463" t="s">
        <v>711</v>
      </c>
      <c r="Q1521" s="135"/>
      <c r="R1521" s="135"/>
      <c r="S1521" s="347"/>
      <c r="T1521" s="512" t="e">
        <f>_xlfn.XLOOKUP(H1521,#REF!,#REF!,0,0)</f>
        <v>#REF!</v>
      </c>
    </row>
    <row r="1522" spans="1:20" s="302" customFormat="1" x14ac:dyDescent="0.4">
      <c r="A1522" s="19" t="s">
        <v>5311</v>
      </c>
      <c r="B1522" s="19" t="s">
        <v>5312</v>
      </c>
      <c r="C1522" s="19"/>
      <c r="D1522" s="19" t="s">
        <v>1097</v>
      </c>
      <c r="E1522" s="19" t="s">
        <v>10</v>
      </c>
      <c r="F1522" s="20" t="s">
        <v>5179</v>
      </c>
      <c r="G1522" s="19">
        <v>44281</v>
      </c>
      <c r="H1522" s="19" t="s">
        <v>5313</v>
      </c>
      <c r="I1522" s="135">
        <v>70663</v>
      </c>
      <c r="J1522" s="19" t="s">
        <v>5314</v>
      </c>
      <c r="K1522" s="19" t="s">
        <v>5315</v>
      </c>
      <c r="L1522" s="19" t="s">
        <v>364</v>
      </c>
      <c r="M1522" s="19" t="s">
        <v>364</v>
      </c>
      <c r="N1522" s="19" t="s">
        <v>364</v>
      </c>
      <c r="O1522" s="19" t="s">
        <v>364</v>
      </c>
      <c r="P1522" s="463"/>
      <c r="Q1522" s="135"/>
      <c r="R1522" s="135"/>
      <c r="S1522" s="347"/>
      <c r="T1522" s="512" t="e">
        <f>_xlfn.XLOOKUP(H1522,#REF!,#REF!,0,0)</f>
        <v>#REF!</v>
      </c>
    </row>
    <row r="1523" spans="1:20" s="302" customFormat="1" x14ac:dyDescent="0.4">
      <c r="A1523" s="19" t="s">
        <v>5316</v>
      </c>
      <c r="B1523" s="19" t="s">
        <v>5317</v>
      </c>
      <c r="C1523" s="19"/>
      <c r="D1523" s="19" t="s">
        <v>704</v>
      </c>
      <c r="E1523" s="19" t="s">
        <v>10</v>
      </c>
      <c r="F1523" s="20" t="s">
        <v>3072</v>
      </c>
      <c r="G1523" s="19">
        <v>44281</v>
      </c>
      <c r="H1523" s="19" t="s">
        <v>5318</v>
      </c>
      <c r="I1523" s="135">
        <v>70735</v>
      </c>
      <c r="J1523" s="19" t="s">
        <v>5319</v>
      </c>
      <c r="K1523" s="19">
        <v>44354</v>
      </c>
      <c r="L1523" s="19" t="s">
        <v>364</v>
      </c>
      <c r="M1523" s="19" t="s">
        <v>364</v>
      </c>
      <c r="N1523" s="19" t="s">
        <v>364</v>
      </c>
      <c r="O1523" s="19" t="s">
        <v>364</v>
      </c>
      <c r="P1523" s="463"/>
      <c r="Q1523" s="135"/>
      <c r="R1523" s="135"/>
      <c r="S1523" s="347"/>
      <c r="T1523" s="512" t="e">
        <f>_xlfn.XLOOKUP(H1523,#REF!,#REF!,0,0)</f>
        <v>#REF!</v>
      </c>
    </row>
    <row r="1524" spans="1:20" s="302" customFormat="1" x14ac:dyDescent="0.4">
      <c r="A1524" s="19" t="s">
        <v>5320</v>
      </c>
      <c r="B1524" s="19" t="s">
        <v>5321</v>
      </c>
      <c r="C1524" s="19"/>
      <c r="D1524" s="19" t="s">
        <v>5322</v>
      </c>
      <c r="E1524" s="19" t="s">
        <v>10</v>
      </c>
      <c r="F1524" s="20" t="s">
        <v>5179</v>
      </c>
      <c r="G1524" s="19">
        <v>44281</v>
      </c>
      <c r="H1524" s="19" t="s">
        <v>5323</v>
      </c>
      <c r="I1524" s="135">
        <v>70718</v>
      </c>
      <c r="J1524" s="19" t="s">
        <v>5324</v>
      </c>
      <c r="K1524" s="19" t="s">
        <v>5325</v>
      </c>
      <c r="L1524" s="19" t="s">
        <v>364</v>
      </c>
      <c r="M1524" s="19" t="s">
        <v>364</v>
      </c>
      <c r="N1524" s="19" t="s">
        <v>364</v>
      </c>
      <c r="O1524" s="19" t="s">
        <v>364</v>
      </c>
      <c r="P1524" s="463" t="s">
        <v>878</v>
      </c>
      <c r="Q1524" s="135"/>
      <c r="R1524" s="135"/>
      <c r="S1524" s="347"/>
      <c r="T1524" s="512" t="e">
        <f>_xlfn.XLOOKUP(H1524,#REF!,#REF!,0,0)</f>
        <v>#REF!</v>
      </c>
    </row>
    <row r="1525" spans="1:20" s="302" customFormat="1" x14ac:dyDescent="0.4">
      <c r="A1525" s="19" t="s">
        <v>5326</v>
      </c>
      <c r="B1525" s="19" t="s">
        <v>5327</v>
      </c>
      <c r="C1525" s="19"/>
      <c r="D1525" s="19" t="s">
        <v>629</v>
      </c>
      <c r="E1525" s="19" t="s">
        <v>10</v>
      </c>
      <c r="F1525" s="20" t="s">
        <v>3072</v>
      </c>
      <c r="G1525" s="19">
        <v>44281</v>
      </c>
      <c r="H1525" s="19" t="s">
        <v>5328</v>
      </c>
      <c r="I1525" s="135">
        <v>70734</v>
      </c>
      <c r="J1525" s="19" t="s">
        <v>5329</v>
      </c>
      <c r="K1525" s="19" t="s">
        <v>5330</v>
      </c>
      <c r="L1525" s="19" t="s">
        <v>364</v>
      </c>
      <c r="M1525" s="19" t="s">
        <v>364</v>
      </c>
      <c r="N1525" s="19" t="s">
        <v>364</v>
      </c>
      <c r="O1525" s="19" t="s">
        <v>364</v>
      </c>
      <c r="P1525" s="463" t="s">
        <v>5331</v>
      </c>
      <c r="Q1525" s="135"/>
      <c r="R1525" s="135"/>
      <c r="S1525" s="347"/>
      <c r="T1525" s="512" t="e">
        <f>_xlfn.XLOOKUP(H1525,#REF!,#REF!,0,0)</f>
        <v>#REF!</v>
      </c>
    </row>
    <row r="1526" spans="1:20" s="302" customFormat="1" x14ac:dyDescent="0.4">
      <c r="A1526" s="19" t="s">
        <v>5332</v>
      </c>
      <c r="B1526" s="19" t="s">
        <v>5333</v>
      </c>
      <c r="C1526" s="19"/>
      <c r="D1526" s="19" t="s">
        <v>1097</v>
      </c>
      <c r="E1526" s="19" t="s">
        <v>10</v>
      </c>
      <c r="F1526" s="20" t="s">
        <v>5179</v>
      </c>
      <c r="G1526" s="19">
        <v>44281</v>
      </c>
      <c r="H1526" s="19" t="s">
        <v>5334</v>
      </c>
      <c r="I1526" s="135">
        <v>70674</v>
      </c>
      <c r="J1526" s="19" t="s">
        <v>5335</v>
      </c>
      <c r="K1526" s="19">
        <v>44356</v>
      </c>
      <c r="L1526" s="19" t="s">
        <v>364</v>
      </c>
      <c r="M1526" s="19" t="s">
        <v>364</v>
      </c>
      <c r="N1526" s="19" t="s">
        <v>364</v>
      </c>
      <c r="O1526" s="19" t="s">
        <v>364</v>
      </c>
      <c r="P1526" s="463"/>
      <c r="Q1526" s="135"/>
      <c r="R1526" s="135"/>
      <c r="S1526" s="347"/>
      <c r="T1526" s="512" t="e">
        <f>_xlfn.XLOOKUP(H1526,#REF!,#REF!,0,0)</f>
        <v>#REF!</v>
      </c>
    </row>
    <row r="1527" spans="1:20" s="302" customFormat="1" x14ac:dyDescent="0.4">
      <c r="A1527" s="19" t="s">
        <v>5336</v>
      </c>
      <c r="B1527" s="19" t="s">
        <v>5333</v>
      </c>
      <c r="C1527" s="19"/>
      <c r="D1527" s="19" t="s">
        <v>1097</v>
      </c>
      <c r="E1527" s="19" t="s">
        <v>10</v>
      </c>
      <c r="F1527" s="20" t="s">
        <v>5179</v>
      </c>
      <c r="G1527" s="19">
        <v>44281</v>
      </c>
      <c r="H1527" s="19" t="s">
        <v>5337</v>
      </c>
      <c r="I1527" s="135">
        <v>70675</v>
      </c>
      <c r="J1527" s="19" t="s">
        <v>5338</v>
      </c>
      <c r="K1527" s="19">
        <v>44356</v>
      </c>
      <c r="L1527" s="19" t="s">
        <v>364</v>
      </c>
      <c r="M1527" s="19" t="s">
        <v>364</v>
      </c>
      <c r="N1527" s="19" t="s">
        <v>364</v>
      </c>
      <c r="O1527" s="19" t="s">
        <v>364</v>
      </c>
      <c r="P1527" s="463"/>
      <c r="Q1527" s="135"/>
      <c r="R1527" s="135"/>
      <c r="S1527" s="347"/>
      <c r="T1527" s="512" t="e">
        <f>_xlfn.XLOOKUP(H1527,#REF!,#REF!,0,0)</f>
        <v>#REF!</v>
      </c>
    </row>
    <row r="1528" spans="1:20" s="302" customFormat="1" x14ac:dyDescent="0.4">
      <c r="A1528" s="19" t="s">
        <v>5339</v>
      </c>
      <c r="B1528" s="19" t="s">
        <v>5333</v>
      </c>
      <c r="C1528" s="19"/>
      <c r="D1528" s="19" t="s">
        <v>1097</v>
      </c>
      <c r="E1528" s="19" t="s">
        <v>10</v>
      </c>
      <c r="F1528" s="20" t="s">
        <v>5179</v>
      </c>
      <c r="G1528" s="19">
        <v>44281</v>
      </c>
      <c r="H1528" s="19" t="s">
        <v>5340</v>
      </c>
      <c r="I1528" s="135">
        <v>70708</v>
      </c>
      <c r="J1528" s="19" t="s">
        <v>5341</v>
      </c>
      <c r="K1528" s="19">
        <v>44356</v>
      </c>
      <c r="L1528" s="19" t="s">
        <v>364</v>
      </c>
      <c r="M1528" s="19" t="s">
        <v>364</v>
      </c>
      <c r="N1528" s="19" t="s">
        <v>364</v>
      </c>
      <c r="O1528" s="19" t="s">
        <v>364</v>
      </c>
      <c r="P1528" s="463"/>
      <c r="Q1528" s="135"/>
      <c r="R1528" s="135"/>
      <c r="S1528" s="347"/>
      <c r="T1528" s="512" t="e">
        <f>_xlfn.XLOOKUP(H1528,#REF!,#REF!,0,0)</f>
        <v>#REF!</v>
      </c>
    </row>
    <row r="1529" spans="1:20" s="302" customFormat="1" x14ac:dyDescent="0.4">
      <c r="A1529" s="19" t="s">
        <v>5342</v>
      </c>
      <c r="B1529" s="19" t="s">
        <v>5343</v>
      </c>
      <c r="C1529" s="19"/>
      <c r="D1529" s="19" t="s">
        <v>5210</v>
      </c>
      <c r="E1529" s="19" t="s">
        <v>10</v>
      </c>
      <c r="F1529" s="20" t="s">
        <v>5179</v>
      </c>
      <c r="G1529" s="19">
        <v>44281</v>
      </c>
      <c r="H1529" s="19" t="s">
        <v>5344</v>
      </c>
      <c r="I1529" s="135">
        <v>70723</v>
      </c>
      <c r="J1529" s="19" t="s">
        <v>5345</v>
      </c>
      <c r="K1529" s="19">
        <v>44357</v>
      </c>
      <c r="L1529" s="19" t="s">
        <v>364</v>
      </c>
      <c r="M1529" s="19" t="s">
        <v>364</v>
      </c>
      <c r="N1529" s="19" t="s">
        <v>364</v>
      </c>
      <c r="O1529" s="19" t="s">
        <v>364</v>
      </c>
      <c r="P1529" s="463" t="s">
        <v>5346</v>
      </c>
      <c r="Q1529" s="135"/>
      <c r="R1529" s="135"/>
      <c r="S1529" s="347"/>
      <c r="T1529" s="512" t="e">
        <f>_xlfn.XLOOKUP(H1529,#REF!,#REF!,0,0)</f>
        <v>#REF!</v>
      </c>
    </row>
    <row r="1530" spans="1:20" s="302" customFormat="1" x14ac:dyDescent="0.4">
      <c r="A1530" s="19" t="s">
        <v>5347</v>
      </c>
      <c r="B1530" s="19" t="s">
        <v>5348</v>
      </c>
      <c r="C1530" s="19"/>
      <c r="D1530" s="19" t="s">
        <v>5210</v>
      </c>
      <c r="E1530" s="19" t="s">
        <v>10</v>
      </c>
      <c r="F1530" s="20" t="s">
        <v>3072</v>
      </c>
      <c r="G1530" s="19">
        <v>44281</v>
      </c>
      <c r="H1530" s="19" t="s">
        <v>5349</v>
      </c>
      <c r="I1530" s="135">
        <v>70736</v>
      </c>
      <c r="J1530" s="19" t="s">
        <v>5350</v>
      </c>
      <c r="K1530" s="19" t="s">
        <v>5351</v>
      </c>
      <c r="L1530" s="19" t="s">
        <v>364</v>
      </c>
      <c r="M1530" s="19" t="s">
        <v>364</v>
      </c>
      <c r="N1530" s="19" t="s">
        <v>364</v>
      </c>
      <c r="O1530" s="19" t="s">
        <v>364</v>
      </c>
      <c r="P1530" s="463" t="s">
        <v>5352</v>
      </c>
      <c r="Q1530" s="135"/>
      <c r="R1530" s="135"/>
      <c r="S1530" s="347"/>
      <c r="T1530" s="512" t="e">
        <f>_xlfn.XLOOKUP(H1530,#REF!,#REF!,0,0)</f>
        <v>#REF!</v>
      </c>
    </row>
    <row r="1531" spans="1:20" s="302" customFormat="1" x14ac:dyDescent="0.4">
      <c r="A1531" s="19" t="s">
        <v>5353</v>
      </c>
      <c r="B1531" s="19" t="s">
        <v>5354</v>
      </c>
      <c r="C1531" s="19"/>
      <c r="D1531" s="19" t="s">
        <v>704</v>
      </c>
      <c r="E1531" s="19" t="s">
        <v>10</v>
      </c>
      <c r="F1531" s="20" t="s">
        <v>5179</v>
      </c>
      <c r="G1531" s="19">
        <v>44281</v>
      </c>
      <c r="H1531" s="19" t="s">
        <v>5355</v>
      </c>
      <c r="I1531" s="135">
        <v>70711</v>
      </c>
      <c r="J1531" s="19" t="s">
        <v>5356</v>
      </c>
      <c r="K1531" s="19">
        <v>44361</v>
      </c>
      <c r="L1531" s="19" t="s">
        <v>364</v>
      </c>
      <c r="M1531" s="19" t="s">
        <v>364</v>
      </c>
      <c r="N1531" s="19" t="s">
        <v>364</v>
      </c>
      <c r="O1531" s="19" t="s">
        <v>364</v>
      </c>
      <c r="P1531" s="463" t="s">
        <v>5357</v>
      </c>
      <c r="Q1531" s="135"/>
      <c r="R1531" s="135"/>
      <c r="S1531" s="347"/>
      <c r="T1531" s="512" t="e">
        <f>_xlfn.XLOOKUP(H1531,#REF!,#REF!,0,0)</f>
        <v>#REF!</v>
      </c>
    </row>
    <row r="1532" spans="1:20" s="302" customFormat="1" x14ac:dyDescent="0.4">
      <c r="A1532" s="19" t="s">
        <v>5358</v>
      </c>
      <c r="B1532" s="19" t="s">
        <v>5359</v>
      </c>
      <c r="C1532" s="19"/>
      <c r="D1532" s="19" t="s">
        <v>704</v>
      </c>
      <c r="E1532" s="19" t="s">
        <v>10</v>
      </c>
      <c r="F1532" s="20" t="s">
        <v>5179</v>
      </c>
      <c r="G1532" s="19">
        <v>44281</v>
      </c>
      <c r="H1532" s="19" t="s">
        <v>269</v>
      </c>
      <c r="I1532" s="135">
        <v>70716</v>
      </c>
      <c r="J1532" s="19" t="s">
        <v>5360</v>
      </c>
      <c r="K1532" s="19">
        <v>44361</v>
      </c>
      <c r="L1532" s="19" t="s">
        <v>364</v>
      </c>
      <c r="M1532" s="19" t="s">
        <v>364</v>
      </c>
      <c r="N1532" s="19" t="s">
        <v>364</v>
      </c>
      <c r="O1532" s="19" t="s">
        <v>364</v>
      </c>
      <c r="P1532" s="463" t="s">
        <v>5357</v>
      </c>
      <c r="Q1532" s="135"/>
      <c r="R1532" s="135"/>
      <c r="S1532" s="347"/>
      <c r="T1532" s="512" t="e">
        <f>_xlfn.XLOOKUP(H1532,#REF!,#REF!,0,0)</f>
        <v>#REF!</v>
      </c>
    </row>
    <row r="1533" spans="1:20" s="302" customFormat="1" x14ac:dyDescent="0.4">
      <c r="A1533" s="19" t="s">
        <v>5361</v>
      </c>
      <c r="B1533" s="19" t="s">
        <v>5362</v>
      </c>
      <c r="C1533" s="19"/>
      <c r="D1533" s="19" t="s">
        <v>704</v>
      </c>
      <c r="E1533" s="19" t="s">
        <v>10</v>
      </c>
      <c r="F1533" s="20" t="s">
        <v>3072</v>
      </c>
      <c r="G1533" s="19">
        <v>44281</v>
      </c>
      <c r="H1533" s="19" t="s">
        <v>243</v>
      </c>
      <c r="I1533" s="135">
        <v>69788</v>
      </c>
      <c r="J1533" s="19" t="s">
        <v>5363</v>
      </c>
      <c r="K1533" s="19">
        <v>44361</v>
      </c>
      <c r="L1533" s="19" t="s">
        <v>364</v>
      </c>
      <c r="M1533" s="19" t="s">
        <v>364</v>
      </c>
      <c r="N1533" s="19" t="s">
        <v>364</v>
      </c>
      <c r="O1533" s="19" t="s">
        <v>364</v>
      </c>
      <c r="P1533" s="463" t="s">
        <v>5364</v>
      </c>
      <c r="Q1533" s="135"/>
      <c r="R1533" s="135"/>
      <c r="S1533" s="347"/>
      <c r="T1533" s="512" t="e">
        <f>_xlfn.XLOOKUP(H1533,#REF!,#REF!,0,0)</f>
        <v>#REF!</v>
      </c>
    </row>
    <row r="1534" spans="1:20" s="302" customFormat="1" x14ac:dyDescent="0.4">
      <c r="A1534" s="19" t="s">
        <v>5365</v>
      </c>
      <c r="B1534" s="19" t="s">
        <v>5366</v>
      </c>
      <c r="C1534" s="19"/>
      <c r="D1534" s="19" t="s">
        <v>5210</v>
      </c>
      <c r="E1534" s="19" t="s">
        <v>10</v>
      </c>
      <c r="F1534" s="20" t="s">
        <v>3072</v>
      </c>
      <c r="G1534" s="19">
        <v>44281</v>
      </c>
      <c r="H1534" s="19" t="s">
        <v>5367</v>
      </c>
      <c r="I1534" s="135">
        <v>70741</v>
      </c>
      <c r="J1534" s="19" t="s">
        <v>5368</v>
      </c>
      <c r="K1534" s="19">
        <v>44364</v>
      </c>
      <c r="L1534" s="19" t="s">
        <v>364</v>
      </c>
      <c r="M1534" s="19" t="s">
        <v>364</v>
      </c>
      <c r="N1534" s="19" t="s">
        <v>364</v>
      </c>
      <c r="O1534" s="19" t="s">
        <v>364</v>
      </c>
      <c r="P1534" s="463"/>
      <c r="Q1534" s="135"/>
      <c r="R1534" s="135"/>
      <c r="S1534" s="347"/>
      <c r="T1534" s="512" t="e">
        <f>_xlfn.XLOOKUP(H1534,#REF!,#REF!,0,0)</f>
        <v>#REF!</v>
      </c>
    </row>
    <row r="1535" spans="1:20" s="302" customFormat="1" x14ac:dyDescent="0.4">
      <c r="A1535" s="19" t="s">
        <v>5369</v>
      </c>
      <c r="B1535" s="19" t="s">
        <v>5370</v>
      </c>
      <c r="C1535" s="19"/>
      <c r="D1535" s="19" t="s">
        <v>704</v>
      </c>
      <c r="E1535" s="19" t="s">
        <v>10</v>
      </c>
      <c r="F1535" s="20" t="s">
        <v>3072</v>
      </c>
      <c r="G1535" s="19">
        <v>44281</v>
      </c>
      <c r="H1535" s="19" t="s">
        <v>5371</v>
      </c>
      <c r="I1535" s="135">
        <v>70733</v>
      </c>
      <c r="J1535" s="19" t="s">
        <v>5372</v>
      </c>
      <c r="K1535" s="19" t="s">
        <v>5373</v>
      </c>
      <c r="L1535" s="19" t="s">
        <v>364</v>
      </c>
      <c r="M1535" s="19" t="s">
        <v>364</v>
      </c>
      <c r="N1535" s="19" t="s">
        <v>364</v>
      </c>
      <c r="O1535" s="19" t="s">
        <v>364</v>
      </c>
      <c r="P1535" s="463"/>
      <c r="Q1535" s="135"/>
      <c r="R1535" s="135"/>
      <c r="S1535" s="347"/>
      <c r="T1535" s="512" t="e">
        <f>_xlfn.XLOOKUP(H1535,#REF!,#REF!,0,0)</f>
        <v>#REF!</v>
      </c>
    </row>
    <row r="1536" spans="1:20" s="302" customFormat="1" x14ac:dyDescent="0.4">
      <c r="A1536" s="19" t="s">
        <v>5374</v>
      </c>
      <c r="B1536" s="19" t="s">
        <v>5375</v>
      </c>
      <c r="C1536" s="19"/>
      <c r="D1536" s="19" t="s">
        <v>693</v>
      </c>
      <c r="E1536" s="19" t="s">
        <v>10</v>
      </c>
      <c r="F1536" s="20" t="s">
        <v>3072</v>
      </c>
      <c r="G1536" s="19">
        <v>44281</v>
      </c>
      <c r="H1536" s="19" t="s">
        <v>5376</v>
      </c>
      <c r="I1536" s="135">
        <v>70737</v>
      </c>
      <c r="J1536" s="19" t="s">
        <v>5377</v>
      </c>
      <c r="K1536" s="19"/>
      <c r="L1536" s="19" t="s">
        <v>364</v>
      </c>
      <c r="M1536" s="19" t="s">
        <v>364</v>
      </c>
      <c r="N1536" s="19" t="s">
        <v>364</v>
      </c>
      <c r="O1536" s="19" t="s">
        <v>364</v>
      </c>
      <c r="P1536" s="463"/>
      <c r="Q1536" s="135"/>
      <c r="R1536" s="135"/>
      <c r="S1536" s="347"/>
      <c r="T1536" s="512" t="e">
        <f>_xlfn.XLOOKUP(H1536,#REF!,#REF!,0,0)</f>
        <v>#REF!</v>
      </c>
    </row>
    <row r="1537" spans="1:20" s="302" customFormat="1" x14ac:dyDescent="0.4">
      <c r="A1537" s="19" t="s">
        <v>5378</v>
      </c>
      <c r="B1537" s="19" t="s">
        <v>5379</v>
      </c>
      <c r="C1537" s="19"/>
      <c r="D1537" s="19" t="s">
        <v>693</v>
      </c>
      <c r="E1537" s="19" t="s">
        <v>10</v>
      </c>
      <c r="F1537" s="20" t="s">
        <v>3072</v>
      </c>
      <c r="G1537" s="19">
        <v>44281</v>
      </c>
      <c r="H1537" s="19" t="s">
        <v>5380</v>
      </c>
      <c r="I1537" s="135">
        <v>70752</v>
      </c>
      <c r="J1537" s="19" t="s">
        <v>5381</v>
      </c>
      <c r="K1537" s="19"/>
      <c r="L1537" s="19" t="s">
        <v>364</v>
      </c>
      <c r="M1537" s="19" t="s">
        <v>364</v>
      </c>
      <c r="N1537" s="19" t="s">
        <v>364</v>
      </c>
      <c r="O1537" s="19" t="s">
        <v>364</v>
      </c>
      <c r="P1537" s="463"/>
      <c r="Q1537" s="135"/>
      <c r="R1537" s="135"/>
      <c r="S1537" s="347"/>
      <c r="T1537" s="512" t="e">
        <f>_xlfn.XLOOKUP(H1537,#REF!,#REF!,0,0)</f>
        <v>#REF!</v>
      </c>
    </row>
    <row r="1538" spans="1:20" s="302" customFormat="1" x14ac:dyDescent="0.4">
      <c r="A1538" s="19" t="s">
        <v>5382</v>
      </c>
      <c r="B1538" s="19" t="s">
        <v>5383</v>
      </c>
      <c r="C1538" s="19"/>
      <c r="D1538" s="19" t="s">
        <v>693</v>
      </c>
      <c r="E1538" s="19" t="s">
        <v>10</v>
      </c>
      <c r="F1538" s="20" t="s">
        <v>3072</v>
      </c>
      <c r="G1538" s="19">
        <v>44281</v>
      </c>
      <c r="H1538" s="19" t="s">
        <v>272</v>
      </c>
      <c r="I1538" s="135">
        <v>70770</v>
      </c>
      <c r="J1538" s="19" t="s">
        <v>5384</v>
      </c>
      <c r="K1538" s="19"/>
      <c r="L1538" s="19" t="s">
        <v>364</v>
      </c>
      <c r="M1538" s="19" t="s">
        <v>364</v>
      </c>
      <c r="N1538" s="19" t="s">
        <v>364</v>
      </c>
      <c r="O1538" s="19" t="s">
        <v>364</v>
      </c>
      <c r="P1538" s="463"/>
      <c r="Q1538" s="135"/>
      <c r="R1538" s="135"/>
      <c r="S1538" s="347"/>
      <c r="T1538" s="512" t="e">
        <f>_xlfn.XLOOKUP(H1538,#REF!,#REF!,0,0)</f>
        <v>#REF!</v>
      </c>
    </row>
    <row r="1539" spans="1:20" s="302" customFormat="1" x14ac:dyDescent="0.4">
      <c r="A1539" s="19" t="s">
        <v>5385</v>
      </c>
      <c r="B1539" s="19" t="s">
        <v>5386</v>
      </c>
      <c r="C1539" s="19"/>
      <c r="D1539" s="19" t="s">
        <v>1097</v>
      </c>
      <c r="E1539" s="19" t="s">
        <v>10</v>
      </c>
      <c r="F1539" s="20" t="s">
        <v>3072</v>
      </c>
      <c r="G1539" s="19">
        <v>44281</v>
      </c>
      <c r="H1539" s="19" t="s">
        <v>5387</v>
      </c>
      <c r="I1539" s="135">
        <v>70745</v>
      </c>
      <c r="J1539" s="19" t="s">
        <v>5388</v>
      </c>
      <c r="K1539" s="19" t="s">
        <v>5389</v>
      </c>
      <c r="L1539" s="19" t="s">
        <v>364</v>
      </c>
      <c r="M1539" s="19" t="s">
        <v>364</v>
      </c>
      <c r="N1539" s="19" t="s">
        <v>364</v>
      </c>
      <c r="O1539" s="19" t="s">
        <v>364</v>
      </c>
      <c r="P1539" s="463" t="s">
        <v>5390</v>
      </c>
      <c r="Q1539" s="135"/>
      <c r="R1539" s="135"/>
      <c r="S1539" s="347"/>
      <c r="T1539" s="512" t="e">
        <f>_xlfn.XLOOKUP(H1539,#REF!,#REF!,0,0)</f>
        <v>#REF!</v>
      </c>
    </row>
    <row r="1540" spans="1:20" s="302" customFormat="1" x14ac:dyDescent="0.4">
      <c r="A1540" s="19"/>
      <c r="B1540" s="19" t="s">
        <v>5391</v>
      </c>
      <c r="C1540" s="19"/>
      <c r="D1540" s="19" t="s">
        <v>5392</v>
      </c>
      <c r="E1540" s="19" t="s">
        <v>10</v>
      </c>
      <c r="F1540" s="20" t="s">
        <v>3072</v>
      </c>
      <c r="G1540" s="19">
        <v>44281</v>
      </c>
      <c r="H1540" s="19" t="s">
        <v>5393</v>
      </c>
      <c r="I1540" s="135">
        <v>70519</v>
      </c>
      <c r="J1540" s="19"/>
      <c r="K1540" s="19"/>
      <c r="L1540" s="19" t="s">
        <v>364</v>
      </c>
      <c r="M1540" s="19" t="s">
        <v>364</v>
      </c>
      <c r="N1540" s="19" t="s">
        <v>364</v>
      </c>
      <c r="O1540" s="19" t="s">
        <v>364</v>
      </c>
      <c r="P1540" s="463"/>
      <c r="Q1540" s="135"/>
      <c r="R1540" s="135"/>
      <c r="S1540" s="347"/>
      <c r="T1540" s="512" t="e">
        <f>_xlfn.XLOOKUP(H1540,#REF!,#REF!,0,0)</f>
        <v>#REF!</v>
      </c>
    </row>
    <row r="1541" spans="1:20" s="302" customFormat="1" x14ac:dyDescent="0.4">
      <c r="A1541" s="19" t="s">
        <v>5394</v>
      </c>
      <c r="B1541" s="19" t="s">
        <v>5395</v>
      </c>
      <c r="C1541" s="19"/>
      <c r="D1541" s="19" t="s">
        <v>5396</v>
      </c>
      <c r="E1541" s="19" t="s">
        <v>10</v>
      </c>
      <c r="F1541" s="20" t="s">
        <v>3072</v>
      </c>
      <c r="G1541" s="19">
        <v>44281</v>
      </c>
      <c r="H1541" s="19" t="s">
        <v>5397</v>
      </c>
      <c r="I1541" s="135">
        <v>70756</v>
      </c>
      <c r="J1541" s="19" t="s">
        <v>5398</v>
      </c>
      <c r="K1541" s="19">
        <v>44405</v>
      </c>
      <c r="L1541" s="19" t="s">
        <v>364</v>
      </c>
      <c r="M1541" s="19" t="s">
        <v>364</v>
      </c>
      <c r="N1541" s="19" t="s">
        <v>364</v>
      </c>
      <c r="O1541" s="19" t="s">
        <v>364</v>
      </c>
      <c r="P1541" s="463"/>
      <c r="Q1541" s="135"/>
      <c r="R1541" s="135"/>
      <c r="S1541" s="347"/>
      <c r="T1541" s="512" t="e">
        <f>_xlfn.XLOOKUP(H1541,#REF!,#REF!,0,0)</f>
        <v>#REF!</v>
      </c>
    </row>
    <row r="1542" spans="1:20" s="302" customFormat="1" x14ac:dyDescent="0.4">
      <c r="A1542" s="19" t="s">
        <v>5399</v>
      </c>
      <c r="B1542" s="19" t="s">
        <v>5400</v>
      </c>
      <c r="C1542" s="19"/>
      <c r="D1542" s="19"/>
      <c r="E1542" s="19" t="s">
        <v>10</v>
      </c>
      <c r="F1542" s="20" t="s">
        <v>3072</v>
      </c>
      <c r="G1542" s="19">
        <v>44281</v>
      </c>
      <c r="H1542" s="19" t="s">
        <v>5401</v>
      </c>
      <c r="I1542" s="135">
        <v>70773</v>
      </c>
      <c r="J1542" s="19" t="s">
        <v>5402</v>
      </c>
      <c r="K1542" s="19">
        <v>44396</v>
      </c>
      <c r="L1542" s="19" t="s">
        <v>364</v>
      </c>
      <c r="M1542" s="19" t="s">
        <v>364</v>
      </c>
      <c r="N1542" s="19" t="s">
        <v>364</v>
      </c>
      <c r="O1542" s="19" t="s">
        <v>364</v>
      </c>
      <c r="P1542" s="463" t="s">
        <v>5403</v>
      </c>
      <c r="Q1542" s="135"/>
      <c r="R1542" s="135"/>
      <c r="S1542" s="347"/>
      <c r="T1542" s="512" t="e">
        <f>_xlfn.XLOOKUP(H1542,#REF!,#REF!,0,0)</f>
        <v>#REF!</v>
      </c>
    </row>
    <row r="1543" spans="1:20" s="302" customFormat="1" x14ac:dyDescent="0.4">
      <c r="A1543" s="19" t="s">
        <v>5404</v>
      </c>
      <c r="B1543" s="19" t="s">
        <v>5405</v>
      </c>
      <c r="C1543" s="19"/>
      <c r="D1543" s="19" t="s">
        <v>1097</v>
      </c>
      <c r="E1543" s="19" t="s">
        <v>10</v>
      </c>
      <c r="F1543" s="20" t="s">
        <v>3072</v>
      </c>
      <c r="G1543" s="19">
        <v>44281</v>
      </c>
      <c r="H1543" s="19" t="s">
        <v>5406</v>
      </c>
      <c r="I1543" s="135">
        <v>70749</v>
      </c>
      <c r="J1543" s="19" t="s">
        <v>5407</v>
      </c>
      <c r="K1543" s="19">
        <v>44405</v>
      </c>
      <c r="L1543" s="19" t="s">
        <v>364</v>
      </c>
      <c r="M1543" s="19" t="s">
        <v>364</v>
      </c>
      <c r="N1543" s="19" t="s">
        <v>364</v>
      </c>
      <c r="O1543" s="19" t="s">
        <v>364</v>
      </c>
      <c r="P1543" s="463" t="s">
        <v>5408</v>
      </c>
      <c r="Q1543" s="135"/>
      <c r="R1543" s="135"/>
      <c r="S1543" s="347"/>
      <c r="T1543" s="512" t="e">
        <f>_xlfn.XLOOKUP(H1543,#REF!,#REF!,0,0)</f>
        <v>#REF!</v>
      </c>
    </row>
    <row r="1544" spans="1:20" s="302" customFormat="1" x14ac:dyDescent="0.4">
      <c r="A1544" s="19" t="s">
        <v>5409</v>
      </c>
      <c r="B1544" s="19" t="s">
        <v>5410</v>
      </c>
      <c r="C1544" s="19"/>
      <c r="D1544" s="19" t="s">
        <v>5411</v>
      </c>
      <c r="E1544" s="19" t="s">
        <v>10</v>
      </c>
      <c r="F1544" s="20" t="s">
        <v>3072</v>
      </c>
      <c r="G1544" s="19">
        <v>44281</v>
      </c>
      <c r="H1544" s="19" t="s">
        <v>5412</v>
      </c>
      <c r="I1544" s="135">
        <v>70751</v>
      </c>
      <c r="J1544" s="19" t="s">
        <v>5413</v>
      </c>
      <c r="K1544" s="19">
        <v>44412</v>
      </c>
      <c r="L1544" s="19" t="s">
        <v>364</v>
      </c>
      <c r="M1544" s="19" t="s">
        <v>364</v>
      </c>
      <c r="N1544" s="19" t="s">
        <v>364</v>
      </c>
      <c r="O1544" s="19" t="s">
        <v>364</v>
      </c>
      <c r="P1544" s="463" t="s">
        <v>5414</v>
      </c>
      <c r="Q1544" s="135"/>
      <c r="R1544" s="135"/>
      <c r="S1544" s="347"/>
      <c r="T1544" s="512" t="e">
        <f>_xlfn.XLOOKUP(H1544,#REF!,#REF!,0,0)</f>
        <v>#REF!</v>
      </c>
    </row>
    <row r="1545" spans="1:20" s="302" customFormat="1" x14ac:dyDescent="0.4">
      <c r="A1545" s="19" t="s">
        <v>5415</v>
      </c>
      <c r="B1545" s="19" t="s">
        <v>5416</v>
      </c>
      <c r="C1545" s="19"/>
      <c r="D1545" s="19" t="s">
        <v>693</v>
      </c>
      <c r="E1545" s="19" t="s">
        <v>10</v>
      </c>
      <c r="F1545" s="20" t="s">
        <v>5179</v>
      </c>
      <c r="G1545" s="19">
        <v>44281</v>
      </c>
      <c r="H1545" s="19" t="s">
        <v>5417</v>
      </c>
      <c r="I1545" s="135">
        <v>70713</v>
      </c>
      <c r="J1545" s="19" t="s">
        <v>5418</v>
      </c>
      <c r="K1545" s="19"/>
      <c r="L1545" s="19" t="s">
        <v>364</v>
      </c>
      <c r="M1545" s="19" t="s">
        <v>364</v>
      </c>
      <c r="N1545" s="19" t="s">
        <v>364</v>
      </c>
      <c r="O1545" s="19" t="s">
        <v>364</v>
      </c>
      <c r="P1545" s="463"/>
      <c r="Q1545" s="135"/>
      <c r="R1545" s="135"/>
      <c r="S1545" s="347"/>
      <c r="T1545" s="512" t="e">
        <f>_xlfn.XLOOKUP(H1545,#REF!,#REF!,0,0)</f>
        <v>#REF!</v>
      </c>
    </row>
    <row r="1546" spans="1:20" s="302" customFormat="1" x14ac:dyDescent="0.4">
      <c r="A1546" s="19" t="s">
        <v>5419</v>
      </c>
      <c r="B1546" s="19" t="s">
        <v>5420</v>
      </c>
      <c r="C1546" s="19"/>
      <c r="D1546" s="19" t="s">
        <v>693</v>
      </c>
      <c r="E1546" s="19" t="s">
        <v>10</v>
      </c>
      <c r="F1546" s="20" t="s">
        <v>5179</v>
      </c>
      <c r="G1546" s="19">
        <v>44281</v>
      </c>
      <c r="H1546" s="19" t="s">
        <v>314</v>
      </c>
      <c r="I1546" s="135">
        <v>70717</v>
      </c>
      <c r="J1546" s="19" t="s">
        <v>5421</v>
      </c>
      <c r="K1546" s="19"/>
      <c r="L1546" s="19" t="s">
        <v>364</v>
      </c>
      <c r="M1546" s="19" t="s">
        <v>364</v>
      </c>
      <c r="N1546" s="19" t="s">
        <v>364</v>
      </c>
      <c r="O1546" s="19" t="s">
        <v>364</v>
      </c>
      <c r="P1546" s="463"/>
      <c r="Q1546" s="135"/>
      <c r="R1546" s="135"/>
      <c r="S1546" s="347"/>
      <c r="T1546" s="512" t="e">
        <f>_xlfn.XLOOKUP(H1546,#REF!,#REF!,0,0)</f>
        <v>#REF!</v>
      </c>
    </row>
    <row r="1547" spans="1:20" s="302" customFormat="1" x14ac:dyDescent="0.4">
      <c r="A1547" s="19" t="s">
        <v>5422</v>
      </c>
      <c r="B1547" s="19" t="s">
        <v>3230</v>
      </c>
      <c r="C1547" s="19"/>
      <c r="D1547" s="19" t="s">
        <v>693</v>
      </c>
      <c r="E1547" s="19" t="s">
        <v>10</v>
      </c>
      <c r="F1547" s="20" t="s">
        <v>5423</v>
      </c>
      <c r="G1547" s="19">
        <v>43809</v>
      </c>
      <c r="H1547" s="19" t="s">
        <v>748</v>
      </c>
      <c r="I1547" s="135">
        <v>69597</v>
      </c>
      <c r="J1547" s="19"/>
      <c r="K1547" s="19">
        <v>44438</v>
      </c>
      <c r="L1547" s="19" t="s">
        <v>364</v>
      </c>
      <c r="M1547" s="19" t="s">
        <v>364</v>
      </c>
      <c r="N1547" s="19" t="s">
        <v>364</v>
      </c>
      <c r="O1547" s="19" t="s">
        <v>364</v>
      </c>
      <c r="P1547" s="463"/>
      <c r="Q1547" s="135"/>
      <c r="R1547" s="135"/>
      <c r="S1547" s="347"/>
      <c r="T1547" s="512" t="e">
        <f>_xlfn.XLOOKUP(H1547,#REF!,#REF!,0,0)</f>
        <v>#REF!</v>
      </c>
    </row>
    <row r="1548" spans="1:20" s="302" customFormat="1" x14ac:dyDescent="0.4">
      <c r="A1548" s="19" t="s">
        <v>5424</v>
      </c>
      <c r="B1548" s="19" t="s">
        <v>5425</v>
      </c>
      <c r="C1548" s="19"/>
      <c r="D1548" s="19" t="s">
        <v>693</v>
      </c>
      <c r="E1548" s="19" t="s">
        <v>10</v>
      </c>
      <c r="F1548" s="20" t="s">
        <v>3072</v>
      </c>
      <c r="G1548" s="19">
        <v>44281</v>
      </c>
      <c r="H1548" s="19" t="s">
        <v>5426</v>
      </c>
      <c r="I1548" s="135">
        <v>70743</v>
      </c>
      <c r="J1548" s="19" t="s">
        <v>5427</v>
      </c>
      <c r="K1548" s="19"/>
      <c r="L1548" s="19" t="s">
        <v>364</v>
      </c>
      <c r="M1548" s="19" t="s">
        <v>364</v>
      </c>
      <c r="N1548" s="19" t="s">
        <v>364</v>
      </c>
      <c r="O1548" s="19" t="s">
        <v>364</v>
      </c>
      <c r="P1548" s="463"/>
      <c r="Q1548" s="135"/>
      <c r="R1548" s="135"/>
      <c r="S1548" s="347"/>
      <c r="T1548" s="512" t="e">
        <f>_xlfn.XLOOKUP(H1548,#REF!,#REF!,0,0)</f>
        <v>#REF!</v>
      </c>
    </row>
    <row r="1549" spans="1:20" s="302" customFormat="1" x14ac:dyDescent="0.4">
      <c r="A1549" s="19" t="s">
        <v>5428</v>
      </c>
      <c r="B1549" s="19" t="s">
        <v>5429</v>
      </c>
      <c r="C1549" s="19"/>
      <c r="D1549" s="19" t="s">
        <v>693</v>
      </c>
      <c r="E1549" s="19" t="s">
        <v>10</v>
      </c>
      <c r="F1549" s="20" t="s">
        <v>3072</v>
      </c>
      <c r="G1549" s="19">
        <v>44281</v>
      </c>
      <c r="H1549" s="19" t="s">
        <v>5430</v>
      </c>
      <c r="I1549" s="135">
        <v>70742</v>
      </c>
      <c r="J1549" s="19" t="s">
        <v>5431</v>
      </c>
      <c r="K1549" s="19">
        <v>44439</v>
      </c>
      <c r="L1549" s="19" t="s">
        <v>364</v>
      </c>
      <c r="M1549" s="19" t="s">
        <v>364</v>
      </c>
      <c r="N1549" s="19" t="s">
        <v>364</v>
      </c>
      <c r="O1549" s="19" t="s">
        <v>364</v>
      </c>
      <c r="P1549" s="463"/>
      <c r="Q1549" s="135"/>
      <c r="R1549" s="135"/>
      <c r="S1549" s="347"/>
      <c r="T1549" s="512" t="e">
        <f>_xlfn.XLOOKUP(H1549,#REF!,#REF!,0,0)</f>
        <v>#REF!</v>
      </c>
    </row>
    <row r="1550" spans="1:20" s="302" customFormat="1" x14ac:dyDescent="0.4">
      <c r="A1550" s="19"/>
      <c r="B1550" s="19" t="s">
        <v>5432</v>
      </c>
      <c r="C1550" s="19"/>
      <c r="D1550" s="19" t="s">
        <v>693</v>
      </c>
      <c r="E1550" s="19" t="s">
        <v>10</v>
      </c>
      <c r="F1550" s="20" t="s">
        <v>3072</v>
      </c>
      <c r="G1550" s="19">
        <v>44323</v>
      </c>
      <c r="H1550" s="19" t="s">
        <v>5433</v>
      </c>
      <c r="I1550" s="135">
        <v>70945</v>
      </c>
      <c r="J1550" s="19"/>
      <c r="K1550" s="19">
        <v>44440</v>
      </c>
      <c r="L1550" s="19" t="s">
        <v>364</v>
      </c>
      <c r="M1550" s="19" t="s">
        <v>364</v>
      </c>
      <c r="N1550" s="19" t="s">
        <v>364</v>
      </c>
      <c r="O1550" s="19" t="s">
        <v>364</v>
      </c>
      <c r="P1550" s="463"/>
      <c r="Q1550" s="135"/>
      <c r="R1550" s="135"/>
      <c r="S1550" s="347"/>
      <c r="T1550" s="512" t="e">
        <f>_xlfn.XLOOKUP(H1550,#REF!,#REF!,0,0)</f>
        <v>#REF!</v>
      </c>
    </row>
    <row r="1551" spans="1:20" s="302" customFormat="1" x14ac:dyDescent="0.4">
      <c r="A1551" s="19" t="s">
        <v>5434</v>
      </c>
      <c r="B1551" s="19" t="s">
        <v>5435</v>
      </c>
      <c r="C1551" s="19"/>
      <c r="D1551" s="19" t="s">
        <v>693</v>
      </c>
      <c r="E1551" s="19" t="s">
        <v>10</v>
      </c>
      <c r="F1551" s="20" t="s">
        <v>5179</v>
      </c>
      <c r="G1551" s="19">
        <v>44281</v>
      </c>
      <c r="H1551" s="19" t="s">
        <v>267</v>
      </c>
      <c r="I1551" s="135">
        <v>70712</v>
      </c>
      <c r="J1551" s="19" t="s">
        <v>5436</v>
      </c>
      <c r="K1551" s="19">
        <v>44445</v>
      </c>
      <c r="L1551" s="19" t="s">
        <v>364</v>
      </c>
      <c r="M1551" s="19" t="s">
        <v>364</v>
      </c>
      <c r="N1551" s="19" t="s">
        <v>364</v>
      </c>
      <c r="O1551" s="19" t="s">
        <v>364</v>
      </c>
      <c r="P1551" s="463" t="s">
        <v>5437</v>
      </c>
      <c r="Q1551" s="135"/>
      <c r="R1551" s="135"/>
      <c r="S1551" s="347"/>
      <c r="T1551" s="512" t="e">
        <f>_xlfn.XLOOKUP(H1551,#REF!,#REF!,0,0)</f>
        <v>#REF!</v>
      </c>
    </row>
    <row r="1552" spans="1:20" s="302" customFormat="1" x14ac:dyDescent="0.4">
      <c r="A1552" s="19" t="s">
        <v>5438</v>
      </c>
      <c r="B1552" s="19" t="s">
        <v>5439</v>
      </c>
      <c r="C1552" s="19"/>
      <c r="D1552" s="19" t="s">
        <v>693</v>
      </c>
      <c r="E1552" s="19" t="s">
        <v>10</v>
      </c>
      <c r="F1552" s="20" t="s">
        <v>3072</v>
      </c>
      <c r="G1552" s="19">
        <v>44323</v>
      </c>
      <c r="H1552" s="19" t="s">
        <v>277</v>
      </c>
      <c r="I1552" s="135">
        <v>70966</v>
      </c>
      <c r="J1552" s="19" t="s">
        <v>5440</v>
      </c>
      <c r="K1552" s="19">
        <v>44445</v>
      </c>
      <c r="L1552" s="19" t="s">
        <v>364</v>
      </c>
      <c r="M1552" s="19" t="s">
        <v>364</v>
      </c>
      <c r="N1552" s="19" t="s">
        <v>364</v>
      </c>
      <c r="O1552" s="19" t="s">
        <v>364</v>
      </c>
      <c r="P1552" s="463"/>
      <c r="Q1552" s="135"/>
      <c r="R1552" s="135"/>
      <c r="S1552" s="347"/>
      <c r="T1552" s="512" t="e">
        <f>_xlfn.XLOOKUP(H1552,#REF!,#REF!,0,0)</f>
        <v>#REF!</v>
      </c>
    </row>
    <row r="1553" spans="1:20" s="302" customFormat="1" x14ac:dyDescent="0.4">
      <c r="A1553" s="19" t="s">
        <v>5441</v>
      </c>
      <c r="B1553" s="19" t="s">
        <v>5442</v>
      </c>
      <c r="C1553" s="19"/>
      <c r="D1553" s="19" t="s">
        <v>693</v>
      </c>
      <c r="E1553" s="19" t="s">
        <v>10</v>
      </c>
      <c r="F1553" s="20" t="s">
        <v>3072</v>
      </c>
      <c r="G1553" s="19">
        <v>44323</v>
      </c>
      <c r="H1553" s="19" t="s">
        <v>317</v>
      </c>
      <c r="I1553" s="135">
        <v>70965</v>
      </c>
      <c r="J1553" s="19" t="s">
        <v>5443</v>
      </c>
      <c r="K1553" s="19" t="s">
        <v>5444</v>
      </c>
      <c r="L1553" s="19" t="s">
        <v>364</v>
      </c>
      <c r="M1553" s="19" t="s">
        <v>364</v>
      </c>
      <c r="N1553" s="19" t="s">
        <v>364</v>
      </c>
      <c r="O1553" s="19" t="s">
        <v>364</v>
      </c>
      <c r="P1553" s="463"/>
      <c r="Q1553" s="135"/>
      <c r="R1553" s="135"/>
      <c r="S1553" s="347"/>
      <c r="T1553" s="512" t="e">
        <f>_xlfn.XLOOKUP(H1553,#REF!,#REF!,0,0)</f>
        <v>#REF!</v>
      </c>
    </row>
    <row r="1554" spans="1:20" s="302" customFormat="1" x14ac:dyDescent="0.4">
      <c r="A1554" s="19" t="s">
        <v>5445</v>
      </c>
      <c r="B1554" s="19" t="s">
        <v>5446</v>
      </c>
      <c r="C1554" s="19"/>
      <c r="D1554" s="19" t="s">
        <v>693</v>
      </c>
      <c r="E1554" s="19" t="s">
        <v>10</v>
      </c>
      <c r="F1554" s="20" t="s">
        <v>5179</v>
      </c>
      <c r="G1554" s="19">
        <v>44281</v>
      </c>
      <c r="H1554" s="19" t="s">
        <v>5447</v>
      </c>
      <c r="I1554" s="135">
        <v>70660</v>
      </c>
      <c r="J1554" s="19" t="s">
        <v>5448</v>
      </c>
      <c r="K1554" s="19">
        <v>44446.604166666664</v>
      </c>
      <c r="L1554" s="19" t="s">
        <v>364</v>
      </c>
      <c r="M1554" s="19" t="s">
        <v>364</v>
      </c>
      <c r="N1554" s="19" t="s">
        <v>364</v>
      </c>
      <c r="O1554" s="19" t="s">
        <v>364</v>
      </c>
      <c r="P1554" s="463"/>
      <c r="Q1554" s="135"/>
      <c r="R1554" s="135"/>
      <c r="S1554" s="347"/>
      <c r="T1554" s="512" t="e">
        <f>_xlfn.XLOOKUP(H1554,#REF!,#REF!,0,0)</f>
        <v>#REF!</v>
      </c>
    </row>
    <row r="1555" spans="1:20" s="302" customFormat="1" x14ac:dyDescent="0.4">
      <c r="A1555" s="19" t="s">
        <v>5449</v>
      </c>
      <c r="B1555" s="19" t="s">
        <v>5450</v>
      </c>
      <c r="C1555" s="19"/>
      <c r="D1555" s="19" t="s">
        <v>693</v>
      </c>
      <c r="E1555" s="19" t="s">
        <v>10</v>
      </c>
      <c r="F1555" s="20" t="s">
        <v>5179</v>
      </c>
      <c r="G1555" s="19">
        <v>44281</v>
      </c>
      <c r="H1555" s="19" t="s">
        <v>5451</v>
      </c>
      <c r="I1555" s="135">
        <v>70658</v>
      </c>
      <c r="J1555" s="19" t="s">
        <v>5452</v>
      </c>
      <c r="K1555" s="19"/>
      <c r="L1555" s="19" t="s">
        <v>364</v>
      </c>
      <c r="M1555" s="19" t="s">
        <v>364</v>
      </c>
      <c r="N1555" s="19" t="s">
        <v>364</v>
      </c>
      <c r="O1555" s="19" t="s">
        <v>364</v>
      </c>
      <c r="P1555" s="463"/>
      <c r="Q1555" s="135"/>
      <c r="R1555" s="135"/>
      <c r="S1555" s="347"/>
      <c r="T1555" s="512" t="e">
        <f>_xlfn.XLOOKUP(H1555,#REF!,#REF!,0,0)</f>
        <v>#REF!</v>
      </c>
    </row>
    <row r="1556" spans="1:20" s="302" customFormat="1" x14ac:dyDescent="0.4">
      <c r="A1556" s="19" t="s">
        <v>5453</v>
      </c>
      <c r="B1556" s="19" t="s">
        <v>5454</v>
      </c>
      <c r="C1556" s="19"/>
      <c r="D1556" s="19" t="s">
        <v>693</v>
      </c>
      <c r="E1556" s="19" t="s">
        <v>10</v>
      </c>
      <c r="F1556" s="20" t="s">
        <v>3072</v>
      </c>
      <c r="G1556" s="19">
        <v>44281</v>
      </c>
      <c r="H1556" s="19" t="s">
        <v>5455</v>
      </c>
      <c r="I1556" s="135">
        <v>70744</v>
      </c>
      <c r="J1556" s="19" t="s">
        <v>5456</v>
      </c>
      <c r="K1556" s="19">
        <v>44447</v>
      </c>
      <c r="L1556" s="19" t="s">
        <v>364</v>
      </c>
      <c r="M1556" s="19" t="s">
        <v>364</v>
      </c>
      <c r="N1556" s="19" t="s">
        <v>364</v>
      </c>
      <c r="O1556" s="19" t="s">
        <v>364</v>
      </c>
      <c r="P1556" s="463"/>
      <c r="Q1556" s="135"/>
      <c r="R1556" s="135"/>
      <c r="S1556" s="347"/>
      <c r="T1556" s="512" t="e">
        <f>_xlfn.XLOOKUP(H1556,#REF!,#REF!,0,0)</f>
        <v>#REF!</v>
      </c>
    </row>
    <row r="1557" spans="1:20" s="302" customFormat="1" x14ac:dyDescent="0.4">
      <c r="A1557" s="19" t="s">
        <v>5457</v>
      </c>
      <c r="B1557" s="19" t="s">
        <v>5458</v>
      </c>
      <c r="C1557" s="19"/>
      <c r="D1557" s="19" t="s">
        <v>693</v>
      </c>
      <c r="E1557" s="19" t="s">
        <v>10</v>
      </c>
      <c r="F1557" s="20" t="s">
        <v>5179</v>
      </c>
      <c r="G1557" s="19">
        <v>44281</v>
      </c>
      <c r="H1557" s="19" t="s">
        <v>5459</v>
      </c>
      <c r="I1557" s="135">
        <v>70620</v>
      </c>
      <c r="J1557" s="19" t="s">
        <v>5460</v>
      </c>
      <c r="K1557" s="19" t="s">
        <v>5461</v>
      </c>
      <c r="L1557" s="19" t="s">
        <v>364</v>
      </c>
      <c r="M1557" s="19" t="s">
        <v>364</v>
      </c>
      <c r="N1557" s="19" t="s">
        <v>364</v>
      </c>
      <c r="O1557" s="19" t="s">
        <v>364</v>
      </c>
      <c r="P1557" s="463"/>
      <c r="Q1557" s="135"/>
      <c r="R1557" s="135"/>
      <c r="S1557" s="347"/>
      <c r="T1557" s="512" t="e">
        <f>_xlfn.XLOOKUP(H1557,#REF!,#REF!,0,0)</f>
        <v>#REF!</v>
      </c>
    </row>
    <row r="1558" spans="1:20" s="302" customFormat="1" x14ac:dyDescent="0.4">
      <c r="A1558" s="19" t="s">
        <v>5462</v>
      </c>
      <c r="B1558" s="19" t="s">
        <v>5463</v>
      </c>
      <c r="C1558" s="19"/>
      <c r="D1558" s="19" t="s">
        <v>693</v>
      </c>
      <c r="E1558" s="19" t="s">
        <v>10</v>
      </c>
      <c r="F1558" s="20" t="s">
        <v>5179</v>
      </c>
      <c r="G1558" s="19">
        <v>44281</v>
      </c>
      <c r="H1558" s="19" t="s">
        <v>258</v>
      </c>
      <c r="I1558" s="135">
        <v>70659</v>
      </c>
      <c r="J1558" s="19" t="s">
        <v>5464</v>
      </c>
      <c r="K1558" s="19" t="s">
        <v>5465</v>
      </c>
      <c r="L1558" s="19" t="s">
        <v>364</v>
      </c>
      <c r="M1558" s="19" t="s">
        <v>364</v>
      </c>
      <c r="N1558" s="19" t="s">
        <v>364</v>
      </c>
      <c r="O1558" s="19" t="s">
        <v>364</v>
      </c>
      <c r="P1558" s="463" t="s">
        <v>5466</v>
      </c>
      <c r="Q1558" s="135"/>
      <c r="R1558" s="135"/>
      <c r="S1558" s="347"/>
      <c r="T1558" s="512" t="e">
        <f>_xlfn.XLOOKUP(H1558,#REF!,#REF!,0,0)</f>
        <v>#REF!</v>
      </c>
    </row>
    <row r="1559" spans="1:20" s="302" customFormat="1" x14ac:dyDescent="0.4">
      <c r="A1559" s="19" t="s">
        <v>5467</v>
      </c>
      <c r="B1559" s="19" t="s">
        <v>5468</v>
      </c>
      <c r="C1559" s="19"/>
      <c r="D1559" s="19" t="s">
        <v>693</v>
      </c>
      <c r="E1559" s="19" t="s">
        <v>10</v>
      </c>
      <c r="F1559" s="20" t="s">
        <v>5179</v>
      </c>
      <c r="G1559" s="19">
        <v>44281</v>
      </c>
      <c r="H1559" s="19" t="s">
        <v>5469</v>
      </c>
      <c r="I1559" s="135">
        <v>70661</v>
      </c>
      <c r="J1559" s="19" t="s">
        <v>5470</v>
      </c>
      <c r="K1559" s="19">
        <v>44449.375</v>
      </c>
      <c r="L1559" s="19" t="s">
        <v>364</v>
      </c>
      <c r="M1559" s="19" t="s">
        <v>364</v>
      </c>
      <c r="N1559" s="19" t="s">
        <v>364</v>
      </c>
      <c r="O1559" s="19" t="s">
        <v>364</v>
      </c>
      <c r="P1559" s="463"/>
      <c r="Q1559" s="135"/>
      <c r="R1559" s="135"/>
      <c r="S1559" s="347"/>
      <c r="T1559" s="512" t="e">
        <f>_xlfn.XLOOKUP(H1559,#REF!,#REF!,0,0)</f>
        <v>#REF!</v>
      </c>
    </row>
    <row r="1560" spans="1:20" s="302" customFormat="1" x14ac:dyDescent="0.4">
      <c r="A1560" s="19" t="s">
        <v>5471</v>
      </c>
      <c r="B1560" s="19" t="s">
        <v>5472</v>
      </c>
      <c r="C1560" s="19"/>
      <c r="D1560" s="19" t="s">
        <v>693</v>
      </c>
      <c r="E1560" s="19" t="s">
        <v>3785</v>
      </c>
      <c r="F1560" s="20" t="s">
        <v>5473</v>
      </c>
      <c r="G1560" s="19" t="s">
        <v>163</v>
      </c>
      <c r="H1560" s="19" t="s">
        <v>364</v>
      </c>
      <c r="I1560" s="135" t="s">
        <v>364</v>
      </c>
      <c r="J1560" s="19" t="s">
        <v>364</v>
      </c>
      <c r="K1560" s="19">
        <v>44452</v>
      </c>
      <c r="L1560" s="19" t="s">
        <v>364</v>
      </c>
      <c r="M1560" s="19" t="s">
        <v>364</v>
      </c>
      <c r="N1560" s="19" t="s">
        <v>364</v>
      </c>
      <c r="O1560" s="19" t="s">
        <v>364</v>
      </c>
      <c r="P1560" s="463"/>
      <c r="Q1560" s="135"/>
      <c r="R1560" s="135"/>
      <c r="S1560" s="347"/>
      <c r="T1560" s="512" t="e">
        <f>_xlfn.XLOOKUP(H1560,#REF!,#REF!,0,0)</f>
        <v>#REF!</v>
      </c>
    </row>
    <row r="1561" spans="1:20" s="302" customFormat="1" x14ac:dyDescent="0.4">
      <c r="A1561" s="19" t="s">
        <v>5474</v>
      </c>
      <c r="B1561" s="19" t="s">
        <v>5475</v>
      </c>
      <c r="C1561" s="19"/>
      <c r="D1561" s="19" t="s">
        <v>693</v>
      </c>
      <c r="E1561" s="19" t="s">
        <v>3785</v>
      </c>
      <c r="F1561" s="20" t="s">
        <v>5473</v>
      </c>
      <c r="G1561" s="19" t="s">
        <v>182</v>
      </c>
      <c r="H1561" s="19" t="s">
        <v>364</v>
      </c>
      <c r="I1561" s="135" t="s">
        <v>364</v>
      </c>
      <c r="J1561" s="19" t="s">
        <v>364</v>
      </c>
      <c r="K1561" s="19">
        <v>44452</v>
      </c>
      <c r="L1561" s="19" t="s">
        <v>364</v>
      </c>
      <c r="M1561" s="19" t="s">
        <v>364</v>
      </c>
      <c r="N1561" s="19" t="s">
        <v>364</v>
      </c>
      <c r="O1561" s="19" t="s">
        <v>364</v>
      </c>
      <c r="P1561" s="463"/>
      <c r="Q1561" s="135"/>
      <c r="R1561" s="135"/>
      <c r="S1561" s="347"/>
      <c r="T1561" s="512" t="e">
        <f>_xlfn.XLOOKUP(H1561,#REF!,#REF!,0,0)</f>
        <v>#REF!</v>
      </c>
    </row>
    <row r="1562" spans="1:20" s="302" customFormat="1" x14ac:dyDescent="0.4">
      <c r="A1562" s="19" t="s">
        <v>5476</v>
      </c>
      <c r="B1562" s="19" t="s">
        <v>5477</v>
      </c>
      <c r="C1562" s="19"/>
      <c r="D1562" s="19" t="s">
        <v>693</v>
      </c>
      <c r="E1562" s="19" t="s">
        <v>3785</v>
      </c>
      <c r="F1562" s="20" t="s">
        <v>5473</v>
      </c>
      <c r="G1562" s="19" t="s">
        <v>5478</v>
      </c>
      <c r="H1562" s="19" t="s">
        <v>364</v>
      </c>
      <c r="I1562" s="135" t="s">
        <v>364</v>
      </c>
      <c r="J1562" s="19" t="s">
        <v>364</v>
      </c>
      <c r="K1562" s="19">
        <v>44452</v>
      </c>
      <c r="L1562" s="19" t="s">
        <v>364</v>
      </c>
      <c r="M1562" s="19" t="s">
        <v>364</v>
      </c>
      <c r="N1562" s="19" t="s">
        <v>364</v>
      </c>
      <c r="O1562" s="19" t="s">
        <v>364</v>
      </c>
      <c r="P1562" s="463"/>
      <c r="Q1562" s="135"/>
      <c r="R1562" s="135"/>
      <c r="S1562" s="347"/>
      <c r="T1562" s="512" t="e">
        <f>_xlfn.XLOOKUP(H1562,#REF!,#REF!,0,0)</f>
        <v>#REF!</v>
      </c>
    </row>
    <row r="1563" spans="1:20" s="302" customFormat="1" x14ac:dyDescent="0.4">
      <c r="A1563" s="19" t="s">
        <v>5479</v>
      </c>
      <c r="B1563" s="19" t="s">
        <v>5480</v>
      </c>
      <c r="C1563" s="19"/>
      <c r="D1563" s="19" t="s">
        <v>693</v>
      </c>
      <c r="E1563" s="19" t="s">
        <v>10</v>
      </c>
      <c r="F1563" s="20" t="s">
        <v>5179</v>
      </c>
      <c r="G1563" s="19">
        <v>44281</v>
      </c>
      <c r="H1563" s="19" t="s">
        <v>5481</v>
      </c>
      <c r="I1563" s="135">
        <v>70657</v>
      </c>
      <c r="J1563" s="19" t="s">
        <v>5482</v>
      </c>
      <c r="K1563" s="19">
        <v>44452</v>
      </c>
      <c r="L1563" s="19" t="s">
        <v>364</v>
      </c>
      <c r="M1563" s="19" t="s">
        <v>364</v>
      </c>
      <c r="N1563" s="19" t="s">
        <v>364</v>
      </c>
      <c r="O1563" s="19" t="s">
        <v>364</v>
      </c>
      <c r="P1563" s="463"/>
      <c r="Q1563" s="135"/>
      <c r="R1563" s="135"/>
      <c r="S1563" s="347"/>
      <c r="T1563" s="512" t="e">
        <f>_xlfn.XLOOKUP(H1563,#REF!,#REF!,0,0)</f>
        <v>#REF!</v>
      </c>
    </row>
    <row r="1564" spans="1:20" s="302" customFormat="1" x14ac:dyDescent="0.4">
      <c r="A1564" s="19" t="s">
        <v>5483</v>
      </c>
      <c r="B1564" s="19" t="s">
        <v>5484</v>
      </c>
      <c r="C1564" s="19"/>
      <c r="D1564" s="19" t="s">
        <v>693</v>
      </c>
      <c r="E1564" s="19" t="s">
        <v>10</v>
      </c>
      <c r="F1564" s="20" t="s">
        <v>5179</v>
      </c>
      <c r="G1564" s="19">
        <v>44281</v>
      </c>
      <c r="H1564" s="19" t="s">
        <v>5485</v>
      </c>
      <c r="I1564" s="135">
        <v>70722</v>
      </c>
      <c r="J1564" s="19" t="s">
        <v>5486</v>
      </c>
      <c r="K1564" s="19" t="s">
        <v>5487</v>
      </c>
      <c r="L1564" s="19" t="s">
        <v>364</v>
      </c>
      <c r="M1564" s="19" t="s">
        <v>364</v>
      </c>
      <c r="N1564" s="19" t="s">
        <v>364</v>
      </c>
      <c r="O1564" s="19" t="s">
        <v>364</v>
      </c>
      <c r="P1564" s="463" t="s">
        <v>5488</v>
      </c>
      <c r="Q1564" s="135"/>
      <c r="R1564" s="135"/>
      <c r="S1564" s="347"/>
      <c r="T1564" s="512" t="e">
        <f>_xlfn.XLOOKUP(H1564,#REF!,#REF!,0,0)</f>
        <v>#REF!</v>
      </c>
    </row>
    <row r="1565" spans="1:20" s="302" customFormat="1" x14ac:dyDescent="0.4">
      <c r="A1565" s="19" t="s">
        <v>5489</v>
      </c>
      <c r="B1565" s="19" t="s">
        <v>5490</v>
      </c>
      <c r="C1565" s="19"/>
      <c r="D1565" s="19" t="s">
        <v>693</v>
      </c>
      <c r="E1565" s="19" t="s">
        <v>10</v>
      </c>
      <c r="F1565" s="20" t="s">
        <v>3072</v>
      </c>
      <c r="G1565" s="19">
        <v>44323</v>
      </c>
      <c r="H1565" s="19" t="s">
        <v>5491</v>
      </c>
      <c r="I1565" s="135">
        <v>70957</v>
      </c>
      <c r="J1565" s="19" t="s">
        <v>5492</v>
      </c>
      <c r="K1565" s="19" t="s">
        <v>5493</v>
      </c>
      <c r="L1565" s="19" t="s">
        <v>364</v>
      </c>
      <c r="M1565" s="19" t="s">
        <v>364</v>
      </c>
      <c r="N1565" s="19" t="s">
        <v>364</v>
      </c>
      <c r="O1565" s="19" t="s">
        <v>364</v>
      </c>
      <c r="P1565" s="463" t="s">
        <v>5494</v>
      </c>
      <c r="Q1565" s="135"/>
      <c r="R1565" s="135"/>
      <c r="S1565" s="347"/>
      <c r="T1565" s="512" t="e">
        <f>_xlfn.XLOOKUP(H1565,#REF!,#REF!,0,0)</f>
        <v>#REF!</v>
      </c>
    </row>
    <row r="1566" spans="1:20" s="302" customFormat="1" x14ac:dyDescent="0.4">
      <c r="A1566" s="19" t="s">
        <v>5495</v>
      </c>
      <c r="B1566" s="19" t="s">
        <v>5496</v>
      </c>
      <c r="C1566" s="19"/>
      <c r="D1566" s="19" t="s">
        <v>693</v>
      </c>
      <c r="E1566" s="19" t="s">
        <v>10</v>
      </c>
      <c r="F1566" s="20" t="s">
        <v>5179</v>
      </c>
      <c r="G1566" s="19"/>
      <c r="H1566" s="19" t="s">
        <v>5497</v>
      </c>
      <c r="I1566" s="135">
        <v>69870</v>
      </c>
      <c r="J1566" s="19"/>
      <c r="K1566" s="19" t="s">
        <v>5498</v>
      </c>
      <c r="L1566" s="19" t="s">
        <v>364</v>
      </c>
      <c r="M1566" s="19" t="s">
        <v>364</v>
      </c>
      <c r="N1566" s="19" t="s">
        <v>364</v>
      </c>
      <c r="O1566" s="19" t="s">
        <v>364</v>
      </c>
      <c r="P1566" s="463"/>
      <c r="Q1566" s="135"/>
      <c r="R1566" s="135"/>
      <c r="S1566" s="347"/>
      <c r="T1566" s="512" t="e">
        <f>_xlfn.XLOOKUP(H1566,#REF!,#REF!,0,0)</f>
        <v>#REF!</v>
      </c>
    </row>
    <row r="1567" spans="1:20" s="302" customFormat="1" x14ac:dyDescent="0.4">
      <c r="A1567" s="19" t="s">
        <v>5499</v>
      </c>
      <c r="B1567" s="19" t="s">
        <v>5500</v>
      </c>
      <c r="C1567" s="19"/>
      <c r="D1567" s="19" t="s">
        <v>693</v>
      </c>
      <c r="E1567" s="19" t="s">
        <v>3785</v>
      </c>
      <c r="F1567" s="20" t="s">
        <v>5501</v>
      </c>
      <c r="G1567" s="19" t="s">
        <v>5502</v>
      </c>
      <c r="H1567" s="19" t="s">
        <v>364</v>
      </c>
      <c r="I1567" s="135" t="s">
        <v>364</v>
      </c>
      <c r="J1567" s="19" t="s">
        <v>364</v>
      </c>
      <c r="K1567" s="19"/>
      <c r="L1567" s="19" t="s">
        <v>364</v>
      </c>
      <c r="M1567" s="19" t="s">
        <v>364</v>
      </c>
      <c r="N1567" s="19" t="s">
        <v>364</v>
      </c>
      <c r="O1567" s="19" t="s">
        <v>364</v>
      </c>
      <c r="P1567" s="463"/>
      <c r="Q1567" s="135"/>
      <c r="R1567" s="135"/>
      <c r="S1567" s="347"/>
      <c r="T1567" s="512" t="e">
        <f>_xlfn.XLOOKUP(H1567,#REF!,#REF!,0,0)</f>
        <v>#REF!</v>
      </c>
    </row>
    <row r="1568" spans="1:20" s="302" customFormat="1" x14ac:dyDescent="0.4">
      <c r="A1568" s="19" t="s">
        <v>5503</v>
      </c>
      <c r="B1568" s="19" t="s">
        <v>5504</v>
      </c>
      <c r="C1568" s="19"/>
      <c r="D1568" s="19" t="s">
        <v>693</v>
      </c>
      <c r="E1568" s="19" t="s">
        <v>10</v>
      </c>
      <c r="F1568" s="20" t="s">
        <v>5179</v>
      </c>
      <c r="G1568" s="19">
        <v>44281</v>
      </c>
      <c r="H1568" s="19" t="s">
        <v>5505</v>
      </c>
      <c r="I1568" s="135">
        <v>70702</v>
      </c>
      <c r="J1568" s="19" t="s">
        <v>5506</v>
      </c>
      <c r="K1568" s="19">
        <v>44454</v>
      </c>
      <c r="L1568" s="19" t="s">
        <v>364</v>
      </c>
      <c r="M1568" s="19" t="s">
        <v>364</v>
      </c>
      <c r="N1568" s="19" t="s">
        <v>364</v>
      </c>
      <c r="O1568" s="19" t="s">
        <v>364</v>
      </c>
      <c r="P1568" s="463"/>
      <c r="Q1568" s="135"/>
      <c r="R1568" s="135"/>
      <c r="S1568" s="347"/>
      <c r="T1568" s="512" t="e">
        <f>_xlfn.XLOOKUP(H1568,#REF!,#REF!,0,0)</f>
        <v>#REF!</v>
      </c>
    </row>
    <row r="1569" spans="1:20" s="302" customFormat="1" x14ac:dyDescent="0.4">
      <c r="A1569" s="19" t="s">
        <v>5507</v>
      </c>
      <c r="B1569" s="19" t="s">
        <v>5508</v>
      </c>
      <c r="C1569" s="19"/>
      <c r="D1569" s="19" t="s">
        <v>693</v>
      </c>
      <c r="E1569" s="19" t="s">
        <v>10</v>
      </c>
      <c r="F1569" s="20" t="s">
        <v>5179</v>
      </c>
      <c r="G1569" s="19">
        <v>44281</v>
      </c>
      <c r="H1569" s="19" t="s">
        <v>265</v>
      </c>
      <c r="I1569" s="135">
        <v>70703</v>
      </c>
      <c r="J1569" s="19" t="s">
        <v>5509</v>
      </c>
      <c r="K1569" s="19">
        <v>44454</v>
      </c>
      <c r="L1569" s="19" t="s">
        <v>364</v>
      </c>
      <c r="M1569" s="19" t="s">
        <v>364</v>
      </c>
      <c r="N1569" s="19" t="s">
        <v>364</v>
      </c>
      <c r="O1569" s="19" t="s">
        <v>364</v>
      </c>
      <c r="P1569" s="463"/>
      <c r="Q1569" s="135"/>
      <c r="R1569" s="135"/>
      <c r="S1569" s="347"/>
      <c r="T1569" s="512" t="e">
        <f>_xlfn.XLOOKUP(H1569,#REF!,#REF!,0,0)</f>
        <v>#REF!</v>
      </c>
    </row>
    <row r="1570" spans="1:20" s="302" customFormat="1" x14ac:dyDescent="0.4">
      <c r="A1570" s="19" t="s">
        <v>5510</v>
      </c>
      <c r="B1570" s="19" t="s">
        <v>5511</v>
      </c>
      <c r="C1570" s="19"/>
      <c r="D1570" s="19" t="s">
        <v>693</v>
      </c>
      <c r="E1570" s="19" t="s">
        <v>10</v>
      </c>
      <c r="F1570" s="20" t="s">
        <v>3072</v>
      </c>
      <c r="G1570" s="19">
        <v>44323</v>
      </c>
      <c r="H1570" s="19" t="s">
        <v>5512</v>
      </c>
      <c r="I1570" s="135">
        <v>70967</v>
      </c>
      <c r="J1570" s="19" t="s">
        <v>5513</v>
      </c>
      <c r="K1570" s="19" t="s">
        <v>5514</v>
      </c>
      <c r="L1570" s="19" t="s">
        <v>364</v>
      </c>
      <c r="M1570" s="19" t="s">
        <v>364</v>
      </c>
      <c r="N1570" s="19" t="s">
        <v>364</v>
      </c>
      <c r="O1570" s="19" t="s">
        <v>364</v>
      </c>
      <c r="P1570" s="463" t="s">
        <v>5515</v>
      </c>
      <c r="Q1570" s="135"/>
      <c r="R1570" s="135"/>
      <c r="S1570" s="347"/>
      <c r="T1570" s="512" t="e">
        <f>_xlfn.XLOOKUP(H1570,#REF!,#REF!,0,0)</f>
        <v>#REF!</v>
      </c>
    </row>
    <row r="1571" spans="1:20" s="302" customFormat="1" x14ac:dyDescent="0.4">
      <c r="A1571" s="19" t="s">
        <v>5516</v>
      </c>
      <c r="B1571" s="19" t="s">
        <v>5517</v>
      </c>
      <c r="C1571" s="19"/>
      <c r="D1571" s="19" t="s">
        <v>693</v>
      </c>
      <c r="E1571" s="19" t="s">
        <v>10</v>
      </c>
      <c r="F1571" s="20" t="s">
        <v>5179</v>
      </c>
      <c r="G1571" s="19">
        <v>44281</v>
      </c>
      <c r="H1571" s="19" t="s">
        <v>5518</v>
      </c>
      <c r="I1571" s="135">
        <v>70672</v>
      </c>
      <c r="J1571" s="19" t="s">
        <v>5519</v>
      </c>
      <c r="K1571" s="19" t="s">
        <v>5520</v>
      </c>
      <c r="L1571" s="19" t="s">
        <v>364</v>
      </c>
      <c r="M1571" s="19" t="s">
        <v>364</v>
      </c>
      <c r="N1571" s="19" t="s">
        <v>364</v>
      </c>
      <c r="O1571" s="19" t="s">
        <v>364</v>
      </c>
      <c r="P1571" s="463"/>
      <c r="Q1571" s="135"/>
      <c r="R1571" s="135"/>
      <c r="S1571" s="347"/>
      <c r="T1571" s="512" t="e">
        <f>_xlfn.XLOOKUP(H1571,#REF!,#REF!,0,0)</f>
        <v>#REF!</v>
      </c>
    </row>
    <row r="1572" spans="1:20" s="302" customFormat="1" x14ac:dyDescent="0.4">
      <c r="A1572" s="19" t="s">
        <v>5521</v>
      </c>
      <c r="B1572" s="19" t="s">
        <v>5522</v>
      </c>
      <c r="C1572" s="19"/>
      <c r="D1572" s="19" t="s">
        <v>693</v>
      </c>
      <c r="E1572" s="19" t="s">
        <v>10</v>
      </c>
      <c r="F1572" s="20" t="s">
        <v>3072</v>
      </c>
      <c r="G1572" s="19">
        <v>44323</v>
      </c>
      <c r="H1572" s="19" t="s">
        <v>5523</v>
      </c>
      <c r="I1572" s="135">
        <v>70958</v>
      </c>
      <c r="J1572" s="19" t="s">
        <v>5524</v>
      </c>
      <c r="K1572" s="19">
        <v>44454</v>
      </c>
      <c r="L1572" s="19" t="s">
        <v>364</v>
      </c>
      <c r="M1572" s="19" t="s">
        <v>364</v>
      </c>
      <c r="N1572" s="19" t="s">
        <v>364</v>
      </c>
      <c r="O1572" s="19" t="s">
        <v>364</v>
      </c>
      <c r="P1572" s="463" t="s">
        <v>5255</v>
      </c>
      <c r="Q1572" s="135"/>
      <c r="R1572" s="135"/>
      <c r="S1572" s="347"/>
      <c r="T1572" s="512" t="e">
        <f>_xlfn.XLOOKUP(H1572,#REF!,#REF!,0,0)</f>
        <v>#REF!</v>
      </c>
    </row>
    <row r="1573" spans="1:20" s="302" customFormat="1" x14ac:dyDescent="0.4">
      <c r="A1573" s="19" t="s">
        <v>5525</v>
      </c>
      <c r="B1573" s="19" t="s">
        <v>5526</v>
      </c>
      <c r="C1573" s="19"/>
      <c r="D1573" s="19" t="s">
        <v>704</v>
      </c>
      <c r="E1573" s="19" t="s">
        <v>10</v>
      </c>
      <c r="F1573" s="20" t="s">
        <v>3072</v>
      </c>
      <c r="G1573" s="19">
        <v>44281</v>
      </c>
      <c r="H1573" s="19" t="s">
        <v>5527</v>
      </c>
      <c r="I1573" s="135">
        <v>70750</v>
      </c>
      <c r="J1573" s="19" t="s">
        <v>5528</v>
      </c>
      <c r="K1573" s="19" t="s">
        <v>5529</v>
      </c>
      <c r="L1573" s="19" t="s">
        <v>364</v>
      </c>
      <c r="M1573" s="19" t="s">
        <v>364</v>
      </c>
      <c r="N1573" s="19" t="s">
        <v>364</v>
      </c>
      <c r="O1573" s="19" t="s">
        <v>364</v>
      </c>
      <c r="P1573" s="463" t="s">
        <v>5530</v>
      </c>
      <c r="Q1573" s="135"/>
      <c r="R1573" s="135"/>
      <c r="S1573" s="347"/>
      <c r="T1573" s="512" t="e">
        <f>_xlfn.XLOOKUP(H1573,#REF!,#REF!,0,0)</f>
        <v>#REF!</v>
      </c>
    </row>
    <row r="1574" spans="1:20" s="302" customFormat="1" x14ac:dyDescent="0.4">
      <c r="A1574" s="19" t="s">
        <v>5531</v>
      </c>
      <c r="B1574" s="19" t="s">
        <v>5532</v>
      </c>
      <c r="C1574" s="19"/>
      <c r="D1574" s="19" t="s">
        <v>704</v>
      </c>
      <c r="E1574" s="19" t="s">
        <v>10</v>
      </c>
      <c r="F1574" s="20" t="s">
        <v>3072</v>
      </c>
      <c r="G1574" s="19">
        <v>44323</v>
      </c>
      <c r="H1574" s="19" t="s">
        <v>282</v>
      </c>
      <c r="I1574" s="135">
        <v>70991</v>
      </c>
      <c r="J1574" s="19" t="s">
        <v>5533</v>
      </c>
      <c r="K1574" s="19"/>
      <c r="L1574" s="19" t="s">
        <v>364</v>
      </c>
      <c r="M1574" s="19" t="s">
        <v>364</v>
      </c>
      <c r="N1574" s="19" t="s">
        <v>364</v>
      </c>
      <c r="O1574" s="19" t="s">
        <v>364</v>
      </c>
      <c r="P1574" s="463"/>
      <c r="Q1574" s="135"/>
      <c r="R1574" s="135"/>
      <c r="S1574" s="347"/>
      <c r="T1574" s="512" t="e">
        <f>_xlfn.XLOOKUP(H1574,#REF!,#REF!,0,0)</f>
        <v>#REF!</v>
      </c>
    </row>
    <row r="1575" spans="1:20" s="302" customFormat="1" x14ac:dyDescent="0.4">
      <c r="A1575" s="19" t="s">
        <v>5534</v>
      </c>
      <c r="B1575" s="19" t="s">
        <v>5535</v>
      </c>
      <c r="C1575" s="19"/>
      <c r="D1575" s="19" t="s">
        <v>693</v>
      </c>
      <c r="E1575" s="19" t="s">
        <v>10</v>
      </c>
      <c r="F1575" s="20" t="s">
        <v>5179</v>
      </c>
      <c r="G1575" s="19">
        <v>44281</v>
      </c>
      <c r="H1575" s="19" t="s">
        <v>5536</v>
      </c>
      <c r="I1575" s="135">
        <v>70701</v>
      </c>
      <c r="J1575" s="19" t="s">
        <v>5537</v>
      </c>
      <c r="K1575" s="19" t="s">
        <v>5538</v>
      </c>
      <c r="L1575" s="19" t="s">
        <v>364</v>
      </c>
      <c r="M1575" s="19" t="s">
        <v>364</v>
      </c>
      <c r="N1575" s="19" t="s">
        <v>364</v>
      </c>
      <c r="O1575" s="19" t="s">
        <v>364</v>
      </c>
      <c r="P1575" s="463" t="s">
        <v>5539</v>
      </c>
      <c r="Q1575" s="135"/>
      <c r="R1575" s="135"/>
      <c r="S1575" s="347"/>
      <c r="T1575" s="512" t="e">
        <f>_xlfn.XLOOKUP(H1575,#REF!,#REF!,0,0)</f>
        <v>#REF!</v>
      </c>
    </row>
    <row r="1576" spans="1:20" s="302" customFormat="1" x14ac:dyDescent="0.4">
      <c r="A1576" s="19" t="s">
        <v>5540</v>
      </c>
      <c r="B1576" s="19" t="s">
        <v>5541</v>
      </c>
      <c r="C1576" s="19"/>
      <c r="D1576" s="19" t="s">
        <v>704</v>
      </c>
      <c r="E1576" s="19" t="s">
        <v>10</v>
      </c>
      <c r="F1576" s="20" t="s">
        <v>3072</v>
      </c>
      <c r="G1576" s="19">
        <v>44323</v>
      </c>
      <c r="H1576" s="19" t="s">
        <v>5542</v>
      </c>
      <c r="I1576" s="135">
        <v>70959</v>
      </c>
      <c r="J1576" s="19" t="s">
        <v>5543</v>
      </c>
      <c r="K1576" s="19" t="s">
        <v>5544</v>
      </c>
      <c r="L1576" s="19" t="s">
        <v>364</v>
      </c>
      <c r="M1576" s="19" t="s">
        <v>364</v>
      </c>
      <c r="N1576" s="19" t="s">
        <v>364</v>
      </c>
      <c r="O1576" s="19" t="s">
        <v>364</v>
      </c>
      <c r="P1576" s="463"/>
      <c r="Q1576" s="135"/>
      <c r="R1576" s="135"/>
      <c r="S1576" s="347"/>
      <c r="T1576" s="512" t="e">
        <f>_xlfn.XLOOKUP(H1576,#REF!,#REF!,0,0)</f>
        <v>#REF!</v>
      </c>
    </row>
    <row r="1577" spans="1:20" s="302" customFormat="1" x14ac:dyDescent="0.4">
      <c r="A1577" s="19" t="s">
        <v>5545</v>
      </c>
      <c r="B1577" s="19" t="s">
        <v>5546</v>
      </c>
      <c r="C1577" s="19"/>
      <c r="D1577" s="19" t="s">
        <v>704</v>
      </c>
      <c r="E1577" s="19" t="s">
        <v>10</v>
      </c>
      <c r="F1577" s="20" t="s">
        <v>5179</v>
      </c>
      <c r="G1577" s="19">
        <v>44281</v>
      </c>
      <c r="H1577" s="19" t="s">
        <v>5547</v>
      </c>
      <c r="I1577" s="135">
        <v>70693</v>
      </c>
      <c r="J1577" s="19" t="s">
        <v>5548</v>
      </c>
      <c r="K1577" s="19">
        <v>44462</v>
      </c>
      <c r="L1577" s="19" t="s">
        <v>364</v>
      </c>
      <c r="M1577" s="19" t="s">
        <v>364</v>
      </c>
      <c r="N1577" s="19" t="s">
        <v>364</v>
      </c>
      <c r="O1577" s="19" t="s">
        <v>364</v>
      </c>
      <c r="P1577" s="463" t="s">
        <v>5549</v>
      </c>
      <c r="Q1577" s="135"/>
      <c r="R1577" s="135"/>
      <c r="S1577" s="347"/>
      <c r="T1577" s="512" t="e">
        <f>_xlfn.XLOOKUP(H1577,#REF!,#REF!,0,0)</f>
        <v>#REF!</v>
      </c>
    </row>
    <row r="1578" spans="1:20" s="302" customFormat="1" x14ac:dyDescent="0.4">
      <c r="A1578" s="19" t="s">
        <v>5550</v>
      </c>
      <c r="B1578" s="19" t="s">
        <v>5551</v>
      </c>
      <c r="C1578" s="19"/>
      <c r="D1578" s="19" t="s">
        <v>704</v>
      </c>
      <c r="E1578" s="19" t="s">
        <v>10</v>
      </c>
      <c r="F1578" s="20" t="s">
        <v>5179</v>
      </c>
      <c r="G1578" s="19">
        <v>44281</v>
      </c>
      <c r="H1578" s="19" t="s">
        <v>5552</v>
      </c>
      <c r="I1578" s="135">
        <v>70689</v>
      </c>
      <c r="J1578" s="19" t="s">
        <v>5553</v>
      </c>
      <c r="K1578" s="19" t="s">
        <v>5554</v>
      </c>
      <c r="L1578" s="19" t="s">
        <v>364</v>
      </c>
      <c r="M1578" s="19" t="s">
        <v>364</v>
      </c>
      <c r="N1578" s="19" t="s">
        <v>364</v>
      </c>
      <c r="O1578" s="19" t="s">
        <v>364</v>
      </c>
      <c r="P1578" s="463" t="s">
        <v>5549</v>
      </c>
      <c r="Q1578" s="135"/>
      <c r="R1578" s="135"/>
      <c r="S1578" s="347"/>
      <c r="T1578" s="512" t="e">
        <f>_xlfn.XLOOKUP(H1578,#REF!,#REF!,0,0)</f>
        <v>#REF!</v>
      </c>
    </row>
    <row r="1579" spans="1:20" s="302" customFormat="1" x14ac:dyDescent="0.4">
      <c r="A1579" s="19" t="s">
        <v>5555</v>
      </c>
      <c r="B1579" s="19" t="s">
        <v>5556</v>
      </c>
      <c r="C1579" s="19"/>
      <c r="D1579" s="19" t="s">
        <v>693</v>
      </c>
      <c r="E1579" s="19" t="s">
        <v>10</v>
      </c>
      <c r="F1579" s="20" t="s">
        <v>5179</v>
      </c>
      <c r="G1579" s="19">
        <v>44281</v>
      </c>
      <c r="H1579" s="19" t="s">
        <v>5557</v>
      </c>
      <c r="I1579" s="135">
        <v>70690</v>
      </c>
      <c r="J1579" s="19" t="s">
        <v>5558</v>
      </c>
      <c r="K1579" s="19">
        <v>44467</v>
      </c>
      <c r="L1579" s="19" t="s">
        <v>364</v>
      </c>
      <c r="M1579" s="19" t="s">
        <v>364</v>
      </c>
      <c r="N1579" s="19" t="s">
        <v>364</v>
      </c>
      <c r="O1579" s="19" t="s">
        <v>364</v>
      </c>
      <c r="P1579" s="463"/>
      <c r="Q1579" s="135"/>
      <c r="R1579" s="135"/>
      <c r="S1579" s="347"/>
      <c r="T1579" s="512" t="e">
        <f>_xlfn.XLOOKUP(H1579,#REF!,#REF!,0,0)</f>
        <v>#REF!</v>
      </c>
    </row>
    <row r="1580" spans="1:20" s="302" customFormat="1" x14ac:dyDescent="0.4">
      <c r="A1580" s="19" t="s">
        <v>5559</v>
      </c>
      <c r="B1580" s="19" t="s">
        <v>5560</v>
      </c>
      <c r="C1580" s="19"/>
      <c r="D1580" s="19" t="s">
        <v>693</v>
      </c>
      <c r="E1580" s="19" t="s">
        <v>10</v>
      </c>
      <c r="F1580" s="20" t="s">
        <v>3072</v>
      </c>
      <c r="G1580" s="19"/>
      <c r="H1580" s="19" t="s">
        <v>5561</v>
      </c>
      <c r="I1580" s="135">
        <v>70551</v>
      </c>
      <c r="J1580" s="19"/>
      <c r="K1580" s="19">
        <v>44467</v>
      </c>
      <c r="L1580" s="19" t="s">
        <v>364</v>
      </c>
      <c r="M1580" s="19" t="s">
        <v>364</v>
      </c>
      <c r="N1580" s="19" t="s">
        <v>364</v>
      </c>
      <c r="O1580" s="19" t="s">
        <v>364</v>
      </c>
      <c r="P1580" s="463" t="s">
        <v>5562</v>
      </c>
      <c r="Q1580" s="135"/>
      <c r="R1580" s="135"/>
      <c r="S1580" s="347"/>
      <c r="T1580" s="512" t="e">
        <f>_xlfn.XLOOKUP(H1580,#REF!,#REF!,0,0)</f>
        <v>#REF!</v>
      </c>
    </row>
    <row r="1581" spans="1:20" s="302" customFormat="1" x14ac:dyDescent="0.4">
      <c r="A1581" s="19" t="s">
        <v>5563</v>
      </c>
      <c r="B1581" s="19" t="s">
        <v>5564</v>
      </c>
      <c r="C1581" s="19"/>
      <c r="D1581" s="19" t="s">
        <v>693</v>
      </c>
      <c r="E1581" s="19" t="s">
        <v>10</v>
      </c>
      <c r="F1581" s="20" t="s">
        <v>3072</v>
      </c>
      <c r="G1581" s="19"/>
      <c r="H1581" s="19" t="s">
        <v>5565</v>
      </c>
      <c r="I1581" s="135">
        <v>71035</v>
      </c>
      <c r="J1581" s="19"/>
      <c r="K1581" s="19">
        <v>44467</v>
      </c>
      <c r="L1581" s="19" t="s">
        <v>364</v>
      </c>
      <c r="M1581" s="19" t="s">
        <v>364</v>
      </c>
      <c r="N1581" s="19" t="s">
        <v>364</v>
      </c>
      <c r="O1581" s="19" t="s">
        <v>364</v>
      </c>
      <c r="P1581" s="463" t="s">
        <v>5566</v>
      </c>
      <c r="Q1581" s="135"/>
      <c r="R1581" s="135"/>
      <c r="S1581" s="347"/>
      <c r="T1581" s="512" t="e">
        <f>_xlfn.XLOOKUP(H1581,#REF!,#REF!,0,0)</f>
        <v>#REF!</v>
      </c>
    </row>
    <row r="1582" spans="1:20" s="302" customFormat="1" x14ac:dyDescent="0.4">
      <c r="A1582" s="19" t="s">
        <v>5567</v>
      </c>
      <c r="B1582" s="19" t="s">
        <v>5568</v>
      </c>
      <c r="C1582" s="19"/>
      <c r="D1582" s="19" t="s">
        <v>693</v>
      </c>
      <c r="E1582" s="19" t="s">
        <v>10</v>
      </c>
      <c r="F1582" s="20" t="s">
        <v>5179</v>
      </c>
      <c r="G1582" s="19">
        <v>44281</v>
      </c>
      <c r="H1582" s="19" t="s">
        <v>5569</v>
      </c>
      <c r="I1582" s="135">
        <v>70662</v>
      </c>
      <c r="J1582" s="19" t="s">
        <v>5570</v>
      </c>
      <c r="K1582" s="19" t="s">
        <v>5571</v>
      </c>
      <c r="L1582" s="19" t="s">
        <v>364</v>
      </c>
      <c r="M1582" s="19" t="s">
        <v>364</v>
      </c>
      <c r="N1582" s="19" t="s">
        <v>364</v>
      </c>
      <c r="O1582" s="19" t="s">
        <v>364</v>
      </c>
      <c r="P1582" s="463" t="s">
        <v>5572</v>
      </c>
      <c r="Q1582" s="135"/>
      <c r="R1582" s="135"/>
      <c r="S1582" s="347"/>
      <c r="T1582" s="512" t="e">
        <f>_xlfn.XLOOKUP(H1582,#REF!,#REF!,0,0)</f>
        <v>#REF!</v>
      </c>
    </row>
    <row r="1583" spans="1:20" s="302" customFormat="1" x14ac:dyDescent="0.4">
      <c r="A1583" s="19" t="s">
        <v>5573</v>
      </c>
      <c r="B1583" s="19" t="s">
        <v>5574</v>
      </c>
      <c r="C1583" s="19"/>
      <c r="D1583" s="19" t="s">
        <v>693</v>
      </c>
      <c r="E1583" s="19" t="s">
        <v>10</v>
      </c>
      <c r="F1583" s="20" t="s">
        <v>3072</v>
      </c>
      <c r="G1583" s="19">
        <v>44323</v>
      </c>
      <c r="H1583" s="19" t="s">
        <v>5575</v>
      </c>
      <c r="I1583" s="135">
        <v>70992</v>
      </c>
      <c r="J1583" s="19" t="s">
        <v>5576</v>
      </c>
      <c r="K1583" s="19" t="s">
        <v>5577</v>
      </c>
      <c r="L1583" s="19" t="s">
        <v>364</v>
      </c>
      <c r="M1583" s="19" t="s">
        <v>364</v>
      </c>
      <c r="N1583" s="19" t="s">
        <v>364</v>
      </c>
      <c r="O1583" s="19" t="s">
        <v>364</v>
      </c>
      <c r="P1583" s="463" t="s">
        <v>5578</v>
      </c>
      <c r="Q1583" s="135"/>
      <c r="R1583" s="135"/>
      <c r="S1583" s="347"/>
      <c r="T1583" s="512" t="e">
        <f>_xlfn.XLOOKUP(H1583,#REF!,#REF!,0,0)</f>
        <v>#REF!</v>
      </c>
    </row>
    <row r="1584" spans="1:20" s="302" customFormat="1" x14ac:dyDescent="0.4">
      <c r="A1584" s="19" t="s">
        <v>5579</v>
      </c>
      <c r="B1584" s="19" t="s">
        <v>5580</v>
      </c>
      <c r="C1584" s="19"/>
      <c r="D1584" s="19" t="s">
        <v>693</v>
      </c>
      <c r="E1584" s="19" t="s">
        <v>10</v>
      </c>
      <c r="F1584" s="20" t="s">
        <v>5179</v>
      </c>
      <c r="G1584" s="19">
        <v>44281</v>
      </c>
      <c r="H1584" s="19" t="s">
        <v>5581</v>
      </c>
      <c r="I1584" s="135">
        <v>70721</v>
      </c>
      <c r="J1584" s="19" t="s">
        <v>5582</v>
      </c>
      <c r="K1584" s="19">
        <v>44470</v>
      </c>
      <c r="L1584" s="19" t="s">
        <v>364</v>
      </c>
      <c r="M1584" s="19" t="s">
        <v>364</v>
      </c>
      <c r="N1584" s="19" t="s">
        <v>364</v>
      </c>
      <c r="O1584" s="19" t="s">
        <v>364</v>
      </c>
      <c r="P1584" s="463"/>
      <c r="Q1584" s="135"/>
      <c r="R1584" s="135"/>
      <c r="S1584" s="347"/>
      <c r="T1584" s="512" t="e">
        <f>_xlfn.XLOOKUP(H1584,#REF!,#REF!,0,0)</f>
        <v>#REF!</v>
      </c>
    </row>
    <row r="1585" spans="1:20" s="302" customFormat="1" x14ac:dyDescent="0.4">
      <c r="A1585" s="19" t="s">
        <v>5583</v>
      </c>
      <c r="B1585" s="19" t="s">
        <v>5584</v>
      </c>
      <c r="C1585" s="19"/>
      <c r="D1585" s="19" t="s">
        <v>693</v>
      </c>
      <c r="E1585" s="19" t="s">
        <v>75</v>
      </c>
      <c r="F1585" s="20" t="s">
        <v>5501</v>
      </c>
      <c r="G1585" s="19" t="s">
        <v>179</v>
      </c>
      <c r="H1585" s="19" t="s">
        <v>364</v>
      </c>
      <c r="I1585" s="135" t="s">
        <v>364</v>
      </c>
      <c r="J1585" s="19" t="s">
        <v>364</v>
      </c>
      <c r="K1585" s="19"/>
      <c r="L1585" s="19" t="s">
        <v>364</v>
      </c>
      <c r="M1585" s="19" t="s">
        <v>364</v>
      </c>
      <c r="N1585" s="19" t="s">
        <v>364</v>
      </c>
      <c r="O1585" s="19" t="s">
        <v>364</v>
      </c>
      <c r="P1585" s="463"/>
      <c r="Q1585" s="135"/>
      <c r="R1585" s="135"/>
      <c r="S1585" s="347"/>
      <c r="T1585" s="512" t="e">
        <f>_xlfn.XLOOKUP(H1585,#REF!,#REF!,0,0)</f>
        <v>#REF!</v>
      </c>
    </row>
    <row r="1586" spans="1:20" s="302" customFormat="1" x14ac:dyDescent="0.4">
      <c r="A1586" s="19" t="s">
        <v>5585</v>
      </c>
      <c r="B1586" s="19" t="s">
        <v>5586</v>
      </c>
      <c r="C1586" s="19"/>
      <c r="D1586" s="19" t="s">
        <v>693</v>
      </c>
      <c r="E1586" s="19" t="s">
        <v>10</v>
      </c>
      <c r="F1586" s="20" t="s">
        <v>3072</v>
      </c>
      <c r="G1586" s="19">
        <v>44323</v>
      </c>
      <c r="H1586" s="19" t="s">
        <v>5587</v>
      </c>
      <c r="I1586" s="135">
        <v>70938</v>
      </c>
      <c r="J1586" s="19" t="s">
        <v>5588</v>
      </c>
      <c r="K1586" s="19">
        <v>44470</v>
      </c>
      <c r="L1586" s="19" t="s">
        <v>364</v>
      </c>
      <c r="M1586" s="19" t="s">
        <v>364</v>
      </c>
      <c r="N1586" s="19" t="s">
        <v>364</v>
      </c>
      <c r="O1586" s="19" t="s">
        <v>364</v>
      </c>
      <c r="P1586" s="463" t="s">
        <v>5589</v>
      </c>
      <c r="Q1586" s="135"/>
      <c r="R1586" s="135"/>
      <c r="S1586" s="347"/>
      <c r="T1586" s="512" t="e">
        <f>_xlfn.XLOOKUP(H1586,#REF!,#REF!,0,0)</f>
        <v>#REF!</v>
      </c>
    </row>
    <row r="1587" spans="1:20" s="302" customFormat="1" x14ac:dyDescent="0.4">
      <c r="A1587" s="19" t="s">
        <v>5590</v>
      </c>
      <c r="B1587" s="19" t="s">
        <v>5591</v>
      </c>
      <c r="C1587" s="19"/>
      <c r="D1587" s="19" t="s">
        <v>693</v>
      </c>
      <c r="E1587" s="19" t="s">
        <v>10</v>
      </c>
      <c r="F1587" s="20" t="s">
        <v>3072</v>
      </c>
      <c r="G1587" s="19">
        <v>44323</v>
      </c>
      <c r="H1587" s="19" t="s">
        <v>5592</v>
      </c>
      <c r="I1587" s="135">
        <v>70935</v>
      </c>
      <c r="J1587" s="19" t="s">
        <v>5593</v>
      </c>
      <c r="K1587" s="19">
        <v>44470</v>
      </c>
      <c r="L1587" s="19" t="s">
        <v>364</v>
      </c>
      <c r="M1587" s="19" t="s">
        <v>364</v>
      </c>
      <c r="N1587" s="19" t="s">
        <v>364</v>
      </c>
      <c r="O1587" s="19" t="s">
        <v>364</v>
      </c>
      <c r="P1587" s="463" t="s">
        <v>5255</v>
      </c>
      <c r="Q1587" s="135"/>
      <c r="R1587" s="135"/>
      <c r="S1587" s="347"/>
      <c r="T1587" s="512" t="e">
        <f>_xlfn.XLOOKUP(H1587,#REF!,#REF!,0,0)</f>
        <v>#REF!</v>
      </c>
    </row>
    <row r="1588" spans="1:20" s="302" customFormat="1" x14ac:dyDescent="0.4">
      <c r="A1588" s="19" t="s">
        <v>5594</v>
      </c>
      <c r="B1588" s="19" t="s">
        <v>5595</v>
      </c>
      <c r="C1588" s="19"/>
      <c r="D1588" s="19" t="s">
        <v>693</v>
      </c>
      <c r="E1588" s="19" t="s">
        <v>75</v>
      </c>
      <c r="F1588" s="20" t="s">
        <v>5473</v>
      </c>
      <c r="G1588" s="19" t="s">
        <v>5596</v>
      </c>
      <c r="H1588" s="19" t="s">
        <v>364</v>
      </c>
      <c r="I1588" s="135" t="s">
        <v>364</v>
      </c>
      <c r="J1588" s="19" t="s">
        <v>364</v>
      </c>
      <c r="K1588" s="19"/>
      <c r="L1588" s="19" t="s">
        <v>364</v>
      </c>
      <c r="M1588" s="19" t="s">
        <v>364</v>
      </c>
      <c r="N1588" s="19" t="s">
        <v>364</v>
      </c>
      <c r="O1588" s="19" t="s">
        <v>364</v>
      </c>
      <c r="P1588" s="463"/>
      <c r="Q1588" s="135"/>
      <c r="R1588" s="135"/>
      <c r="S1588" s="347"/>
      <c r="T1588" s="512" t="e">
        <f>_xlfn.XLOOKUP(H1588,#REF!,#REF!,0,0)</f>
        <v>#REF!</v>
      </c>
    </row>
    <row r="1589" spans="1:20" s="302" customFormat="1" x14ac:dyDescent="0.4">
      <c r="A1589" s="19" t="s">
        <v>5597</v>
      </c>
      <c r="B1589" s="19" t="s">
        <v>5598</v>
      </c>
      <c r="C1589" s="19"/>
      <c r="D1589" s="19" t="s">
        <v>693</v>
      </c>
      <c r="E1589" s="19" t="s">
        <v>10</v>
      </c>
      <c r="F1589" s="20" t="s">
        <v>5179</v>
      </c>
      <c r="G1589" s="19">
        <v>44281</v>
      </c>
      <c r="H1589" s="19" t="s">
        <v>5599</v>
      </c>
      <c r="I1589" s="135">
        <v>70670</v>
      </c>
      <c r="J1589" s="19" t="s">
        <v>5600</v>
      </c>
      <c r="K1589" s="19">
        <v>44473</v>
      </c>
      <c r="L1589" s="19" t="s">
        <v>364</v>
      </c>
      <c r="M1589" s="19" t="s">
        <v>364</v>
      </c>
      <c r="N1589" s="19" t="s">
        <v>364</v>
      </c>
      <c r="O1589" s="19" t="s">
        <v>364</v>
      </c>
      <c r="P1589" s="463" t="s">
        <v>5601</v>
      </c>
      <c r="Q1589" s="135"/>
      <c r="R1589" s="135"/>
      <c r="S1589" s="347"/>
      <c r="T1589" s="512" t="e">
        <f>_xlfn.XLOOKUP(H1589,#REF!,#REF!,0,0)</f>
        <v>#REF!</v>
      </c>
    </row>
    <row r="1590" spans="1:20" s="302" customFormat="1" x14ac:dyDescent="0.4">
      <c r="A1590" s="19" t="s">
        <v>5602</v>
      </c>
      <c r="B1590" s="19" t="s">
        <v>5603</v>
      </c>
      <c r="C1590" s="19"/>
      <c r="D1590" s="19" t="s">
        <v>693</v>
      </c>
      <c r="E1590" s="19" t="s">
        <v>10</v>
      </c>
      <c r="F1590" s="20" t="s">
        <v>3072</v>
      </c>
      <c r="G1590" s="19">
        <v>44323</v>
      </c>
      <c r="H1590" s="19" t="s">
        <v>275</v>
      </c>
      <c r="I1590" s="135">
        <v>70956</v>
      </c>
      <c r="J1590" s="19" t="s">
        <v>5604</v>
      </c>
      <c r="K1590" s="19">
        <v>44474</v>
      </c>
      <c r="L1590" s="19" t="s">
        <v>364</v>
      </c>
      <c r="M1590" s="19" t="s">
        <v>364</v>
      </c>
      <c r="N1590" s="19" t="s">
        <v>364</v>
      </c>
      <c r="O1590" s="19" t="s">
        <v>364</v>
      </c>
      <c r="P1590" s="463" t="s">
        <v>5605</v>
      </c>
      <c r="Q1590" s="135"/>
      <c r="R1590" s="135"/>
      <c r="S1590" s="347"/>
      <c r="T1590" s="512" t="e">
        <f>_xlfn.XLOOKUP(H1590,#REF!,#REF!,0,0)</f>
        <v>#REF!</v>
      </c>
    </row>
    <row r="1591" spans="1:20" s="302" customFormat="1" x14ac:dyDescent="0.4">
      <c r="A1591" s="19" t="s">
        <v>5606</v>
      </c>
      <c r="B1591" s="19" t="s">
        <v>5607</v>
      </c>
      <c r="C1591" s="19"/>
      <c r="D1591" s="19" t="s">
        <v>693</v>
      </c>
      <c r="E1591" s="19" t="s">
        <v>10</v>
      </c>
      <c r="F1591" s="20" t="s">
        <v>5179</v>
      </c>
      <c r="G1591" s="19" t="s">
        <v>3718</v>
      </c>
      <c r="H1591" s="19" t="s">
        <v>5608</v>
      </c>
      <c r="I1591" s="135">
        <v>70638</v>
      </c>
      <c r="J1591" s="19" t="s">
        <v>3718</v>
      </c>
      <c r="K1591" s="19" t="s">
        <v>864</v>
      </c>
      <c r="L1591" s="19" t="s">
        <v>364</v>
      </c>
      <c r="M1591" s="19" t="s">
        <v>364</v>
      </c>
      <c r="N1591" s="19" t="s">
        <v>364</v>
      </c>
      <c r="O1591" s="19" t="s">
        <v>364</v>
      </c>
      <c r="P1591" s="463"/>
      <c r="Q1591" s="135"/>
      <c r="R1591" s="135"/>
      <c r="S1591" s="347"/>
      <c r="T1591" s="512" t="e">
        <f>_xlfn.XLOOKUP(H1591,#REF!,#REF!,0,0)</f>
        <v>#REF!</v>
      </c>
    </row>
    <row r="1592" spans="1:20" s="302" customFormat="1" x14ac:dyDescent="0.4">
      <c r="A1592" s="19" t="s">
        <v>5609</v>
      </c>
      <c r="B1592" s="19" t="s">
        <v>5610</v>
      </c>
      <c r="C1592" s="19"/>
      <c r="D1592" s="19" t="s">
        <v>704</v>
      </c>
      <c r="E1592" s="19" t="s">
        <v>10</v>
      </c>
      <c r="F1592" s="20" t="s">
        <v>5179</v>
      </c>
      <c r="G1592" s="19">
        <v>44281</v>
      </c>
      <c r="H1592" s="19" t="s">
        <v>5611</v>
      </c>
      <c r="I1592" s="135">
        <v>70668</v>
      </c>
      <c r="J1592" s="19" t="s">
        <v>5612</v>
      </c>
      <c r="K1592" s="19">
        <v>44474</v>
      </c>
      <c r="L1592" s="19" t="s">
        <v>364</v>
      </c>
      <c r="M1592" s="19" t="s">
        <v>364</v>
      </c>
      <c r="N1592" s="19" t="s">
        <v>364</v>
      </c>
      <c r="O1592" s="19" t="s">
        <v>364</v>
      </c>
      <c r="P1592" s="463" t="s">
        <v>5613</v>
      </c>
      <c r="Q1592" s="135"/>
      <c r="R1592" s="135"/>
      <c r="S1592" s="347"/>
      <c r="T1592" s="512" t="e">
        <f>_xlfn.XLOOKUP(H1592,#REF!,#REF!,0,0)</f>
        <v>#REF!</v>
      </c>
    </row>
    <row r="1593" spans="1:20" s="302" customFormat="1" x14ac:dyDescent="0.4">
      <c r="A1593" s="19" t="s">
        <v>5614</v>
      </c>
      <c r="B1593" s="19" t="s">
        <v>5615</v>
      </c>
      <c r="C1593" s="19"/>
      <c r="D1593" s="19" t="s">
        <v>693</v>
      </c>
      <c r="E1593" s="19" t="s">
        <v>10</v>
      </c>
      <c r="F1593" s="20" t="s">
        <v>5179</v>
      </c>
      <c r="G1593" s="19">
        <v>44281</v>
      </c>
      <c r="H1593" s="19" t="s">
        <v>259</v>
      </c>
      <c r="I1593" s="135">
        <v>70669</v>
      </c>
      <c r="J1593" s="19" t="s">
        <v>5616</v>
      </c>
      <c r="K1593" s="19">
        <v>44475</v>
      </c>
      <c r="L1593" s="19" t="s">
        <v>364</v>
      </c>
      <c r="M1593" s="19" t="s">
        <v>364</v>
      </c>
      <c r="N1593" s="19" t="s">
        <v>364</v>
      </c>
      <c r="O1593" s="19" t="s">
        <v>364</v>
      </c>
      <c r="P1593" s="463" t="s">
        <v>5617</v>
      </c>
      <c r="Q1593" s="135"/>
      <c r="R1593" s="135"/>
      <c r="S1593" s="347"/>
      <c r="T1593" s="512" t="e">
        <f>_xlfn.XLOOKUP(H1593,#REF!,#REF!,0,0)</f>
        <v>#REF!</v>
      </c>
    </row>
    <row r="1594" spans="1:20" s="302" customFormat="1" x14ac:dyDescent="0.4">
      <c r="A1594" s="19" t="s">
        <v>5618</v>
      </c>
      <c r="B1594" s="19" t="s">
        <v>5619</v>
      </c>
      <c r="C1594" s="19"/>
      <c r="D1594" s="19" t="s">
        <v>693</v>
      </c>
      <c r="E1594" s="19" t="s">
        <v>10</v>
      </c>
      <c r="F1594" s="20" t="s">
        <v>3072</v>
      </c>
      <c r="G1594" s="19">
        <v>44323</v>
      </c>
      <c r="H1594" s="19" t="s">
        <v>5620</v>
      </c>
      <c r="I1594" s="135">
        <v>70989</v>
      </c>
      <c r="J1594" s="19" t="s">
        <v>5621</v>
      </c>
      <c r="K1594" s="19" t="s">
        <v>5622</v>
      </c>
      <c r="L1594" s="19" t="s">
        <v>364</v>
      </c>
      <c r="M1594" s="19" t="s">
        <v>364</v>
      </c>
      <c r="N1594" s="19" t="s">
        <v>364</v>
      </c>
      <c r="O1594" s="19" t="s">
        <v>364</v>
      </c>
      <c r="P1594" s="463" t="s">
        <v>5623</v>
      </c>
      <c r="Q1594" s="135"/>
      <c r="R1594" s="135"/>
      <c r="S1594" s="347"/>
      <c r="T1594" s="512" t="e">
        <f>_xlfn.XLOOKUP(H1594,#REF!,#REF!,0,0)</f>
        <v>#REF!</v>
      </c>
    </row>
    <row r="1595" spans="1:20" s="302" customFormat="1" x14ac:dyDescent="0.4">
      <c r="A1595" s="19" t="s">
        <v>5624</v>
      </c>
      <c r="B1595" s="19" t="s">
        <v>5625</v>
      </c>
      <c r="C1595" s="19"/>
      <c r="D1595" s="19" t="s">
        <v>693</v>
      </c>
      <c r="E1595" s="19" t="s">
        <v>10</v>
      </c>
      <c r="F1595" s="20" t="s">
        <v>5179</v>
      </c>
      <c r="G1595" s="19">
        <v>44281</v>
      </c>
      <c r="H1595" s="19" t="s">
        <v>5626</v>
      </c>
      <c r="I1595" s="135">
        <v>70692</v>
      </c>
      <c r="J1595" s="19" t="s">
        <v>5627</v>
      </c>
      <c r="K1595" s="19"/>
      <c r="L1595" s="19" t="s">
        <v>364</v>
      </c>
      <c r="M1595" s="19" t="s">
        <v>364</v>
      </c>
      <c r="N1595" s="19" t="s">
        <v>364</v>
      </c>
      <c r="O1595" s="19" t="s">
        <v>364</v>
      </c>
      <c r="P1595" s="463"/>
      <c r="Q1595" s="135"/>
      <c r="R1595" s="135"/>
      <c r="S1595" s="347"/>
      <c r="T1595" s="512" t="e">
        <f>_xlfn.XLOOKUP(H1595,#REF!,#REF!,0,0)</f>
        <v>#REF!</v>
      </c>
    </row>
    <row r="1596" spans="1:20" s="302" customFormat="1" x14ac:dyDescent="0.4">
      <c r="A1596" s="19" t="s">
        <v>5628</v>
      </c>
      <c r="B1596" s="19" t="s">
        <v>5629</v>
      </c>
      <c r="C1596" s="19"/>
      <c r="D1596" s="19" t="s">
        <v>693</v>
      </c>
      <c r="E1596" s="19" t="s">
        <v>10</v>
      </c>
      <c r="F1596" s="20" t="s">
        <v>5179</v>
      </c>
      <c r="G1596" s="19">
        <v>44281</v>
      </c>
      <c r="H1596" s="19" t="s">
        <v>5630</v>
      </c>
      <c r="I1596" s="135">
        <v>70695</v>
      </c>
      <c r="J1596" s="19" t="s">
        <v>5631</v>
      </c>
      <c r="K1596" s="19" t="s">
        <v>5632</v>
      </c>
      <c r="L1596" s="19" t="s">
        <v>364</v>
      </c>
      <c r="M1596" s="19" t="s">
        <v>364</v>
      </c>
      <c r="N1596" s="19" t="s">
        <v>364</v>
      </c>
      <c r="O1596" s="19" t="s">
        <v>364</v>
      </c>
      <c r="P1596" s="463" t="s">
        <v>5633</v>
      </c>
      <c r="Q1596" s="135"/>
      <c r="R1596" s="135"/>
      <c r="S1596" s="347"/>
      <c r="T1596" s="512" t="e">
        <f>_xlfn.XLOOKUP(H1596,#REF!,#REF!,0,0)</f>
        <v>#REF!</v>
      </c>
    </row>
    <row r="1597" spans="1:20" s="302" customFormat="1" x14ac:dyDescent="0.4">
      <c r="A1597" s="19" t="s">
        <v>5634</v>
      </c>
      <c r="B1597" s="19" t="s">
        <v>5635</v>
      </c>
      <c r="C1597" s="19"/>
      <c r="D1597" s="19" t="s">
        <v>693</v>
      </c>
      <c r="E1597" s="19" t="s">
        <v>10</v>
      </c>
      <c r="F1597" s="20" t="s">
        <v>5179</v>
      </c>
      <c r="G1597" s="19">
        <v>44281</v>
      </c>
      <c r="H1597" s="19" t="s">
        <v>5636</v>
      </c>
      <c r="I1597" s="135">
        <v>70686</v>
      </c>
      <c r="J1597" s="19" t="s">
        <v>5637</v>
      </c>
      <c r="K1597" s="19" t="s">
        <v>5638</v>
      </c>
      <c r="L1597" s="19" t="s">
        <v>364</v>
      </c>
      <c r="M1597" s="19" t="s">
        <v>364</v>
      </c>
      <c r="N1597" s="19" t="s">
        <v>364</v>
      </c>
      <c r="O1597" s="19" t="s">
        <v>364</v>
      </c>
      <c r="P1597" s="463" t="s">
        <v>5639</v>
      </c>
      <c r="Q1597" s="135"/>
      <c r="R1597" s="135"/>
      <c r="S1597" s="347"/>
      <c r="T1597" s="512" t="e">
        <f>_xlfn.XLOOKUP(H1597,#REF!,#REF!,0,0)</f>
        <v>#REF!</v>
      </c>
    </row>
    <row r="1598" spans="1:20" s="302" customFormat="1" x14ac:dyDescent="0.4">
      <c r="A1598" s="19" t="s">
        <v>5640</v>
      </c>
      <c r="B1598" s="19" t="s">
        <v>5641</v>
      </c>
      <c r="C1598" s="19"/>
      <c r="D1598" s="19" t="s">
        <v>693</v>
      </c>
      <c r="E1598" s="19" t="s">
        <v>10</v>
      </c>
      <c r="F1598" s="20" t="s">
        <v>3072</v>
      </c>
      <c r="G1598" s="19">
        <v>44323</v>
      </c>
      <c r="H1598" s="19" t="s">
        <v>274</v>
      </c>
      <c r="I1598" s="135">
        <v>70953</v>
      </c>
      <c r="J1598" s="19" t="s">
        <v>5642</v>
      </c>
      <c r="K1598" s="19">
        <v>44481</v>
      </c>
      <c r="L1598" s="19" t="s">
        <v>364</v>
      </c>
      <c r="M1598" s="19" t="s">
        <v>364</v>
      </c>
      <c r="N1598" s="19" t="s">
        <v>364</v>
      </c>
      <c r="O1598" s="19" t="s">
        <v>364</v>
      </c>
      <c r="P1598" s="463" t="s">
        <v>5643</v>
      </c>
      <c r="Q1598" s="135"/>
      <c r="R1598" s="135"/>
      <c r="S1598" s="347"/>
      <c r="T1598" s="512" t="e">
        <f>_xlfn.XLOOKUP(H1598,#REF!,#REF!,0,0)</f>
        <v>#REF!</v>
      </c>
    </row>
    <row r="1599" spans="1:20" s="302" customFormat="1" x14ac:dyDescent="0.4">
      <c r="A1599" s="19" t="s">
        <v>5644</v>
      </c>
      <c r="B1599" s="19" t="s">
        <v>5645</v>
      </c>
      <c r="C1599" s="19"/>
      <c r="D1599" s="19" t="s">
        <v>704</v>
      </c>
      <c r="E1599" s="19" t="s">
        <v>10</v>
      </c>
      <c r="F1599" s="20" t="s">
        <v>3072</v>
      </c>
      <c r="G1599" s="19">
        <v>44281</v>
      </c>
      <c r="H1599" s="19" t="s">
        <v>320</v>
      </c>
      <c r="I1599" s="135">
        <v>70765</v>
      </c>
      <c r="J1599" s="19" t="s">
        <v>5646</v>
      </c>
      <c r="K1599" s="19">
        <v>44480</v>
      </c>
      <c r="L1599" s="19" t="s">
        <v>364</v>
      </c>
      <c r="M1599" s="19" t="s">
        <v>364</v>
      </c>
      <c r="N1599" s="19" t="s">
        <v>364</v>
      </c>
      <c r="O1599" s="19" t="s">
        <v>364</v>
      </c>
      <c r="P1599" s="463"/>
      <c r="Q1599" s="135"/>
      <c r="R1599" s="135"/>
      <c r="S1599" s="347"/>
      <c r="T1599" s="512" t="e">
        <f>_xlfn.XLOOKUP(H1599,#REF!,#REF!,0,0)</f>
        <v>#REF!</v>
      </c>
    </row>
    <row r="1600" spans="1:20" s="302" customFormat="1" x14ac:dyDescent="0.4">
      <c r="A1600" s="19" t="s">
        <v>5647</v>
      </c>
      <c r="B1600" s="19" t="s">
        <v>5648</v>
      </c>
      <c r="C1600" s="19"/>
      <c r="D1600" s="19" t="s">
        <v>693</v>
      </c>
      <c r="E1600" s="19" t="s">
        <v>3785</v>
      </c>
      <c r="F1600" s="20" t="s">
        <v>3072</v>
      </c>
      <c r="G1600" s="19" t="s">
        <v>246</v>
      </c>
      <c r="H1600" s="19" t="s">
        <v>364</v>
      </c>
      <c r="I1600" s="135" t="s">
        <v>364</v>
      </c>
      <c r="J1600" s="19" t="s">
        <v>364</v>
      </c>
      <c r="K1600" s="19">
        <v>44482</v>
      </c>
      <c r="L1600" s="19" t="s">
        <v>364</v>
      </c>
      <c r="M1600" s="19" t="s">
        <v>364</v>
      </c>
      <c r="N1600" s="19" t="s">
        <v>364</v>
      </c>
      <c r="O1600" s="19" t="s">
        <v>364</v>
      </c>
      <c r="P1600" s="463"/>
      <c r="Q1600" s="135"/>
      <c r="R1600" s="135"/>
      <c r="S1600" s="347"/>
      <c r="T1600" s="512" t="e">
        <f>_xlfn.XLOOKUP(H1600,#REF!,#REF!,0,0)</f>
        <v>#REF!</v>
      </c>
    </row>
    <row r="1601" spans="1:20" s="302" customFormat="1" x14ac:dyDescent="0.4">
      <c r="A1601" s="19" t="s">
        <v>5649</v>
      </c>
      <c r="B1601" s="19" t="s">
        <v>5650</v>
      </c>
      <c r="C1601" s="19"/>
      <c r="D1601" s="19" t="s">
        <v>693</v>
      </c>
      <c r="E1601" s="19" t="s">
        <v>3785</v>
      </c>
      <c r="F1601" s="20" t="s">
        <v>5473</v>
      </c>
      <c r="G1601" s="19" t="s">
        <v>255</v>
      </c>
      <c r="H1601" s="19" t="s">
        <v>364</v>
      </c>
      <c r="I1601" s="135" t="s">
        <v>364</v>
      </c>
      <c r="J1601" s="19" t="s">
        <v>364</v>
      </c>
      <c r="K1601" s="19"/>
      <c r="L1601" s="19" t="s">
        <v>364</v>
      </c>
      <c r="M1601" s="19" t="s">
        <v>364</v>
      </c>
      <c r="N1601" s="19" t="s">
        <v>364</v>
      </c>
      <c r="O1601" s="19" t="s">
        <v>364</v>
      </c>
      <c r="P1601" s="463"/>
      <c r="Q1601" s="135"/>
      <c r="R1601" s="135"/>
      <c r="S1601" s="347"/>
      <c r="T1601" s="512" t="e">
        <f>_xlfn.XLOOKUP(H1601,#REF!,#REF!,0,0)</f>
        <v>#REF!</v>
      </c>
    </row>
    <row r="1602" spans="1:20" s="302" customFormat="1" x14ac:dyDescent="0.4">
      <c r="A1602" s="19" t="s">
        <v>5651</v>
      </c>
      <c r="B1602" s="19" t="s">
        <v>5652</v>
      </c>
      <c r="C1602" s="19"/>
      <c r="D1602" s="19" t="s">
        <v>704</v>
      </c>
      <c r="E1602" s="19" t="s">
        <v>10</v>
      </c>
      <c r="F1602" s="20" t="s">
        <v>3072</v>
      </c>
      <c r="G1602" s="19">
        <v>44281</v>
      </c>
      <c r="H1602" s="19" t="s">
        <v>5653</v>
      </c>
      <c r="I1602" s="135">
        <v>70760</v>
      </c>
      <c r="J1602" s="19" t="s">
        <v>5654</v>
      </c>
      <c r="K1602" s="19">
        <v>44482</v>
      </c>
      <c r="L1602" s="19" t="s">
        <v>364</v>
      </c>
      <c r="M1602" s="19" t="s">
        <v>364</v>
      </c>
      <c r="N1602" s="19" t="s">
        <v>364</v>
      </c>
      <c r="O1602" s="19" t="s">
        <v>364</v>
      </c>
      <c r="P1602" s="463"/>
      <c r="Q1602" s="135"/>
      <c r="R1602" s="135"/>
      <c r="S1602" s="347"/>
      <c r="T1602" s="512" t="e">
        <f>_xlfn.XLOOKUP(H1602,#REF!,#REF!,0,0)</f>
        <v>#REF!</v>
      </c>
    </row>
    <row r="1603" spans="1:20" s="302" customFormat="1" x14ac:dyDescent="0.4">
      <c r="A1603" s="19" t="s">
        <v>5655</v>
      </c>
      <c r="B1603" s="19" t="s">
        <v>5656</v>
      </c>
      <c r="C1603" s="19"/>
      <c r="D1603" s="19" t="s">
        <v>693</v>
      </c>
      <c r="E1603" s="19" t="s">
        <v>10</v>
      </c>
      <c r="F1603" s="20" t="s">
        <v>3072</v>
      </c>
      <c r="G1603" s="19">
        <v>44323</v>
      </c>
      <c r="H1603" s="19" t="s">
        <v>5657</v>
      </c>
      <c r="I1603" s="135">
        <v>70988</v>
      </c>
      <c r="J1603" s="19" t="s">
        <v>5658</v>
      </c>
      <c r="K1603" s="19" t="s">
        <v>5659</v>
      </c>
      <c r="L1603" s="19" t="s">
        <v>364</v>
      </c>
      <c r="M1603" s="19" t="s">
        <v>364</v>
      </c>
      <c r="N1603" s="19" t="s">
        <v>364</v>
      </c>
      <c r="O1603" s="19" t="s">
        <v>364</v>
      </c>
      <c r="P1603" s="463"/>
      <c r="Q1603" s="135"/>
      <c r="R1603" s="135"/>
      <c r="S1603" s="347"/>
      <c r="T1603" s="512" t="e">
        <f>_xlfn.XLOOKUP(H1603,#REF!,#REF!,0,0)</f>
        <v>#REF!</v>
      </c>
    </row>
    <row r="1604" spans="1:20" s="302" customFormat="1" x14ac:dyDescent="0.4">
      <c r="A1604" s="19" t="s">
        <v>5660</v>
      </c>
      <c r="B1604" s="19" t="s">
        <v>5661</v>
      </c>
      <c r="C1604" s="19"/>
      <c r="D1604" s="19" t="s">
        <v>693</v>
      </c>
      <c r="E1604" s="19" t="s">
        <v>10</v>
      </c>
      <c r="F1604" s="20" t="s">
        <v>5179</v>
      </c>
      <c r="G1604" s="19">
        <v>44281</v>
      </c>
      <c r="H1604" s="19" t="s">
        <v>262</v>
      </c>
      <c r="I1604" s="135">
        <v>70682</v>
      </c>
      <c r="J1604" s="19" t="s">
        <v>5662</v>
      </c>
      <c r="K1604" s="19">
        <v>44487</v>
      </c>
      <c r="L1604" s="19" t="s">
        <v>364</v>
      </c>
      <c r="M1604" s="19" t="s">
        <v>364</v>
      </c>
      <c r="N1604" s="19" t="s">
        <v>364</v>
      </c>
      <c r="O1604" s="19" t="s">
        <v>364</v>
      </c>
      <c r="P1604" s="463"/>
      <c r="Q1604" s="135"/>
      <c r="R1604" s="135"/>
      <c r="S1604" s="347"/>
      <c r="T1604" s="512" t="e">
        <f>_xlfn.XLOOKUP(H1604,#REF!,#REF!,0,0)</f>
        <v>#REF!</v>
      </c>
    </row>
    <row r="1605" spans="1:20" s="302" customFormat="1" x14ac:dyDescent="0.4">
      <c r="A1605" s="19" t="s">
        <v>5663</v>
      </c>
      <c r="B1605" s="19" t="s">
        <v>5664</v>
      </c>
      <c r="C1605" s="19"/>
      <c r="D1605" s="19" t="s">
        <v>693</v>
      </c>
      <c r="E1605" s="19" t="s">
        <v>10</v>
      </c>
      <c r="F1605" s="20" t="s">
        <v>5179</v>
      </c>
      <c r="G1605" s="19">
        <v>44281</v>
      </c>
      <c r="H1605" s="19" t="s">
        <v>315</v>
      </c>
      <c r="I1605" s="135">
        <v>70685</v>
      </c>
      <c r="J1605" s="19" t="s">
        <v>5665</v>
      </c>
      <c r="K1605" s="19">
        <v>44487</v>
      </c>
      <c r="L1605" s="19" t="s">
        <v>364</v>
      </c>
      <c r="M1605" s="19" t="s">
        <v>364</v>
      </c>
      <c r="N1605" s="19" t="s">
        <v>364</v>
      </c>
      <c r="O1605" s="19" t="s">
        <v>364</v>
      </c>
      <c r="P1605" s="463"/>
      <c r="Q1605" s="135"/>
      <c r="R1605" s="135"/>
      <c r="S1605" s="347"/>
      <c r="T1605" s="512" t="e">
        <f>_xlfn.XLOOKUP(H1605,#REF!,#REF!,0,0)</f>
        <v>#REF!</v>
      </c>
    </row>
    <row r="1606" spans="1:20" s="302" customFormat="1" x14ac:dyDescent="0.4">
      <c r="A1606" s="19" t="s">
        <v>5666</v>
      </c>
      <c r="B1606" s="19" t="s">
        <v>5667</v>
      </c>
      <c r="C1606" s="19"/>
      <c r="D1606" s="19" t="s">
        <v>693</v>
      </c>
      <c r="E1606" s="19" t="s">
        <v>10</v>
      </c>
      <c r="F1606" s="20" t="s">
        <v>5179</v>
      </c>
      <c r="G1606" s="19">
        <v>44281</v>
      </c>
      <c r="H1606" s="19" t="s">
        <v>5668</v>
      </c>
      <c r="I1606" s="135">
        <v>70687</v>
      </c>
      <c r="J1606" s="19" t="s">
        <v>5669</v>
      </c>
      <c r="K1606" s="19">
        <v>44487</v>
      </c>
      <c r="L1606" s="19" t="s">
        <v>364</v>
      </c>
      <c r="M1606" s="19" t="s">
        <v>364</v>
      </c>
      <c r="N1606" s="19" t="s">
        <v>364</v>
      </c>
      <c r="O1606" s="19" t="s">
        <v>364</v>
      </c>
      <c r="P1606" s="463"/>
      <c r="Q1606" s="135"/>
      <c r="R1606" s="135"/>
      <c r="S1606" s="347"/>
      <c r="T1606" s="512" t="e">
        <f>_xlfn.XLOOKUP(H1606,#REF!,#REF!,0,0)</f>
        <v>#REF!</v>
      </c>
    </row>
    <row r="1607" spans="1:20" s="302" customFormat="1" x14ac:dyDescent="0.4">
      <c r="A1607" s="19" t="s">
        <v>5670</v>
      </c>
      <c r="B1607" s="19" t="s">
        <v>5671</v>
      </c>
      <c r="C1607" s="19"/>
      <c r="D1607" s="19" t="s">
        <v>693</v>
      </c>
      <c r="E1607" s="19" t="s">
        <v>10</v>
      </c>
      <c r="F1607" s="20" t="s">
        <v>5179</v>
      </c>
      <c r="G1607" s="19">
        <v>44281</v>
      </c>
      <c r="H1607" s="19" t="s">
        <v>5672</v>
      </c>
      <c r="I1607" s="135">
        <v>70684</v>
      </c>
      <c r="J1607" s="19" t="s">
        <v>5673</v>
      </c>
      <c r="K1607" s="19">
        <v>44487</v>
      </c>
      <c r="L1607" s="19" t="s">
        <v>364</v>
      </c>
      <c r="M1607" s="19" t="s">
        <v>364</v>
      </c>
      <c r="N1607" s="19" t="s">
        <v>364</v>
      </c>
      <c r="O1607" s="19" t="s">
        <v>364</v>
      </c>
      <c r="P1607" s="463"/>
      <c r="Q1607" s="135"/>
      <c r="R1607" s="135"/>
      <c r="S1607" s="347"/>
      <c r="T1607" s="512" t="e">
        <f>_xlfn.XLOOKUP(H1607,#REF!,#REF!,0,0)</f>
        <v>#REF!</v>
      </c>
    </row>
    <row r="1608" spans="1:20" s="302" customFormat="1" x14ac:dyDescent="0.4">
      <c r="A1608" s="19" t="s">
        <v>5674</v>
      </c>
      <c r="B1608" s="19" t="s">
        <v>5675</v>
      </c>
      <c r="C1608" s="19"/>
      <c r="D1608" s="19" t="s">
        <v>693</v>
      </c>
      <c r="E1608" s="19" t="s">
        <v>3785</v>
      </c>
      <c r="F1608" s="20" t="s">
        <v>5473</v>
      </c>
      <c r="G1608" s="19" t="s">
        <v>269</v>
      </c>
      <c r="H1608" s="19" t="s">
        <v>364</v>
      </c>
      <c r="I1608" s="135" t="s">
        <v>364</v>
      </c>
      <c r="J1608" s="19" t="s">
        <v>364</v>
      </c>
      <c r="K1608" s="19"/>
      <c r="L1608" s="19" t="s">
        <v>364</v>
      </c>
      <c r="M1608" s="19" t="s">
        <v>364</v>
      </c>
      <c r="N1608" s="19" t="s">
        <v>364</v>
      </c>
      <c r="O1608" s="19" t="s">
        <v>364</v>
      </c>
      <c r="P1608" s="463"/>
      <c r="Q1608" s="135"/>
      <c r="R1608" s="135"/>
      <c r="S1608" s="347"/>
      <c r="T1608" s="512" t="e">
        <f>_xlfn.XLOOKUP(H1608,#REF!,#REF!,0,0)</f>
        <v>#REF!</v>
      </c>
    </row>
    <row r="1609" spans="1:20" s="302" customFormat="1" x14ac:dyDescent="0.4">
      <c r="A1609" s="19" t="s">
        <v>5676</v>
      </c>
      <c r="B1609" s="19" t="s">
        <v>5677</v>
      </c>
      <c r="C1609" s="19"/>
      <c r="D1609" s="19" t="s">
        <v>693</v>
      </c>
      <c r="E1609" s="19" t="s">
        <v>10</v>
      </c>
      <c r="F1609" s="20" t="s">
        <v>5179</v>
      </c>
      <c r="G1609" s="19">
        <v>44281</v>
      </c>
      <c r="H1609" s="19" t="s">
        <v>5678</v>
      </c>
      <c r="I1609" s="135">
        <v>70683</v>
      </c>
      <c r="J1609" s="19" t="s">
        <v>5679</v>
      </c>
      <c r="K1609" s="19" t="s">
        <v>5680</v>
      </c>
      <c r="L1609" s="19" t="s">
        <v>364</v>
      </c>
      <c r="M1609" s="19" t="s">
        <v>364</v>
      </c>
      <c r="N1609" s="19" t="s">
        <v>364</v>
      </c>
      <c r="O1609" s="19" t="s">
        <v>364</v>
      </c>
      <c r="P1609" s="463"/>
      <c r="Q1609" s="135"/>
      <c r="R1609" s="135"/>
      <c r="S1609" s="347"/>
      <c r="T1609" s="512" t="e">
        <f>_xlfn.XLOOKUP(H1609,#REF!,#REF!,0,0)</f>
        <v>#REF!</v>
      </c>
    </row>
    <row r="1610" spans="1:20" s="302" customFormat="1" x14ac:dyDescent="0.4">
      <c r="A1610" s="19" t="s">
        <v>5681</v>
      </c>
      <c r="B1610" s="19" t="s">
        <v>5682</v>
      </c>
      <c r="C1610" s="19"/>
      <c r="D1610" s="19" t="s">
        <v>693</v>
      </c>
      <c r="E1610" s="19" t="s">
        <v>10</v>
      </c>
      <c r="F1610" s="20" t="s">
        <v>3072</v>
      </c>
      <c r="G1610" s="19">
        <v>44323</v>
      </c>
      <c r="H1610" s="19" t="s">
        <v>5683</v>
      </c>
      <c r="I1610" s="135">
        <v>70927</v>
      </c>
      <c r="J1610" s="19" t="s">
        <v>5684</v>
      </c>
      <c r="K1610" s="19" t="s">
        <v>5685</v>
      </c>
      <c r="L1610" s="19" t="s">
        <v>364</v>
      </c>
      <c r="M1610" s="19" t="s">
        <v>364</v>
      </c>
      <c r="N1610" s="19" t="s">
        <v>364</v>
      </c>
      <c r="O1610" s="19" t="s">
        <v>364</v>
      </c>
      <c r="P1610" s="463"/>
      <c r="Q1610" s="135"/>
      <c r="R1610" s="135"/>
      <c r="S1610" s="347"/>
      <c r="T1610" s="512" t="e">
        <f>_xlfn.XLOOKUP(H1610,#REF!,#REF!,0,0)</f>
        <v>#REF!</v>
      </c>
    </row>
    <row r="1611" spans="1:20" s="302" customFormat="1" x14ac:dyDescent="0.4">
      <c r="A1611" s="19" t="s">
        <v>5686</v>
      </c>
      <c r="B1611" s="19" t="s">
        <v>5687</v>
      </c>
      <c r="C1611" s="19"/>
      <c r="D1611" s="19" t="s">
        <v>693</v>
      </c>
      <c r="E1611" s="19" t="s">
        <v>10</v>
      </c>
      <c r="F1611" s="20" t="s">
        <v>3072</v>
      </c>
      <c r="G1611" s="19">
        <v>44323</v>
      </c>
      <c r="H1611" s="19" t="s">
        <v>5688</v>
      </c>
      <c r="I1611" s="135">
        <v>70990</v>
      </c>
      <c r="J1611" s="19" t="s">
        <v>5689</v>
      </c>
      <c r="K1611" s="19" t="s">
        <v>5690</v>
      </c>
      <c r="L1611" s="19" t="s">
        <v>364</v>
      </c>
      <c r="M1611" s="19" t="s">
        <v>364</v>
      </c>
      <c r="N1611" s="19" t="s">
        <v>364</v>
      </c>
      <c r="O1611" s="19" t="s">
        <v>364</v>
      </c>
      <c r="P1611" s="463"/>
      <c r="Q1611" s="135"/>
      <c r="R1611" s="135"/>
      <c r="S1611" s="347"/>
      <c r="T1611" s="512" t="e">
        <f>_xlfn.XLOOKUP(H1611,#REF!,#REF!,0,0)</f>
        <v>#REF!</v>
      </c>
    </row>
    <row r="1612" spans="1:20" s="302" customFormat="1" x14ac:dyDescent="0.4">
      <c r="A1612" s="19" t="s">
        <v>5691</v>
      </c>
      <c r="B1612" s="19" t="s">
        <v>5692</v>
      </c>
      <c r="C1612" s="19"/>
      <c r="D1612" s="19" t="s">
        <v>693</v>
      </c>
      <c r="E1612" s="19" t="s">
        <v>10</v>
      </c>
      <c r="F1612" s="20" t="s">
        <v>3072</v>
      </c>
      <c r="G1612" s="19">
        <v>44323</v>
      </c>
      <c r="H1612" s="19" t="s">
        <v>5693</v>
      </c>
      <c r="I1612" s="135">
        <v>70939</v>
      </c>
      <c r="J1612" s="19" t="s">
        <v>5694</v>
      </c>
      <c r="K1612" s="19" t="s">
        <v>5695</v>
      </c>
      <c r="L1612" s="19" t="s">
        <v>364</v>
      </c>
      <c r="M1612" s="19" t="s">
        <v>364</v>
      </c>
      <c r="N1612" s="19" t="s">
        <v>364</v>
      </c>
      <c r="O1612" s="19" t="s">
        <v>364</v>
      </c>
      <c r="P1612" s="463"/>
      <c r="Q1612" s="135"/>
      <c r="R1612" s="135"/>
      <c r="S1612" s="347"/>
      <c r="T1612" s="512" t="e">
        <f>_xlfn.XLOOKUP(H1612,#REF!,#REF!,0,0)</f>
        <v>#REF!</v>
      </c>
    </row>
    <row r="1613" spans="1:20" s="302" customFormat="1" x14ac:dyDescent="0.4">
      <c r="A1613" s="19" t="s">
        <v>5696</v>
      </c>
      <c r="B1613" s="19" t="s">
        <v>5697</v>
      </c>
      <c r="C1613" s="19"/>
      <c r="D1613" s="19" t="s">
        <v>693</v>
      </c>
      <c r="E1613" s="19" t="s">
        <v>10</v>
      </c>
      <c r="F1613" s="20" t="s">
        <v>5179</v>
      </c>
      <c r="G1613" s="19">
        <v>44281</v>
      </c>
      <c r="H1613" s="19" t="s">
        <v>5698</v>
      </c>
      <c r="I1613" s="135">
        <v>70681</v>
      </c>
      <c r="J1613" s="19" t="s">
        <v>5699</v>
      </c>
      <c r="K1613" s="19" t="s">
        <v>5700</v>
      </c>
      <c r="L1613" s="19" t="s">
        <v>364</v>
      </c>
      <c r="M1613" s="19" t="s">
        <v>364</v>
      </c>
      <c r="N1613" s="19" t="s">
        <v>364</v>
      </c>
      <c r="O1613" s="19" t="s">
        <v>364</v>
      </c>
      <c r="P1613" s="463"/>
      <c r="Q1613" s="135"/>
      <c r="R1613" s="135"/>
      <c r="S1613" s="347"/>
      <c r="T1613" s="512" t="e">
        <f>_xlfn.XLOOKUP(H1613,#REF!,#REF!,0,0)</f>
        <v>#REF!</v>
      </c>
    </row>
    <row r="1614" spans="1:20" s="302" customFormat="1" x14ac:dyDescent="0.4">
      <c r="A1614" s="19" t="s">
        <v>5701</v>
      </c>
      <c r="B1614" s="19" t="s">
        <v>5702</v>
      </c>
      <c r="C1614" s="19"/>
      <c r="D1614" s="19" t="s">
        <v>693</v>
      </c>
      <c r="E1614" s="19" t="s">
        <v>10</v>
      </c>
      <c r="F1614" s="20" t="s">
        <v>5179</v>
      </c>
      <c r="G1614" s="19">
        <v>44281</v>
      </c>
      <c r="H1614" s="19" t="s">
        <v>5703</v>
      </c>
      <c r="I1614" s="135">
        <v>70726</v>
      </c>
      <c r="J1614" s="19" t="s">
        <v>5704</v>
      </c>
      <c r="K1614" s="19" t="s">
        <v>5705</v>
      </c>
      <c r="L1614" s="19" t="s">
        <v>364</v>
      </c>
      <c r="M1614" s="19" t="s">
        <v>364</v>
      </c>
      <c r="N1614" s="19" t="s">
        <v>364</v>
      </c>
      <c r="O1614" s="19" t="s">
        <v>364</v>
      </c>
      <c r="P1614" s="463" t="s">
        <v>5706</v>
      </c>
      <c r="Q1614" s="135"/>
      <c r="R1614" s="135"/>
      <c r="S1614" s="347"/>
      <c r="T1614" s="512" t="e">
        <f>_xlfn.XLOOKUP(H1614,#REF!,#REF!,0,0)</f>
        <v>#REF!</v>
      </c>
    </row>
    <row r="1615" spans="1:20" s="302" customFormat="1" x14ac:dyDescent="0.4">
      <c r="A1615" s="19" t="s">
        <v>5707</v>
      </c>
      <c r="B1615" s="19" t="s">
        <v>5708</v>
      </c>
      <c r="C1615" s="19"/>
      <c r="D1615" s="19" t="s">
        <v>693</v>
      </c>
      <c r="E1615" s="19" t="s">
        <v>10</v>
      </c>
      <c r="F1615" s="20" t="s">
        <v>3072</v>
      </c>
      <c r="G1615" s="19">
        <v>44323</v>
      </c>
      <c r="H1615" s="19" t="s">
        <v>5709</v>
      </c>
      <c r="I1615" s="135">
        <v>70943</v>
      </c>
      <c r="J1615" s="19" t="s">
        <v>5710</v>
      </c>
      <c r="K1615" s="19" t="s">
        <v>5711</v>
      </c>
      <c r="L1615" s="19" t="s">
        <v>364</v>
      </c>
      <c r="M1615" s="19" t="s">
        <v>364</v>
      </c>
      <c r="N1615" s="19" t="s">
        <v>364</v>
      </c>
      <c r="O1615" s="19" t="s">
        <v>364</v>
      </c>
      <c r="P1615" s="463"/>
      <c r="Q1615" s="135"/>
      <c r="R1615" s="135"/>
      <c r="S1615" s="347"/>
      <c r="T1615" s="512" t="e">
        <f>_xlfn.XLOOKUP(H1615,#REF!,#REF!,0,0)</f>
        <v>#REF!</v>
      </c>
    </row>
    <row r="1616" spans="1:20" s="302" customFormat="1" x14ac:dyDescent="0.4">
      <c r="A1616" s="19" t="s">
        <v>5712</v>
      </c>
      <c r="B1616" s="19" t="s">
        <v>5713</v>
      </c>
      <c r="C1616" s="19"/>
      <c r="D1616" s="19" t="s">
        <v>693</v>
      </c>
      <c r="E1616" s="19" t="s">
        <v>10</v>
      </c>
      <c r="F1616" s="20" t="s">
        <v>3072</v>
      </c>
      <c r="G1616" s="19">
        <v>44323</v>
      </c>
      <c r="H1616" s="19" t="s">
        <v>5714</v>
      </c>
      <c r="I1616" s="135">
        <v>70993</v>
      </c>
      <c r="J1616" s="19" t="s">
        <v>5715</v>
      </c>
      <c r="K1616" s="19" t="s">
        <v>5716</v>
      </c>
      <c r="L1616" s="19" t="s">
        <v>364</v>
      </c>
      <c r="M1616" s="19" t="s">
        <v>364</v>
      </c>
      <c r="N1616" s="19" t="s">
        <v>364</v>
      </c>
      <c r="O1616" s="19" t="s">
        <v>364</v>
      </c>
      <c r="P1616" s="463"/>
      <c r="Q1616" s="135"/>
      <c r="R1616" s="135"/>
      <c r="S1616" s="347"/>
      <c r="T1616" s="512" t="e">
        <f>_xlfn.XLOOKUP(H1616,#REF!,#REF!,0,0)</f>
        <v>#REF!</v>
      </c>
    </row>
    <row r="1617" spans="1:20" s="302" customFormat="1" x14ac:dyDescent="0.4">
      <c r="A1617" s="19" t="s">
        <v>5717</v>
      </c>
      <c r="B1617" s="19" t="s">
        <v>5718</v>
      </c>
      <c r="C1617" s="19"/>
      <c r="D1617" s="19" t="s">
        <v>693</v>
      </c>
      <c r="E1617" s="19" t="s">
        <v>10</v>
      </c>
      <c r="F1617" s="20" t="s">
        <v>3072</v>
      </c>
      <c r="G1617" s="19">
        <v>44323</v>
      </c>
      <c r="H1617" s="19" t="s">
        <v>5719</v>
      </c>
      <c r="I1617" s="135">
        <v>70934</v>
      </c>
      <c r="J1617" s="19" t="s">
        <v>5720</v>
      </c>
      <c r="K1617" s="19" t="s">
        <v>5721</v>
      </c>
      <c r="L1617" s="19" t="s">
        <v>364</v>
      </c>
      <c r="M1617" s="19" t="s">
        <v>364</v>
      </c>
      <c r="N1617" s="19" t="s">
        <v>364</v>
      </c>
      <c r="O1617" s="19" t="s">
        <v>364</v>
      </c>
      <c r="P1617" s="463"/>
      <c r="Q1617" s="135"/>
      <c r="R1617" s="135"/>
      <c r="S1617" s="347"/>
      <c r="T1617" s="512" t="e">
        <f>_xlfn.XLOOKUP(H1617,#REF!,#REF!,0,0)</f>
        <v>#REF!</v>
      </c>
    </row>
    <row r="1618" spans="1:20" s="302" customFormat="1" x14ac:dyDescent="0.4">
      <c r="A1618" s="19" t="s">
        <v>5722</v>
      </c>
      <c r="B1618" s="19" t="s">
        <v>5723</v>
      </c>
      <c r="C1618" s="19"/>
      <c r="D1618" s="19" t="s">
        <v>693</v>
      </c>
      <c r="E1618" s="19" t="s">
        <v>10</v>
      </c>
      <c r="F1618" s="20" t="s">
        <v>3072</v>
      </c>
      <c r="G1618" s="19">
        <v>44281</v>
      </c>
      <c r="H1618" s="19" t="s">
        <v>5724</v>
      </c>
      <c r="I1618" s="135">
        <v>70748</v>
      </c>
      <c r="J1618" s="19" t="s">
        <v>5725</v>
      </c>
      <c r="K1618" s="19" t="s">
        <v>5726</v>
      </c>
      <c r="L1618" s="19" t="s">
        <v>364</v>
      </c>
      <c r="M1618" s="19" t="s">
        <v>364</v>
      </c>
      <c r="N1618" s="19" t="s">
        <v>364</v>
      </c>
      <c r="O1618" s="19" t="s">
        <v>364</v>
      </c>
      <c r="P1618" s="463"/>
      <c r="Q1618" s="135"/>
      <c r="R1618" s="135"/>
      <c r="S1618" s="347"/>
      <c r="T1618" s="512" t="e">
        <f>_xlfn.XLOOKUP(H1618,#REF!,#REF!,0,0)</f>
        <v>#REF!</v>
      </c>
    </row>
    <row r="1619" spans="1:20" s="302" customFormat="1" x14ac:dyDescent="0.4">
      <c r="A1619" s="19" t="s">
        <v>5727</v>
      </c>
      <c r="B1619" s="19" t="s">
        <v>5728</v>
      </c>
      <c r="C1619" s="19"/>
      <c r="D1619" s="19" t="s">
        <v>693</v>
      </c>
      <c r="E1619" s="19" t="s">
        <v>10</v>
      </c>
      <c r="F1619" s="20" t="s">
        <v>3072</v>
      </c>
      <c r="G1619" s="19">
        <v>44323</v>
      </c>
      <c r="H1619" s="19" t="s">
        <v>5729</v>
      </c>
      <c r="I1619" s="135">
        <v>70936</v>
      </c>
      <c r="J1619" s="19" t="s">
        <v>5730</v>
      </c>
      <c r="K1619" s="19" t="s">
        <v>5731</v>
      </c>
      <c r="L1619" s="19" t="s">
        <v>364</v>
      </c>
      <c r="M1619" s="19" t="s">
        <v>364</v>
      </c>
      <c r="N1619" s="19" t="s">
        <v>364</v>
      </c>
      <c r="O1619" s="19" t="s">
        <v>364</v>
      </c>
      <c r="P1619" s="463"/>
      <c r="Q1619" s="135"/>
      <c r="R1619" s="135"/>
      <c r="S1619" s="347"/>
      <c r="T1619" s="512" t="e">
        <f>_xlfn.XLOOKUP(H1619,#REF!,#REF!,0,0)</f>
        <v>#REF!</v>
      </c>
    </row>
    <row r="1620" spans="1:20" s="302" customFormat="1" x14ac:dyDescent="0.4">
      <c r="A1620" s="19" t="s">
        <v>5732</v>
      </c>
      <c r="B1620" s="19" t="s">
        <v>5733</v>
      </c>
      <c r="C1620" s="19"/>
      <c r="D1620" s="19" t="s">
        <v>693</v>
      </c>
      <c r="E1620" s="19" t="s">
        <v>10</v>
      </c>
      <c r="F1620" s="20" t="s">
        <v>3072</v>
      </c>
      <c r="G1620" s="19">
        <v>44323</v>
      </c>
      <c r="H1620" s="19" t="s">
        <v>5734</v>
      </c>
      <c r="I1620" s="135">
        <v>70968</v>
      </c>
      <c r="J1620" s="19" t="s">
        <v>5735</v>
      </c>
      <c r="K1620" s="19" t="s">
        <v>5736</v>
      </c>
      <c r="L1620" s="19" t="s">
        <v>364</v>
      </c>
      <c r="M1620" s="19" t="s">
        <v>364</v>
      </c>
      <c r="N1620" s="19" t="s">
        <v>364</v>
      </c>
      <c r="O1620" s="19" t="s">
        <v>364</v>
      </c>
      <c r="P1620" s="463"/>
      <c r="Q1620" s="135"/>
      <c r="R1620" s="135"/>
      <c r="S1620" s="347"/>
      <c r="T1620" s="512" t="e">
        <f>_xlfn.XLOOKUP(H1620,#REF!,#REF!,0,0)</f>
        <v>#REF!</v>
      </c>
    </row>
    <row r="1621" spans="1:20" s="302" customFormat="1" x14ac:dyDescent="0.4">
      <c r="A1621" s="19" t="s">
        <v>5737</v>
      </c>
      <c r="B1621" s="19" t="s">
        <v>5738</v>
      </c>
      <c r="C1621" s="19"/>
      <c r="D1621" s="19" t="s">
        <v>693</v>
      </c>
      <c r="E1621" s="19" t="s">
        <v>10</v>
      </c>
      <c r="F1621" s="20" t="s">
        <v>3072</v>
      </c>
      <c r="G1621" s="19">
        <v>44323</v>
      </c>
      <c r="H1621" s="19" t="s">
        <v>5739</v>
      </c>
      <c r="I1621" s="135">
        <v>70954</v>
      </c>
      <c r="J1621" s="19" t="s">
        <v>5740</v>
      </c>
      <c r="K1621" s="19" t="s">
        <v>5741</v>
      </c>
      <c r="L1621" s="19" t="s">
        <v>364</v>
      </c>
      <c r="M1621" s="19" t="s">
        <v>364</v>
      </c>
      <c r="N1621" s="19" t="s">
        <v>364</v>
      </c>
      <c r="O1621" s="19" t="s">
        <v>364</v>
      </c>
      <c r="P1621" s="463"/>
      <c r="Q1621" s="135"/>
      <c r="R1621" s="135"/>
      <c r="S1621" s="347"/>
      <c r="T1621" s="512" t="e">
        <f>_xlfn.XLOOKUP(H1621,#REF!,#REF!,0,0)</f>
        <v>#REF!</v>
      </c>
    </row>
    <row r="1622" spans="1:20" s="302" customFormat="1" x14ac:dyDescent="0.4">
      <c r="A1622" s="19" t="s">
        <v>5742</v>
      </c>
      <c r="B1622" s="19" t="s">
        <v>5743</v>
      </c>
      <c r="C1622" s="19"/>
      <c r="D1622" s="19" t="s">
        <v>693</v>
      </c>
      <c r="E1622" s="19" t="s">
        <v>10</v>
      </c>
      <c r="F1622" s="20" t="s">
        <v>3072</v>
      </c>
      <c r="G1622" s="19">
        <v>44323</v>
      </c>
      <c r="H1622" s="19" t="s">
        <v>5744</v>
      </c>
      <c r="I1622" s="135">
        <v>70941</v>
      </c>
      <c r="J1622" s="19" t="s">
        <v>5745</v>
      </c>
      <c r="K1622" s="19" t="s">
        <v>5746</v>
      </c>
      <c r="L1622" s="19" t="s">
        <v>364</v>
      </c>
      <c r="M1622" s="19" t="s">
        <v>364</v>
      </c>
      <c r="N1622" s="19" t="s">
        <v>364</v>
      </c>
      <c r="O1622" s="19" t="s">
        <v>364</v>
      </c>
      <c r="P1622" s="463"/>
      <c r="Q1622" s="135"/>
      <c r="R1622" s="135"/>
      <c r="S1622" s="347"/>
      <c r="T1622" s="512" t="e">
        <f>_xlfn.XLOOKUP(H1622,#REF!,#REF!,0,0)</f>
        <v>#REF!</v>
      </c>
    </row>
    <row r="1623" spans="1:20" s="302" customFormat="1" x14ac:dyDescent="0.4">
      <c r="A1623" s="19" t="s">
        <v>5747</v>
      </c>
      <c r="B1623" s="19" t="s">
        <v>5748</v>
      </c>
      <c r="C1623" s="19"/>
      <c r="D1623" s="19" t="s">
        <v>693</v>
      </c>
      <c r="E1623" s="19" t="s">
        <v>10</v>
      </c>
      <c r="F1623" s="20" t="s">
        <v>5179</v>
      </c>
      <c r="G1623" s="19">
        <v>44281</v>
      </c>
      <c r="H1623" s="19" t="s">
        <v>5749</v>
      </c>
      <c r="I1623" s="135">
        <v>70698</v>
      </c>
      <c r="J1623" s="19" t="s">
        <v>5750</v>
      </c>
      <c r="K1623" s="19">
        <v>44491</v>
      </c>
      <c r="L1623" s="19" t="s">
        <v>364</v>
      </c>
      <c r="M1623" s="19" t="s">
        <v>364</v>
      </c>
      <c r="N1623" s="19" t="s">
        <v>364</v>
      </c>
      <c r="O1623" s="19" t="s">
        <v>364</v>
      </c>
      <c r="P1623" s="463" t="s">
        <v>5751</v>
      </c>
      <c r="Q1623" s="135"/>
      <c r="R1623" s="135"/>
      <c r="S1623" s="347"/>
      <c r="T1623" s="512" t="e">
        <f>_xlfn.XLOOKUP(H1623,#REF!,#REF!,0,0)</f>
        <v>#REF!</v>
      </c>
    </row>
    <row r="1624" spans="1:20" s="302" customFormat="1" x14ac:dyDescent="0.4">
      <c r="A1624" s="19" t="s">
        <v>5752</v>
      </c>
      <c r="B1624" s="19" t="s">
        <v>5753</v>
      </c>
      <c r="C1624" s="19"/>
      <c r="D1624" s="19" t="s">
        <v>704</v>
      </c>
      <c r="E1624" s="19" t="s">
        <v>10</v>
      </c>
      <c r="F1624" s="20" t="s">
        <v>3072</v>
      </c>
      <c r="G1624" s="19">
        <v>44323</v>
      </c>
      <c r="H1624" s="19" t="s">
        <v>5754</v>
      </c>
      <c r="I1624" s="135">
        <v>70937</v>
      </c>
      <c r="J1624" s="19" t="s">
        <v>5755</v>
      </c>
      <c r="K1624" s="19" t="s">
        <v>5756</v>
      </c>
      <c r="L1624" s="19" t="s">
        <v>364</v>
      </c>
      <c r="M1624" s="19" t="s">
        <v>364</v>
      </c>
      <c r="N1624" s="19" t="s">
        <v>364</v>
      </c>
      <c r="O1624" s="19" t="s">
        <v>364</v>
      </c>
      <c r="P1624" s="463"/>
      <c r="Q1624" s="135"/>
      <c r="R1624" s="135"/>
      <c r="S1624" s="347"/>
      <c r="T1624" s="512" t="e">
        <f>_xlfn.XLOOKUP(H1624,#REF!,#REF!,0,0)</f>
        <v>#REF!</v>
      </c>
    </row>
    <row r="1625" spans="1:20" s="302" customFormat="1" x14ac:dyDescent="0.4">
      <c r="A1625" s="19" t="s">
        <v>5757</v>
      </c>
      <c r="B1625" s="19" t="s">
        <v>5758</v>
      </c>
      <c r="C1625" s="19"/>
      <c r="D1625" s="19" t="s">
        <v>704</v>
      </c>
      <c r="E1625" s="19" t="s">
        <v>10</v>
      </c>
      <c r="F1625" s="20" t="s">
        <v>3072</v>
      </c>
      <c r="G1625" s="19">
        <v>44281</v>
      </c>
      <c r="H1625" s="19" t="s">
        <v>5759</v>
      </c>
      <c r="I1625" s="135">
        <v>70768</v>
      </c>
      <c r="J1625" s="19" t="s">
        <v>5760</v>
      </c>
      <c r="K1625" s="19" t="s">
        <v>5761</v>
      </c>
      <c r="L1625" s="19" t="s">
        <v>364</v>
      </c>
      <c r="M1625" s="19" t="s">
        <v>364</v>
      </c>
      <c r="N1625" s="19" t="s">
        <v>364</v>
      </c>
      <c r="O1625" s="19" t="s">
        <v>364</v>
      </c>
      <c r="P1625" s="463"/>
      <c r="Q1625" s="135"/>
      <c r="R1625" s="135"/>
      <c r="S1625" s="347"/>
      <c r="T1625" s="512" t="e">
        <f>_xlfn.XLOOKUP(H1625,#REF!,#REF!,0,0)</f>
        <v>#REF!</v>
      </c>
    </row>
    <row r="1626" spans="1:20" s="302" customFormat="1" x14ac:dyDescent="0.4">
      <c r="A1626" s="19" t="s">
        <v>5762</v>
      </c>
      <c r="B1626" s="19" t="s">
        <v>5763</v>
      </c>
      <c r="C1626" s="19"/>
      <c r="D1626" s="19" t="s">
        <v>693</v>
      </c>
      <c r="E1626" s="19" t="s">
        <v>10</v>
      </c>
      <c r="F1626" s="20" t="s">
        <v>3072</v>
      </c>
      <c r="G1626" s="19">
        <v>44281</v>
      </c>
      <c r="H1626" s="19" t="s">
        <v>271</v>
      </c>
      <c r="I1626" s="135">
        <v>70762</v>
      </c>
      <c r="J1626" s="19" t="s">
        <v>555</v>
      </c>
      <c r="K1626" s="19" t="s">
        <v>5764</v>
      </c>
      <c r="L1626" s="19" t="s">
        <v>364</v>
      </c>
      <c r="M1626" s="19" t="s">
        <v>364</v>
      </c>
      <c r="N1626" s="19" t="s">
        <v>364</v>
      </c>
      <c r="O1626" s="19" t="s">
        <v>364</v>
      </c>
      <c r="P1626" s="463"/>
      <c r="Q1626" s="135"/>
      <c r="R1626" s="135"/>
      <c r="S1626" s="347"/>
      <c r="T1626" s="512" t="e">
        <f>_xlfn.XLOOKUP(H1626,#REF!,#REF!,0,0)</f>
        <v>#REF!</v>
      </c>
    </row>
    <row r="1627" spans="1:20" s="302" customFormat="1" x14ac:dyDescent="0.4">
      <c r="A1627" s="19" t="s">
        <v>5765</v>
      </c>
      <c r="B1627" s="19" t="s">
        <v>5766</v>
      </c>
      <c r="C1627" s="19"/>
      <c r="D1627" s="19" t="s">
        <v>693</v>
      </c>
      <c r="E1627" s="19" t="s">
        <v>10</v>
      </c>
      <c r="F1627" s="20" t="s">
        <v>3072</v>
      </c>
      <c r="G1627" s="19">
        <v>44323</v>
      </c>
      <c r="H1627" s="19" t="s">
        <v>5767</v>
      </c>
      <c r="I1627" s="135">
        <v>70960</v>
      </c>
      <c r="J1627" s="19" t="s">
        <v>5768</v>
      </c>
      <c r="K1627" s="19" t="s">
        <v>5769</v>
      </c>
      <c r="L1627" s="19" t="s">
        <v>364</v>
      </c>
      <c r="M1627" s="19" t="s">
        <v>364</v>
      </c>
      <c r="N1627" s="19" t="s">
        <v>364</v>
      </c>
      <c r="O1627" s="19" t="s">
        <v>364</v>
      </c>
      <c r="P1627" s="463" t="s">
        <v>5770</v>
      </c>
      <c r="Q1627" s="135"/>
      <c r="R1627" s="135"/>
      <c r="S1627" s="347"/>
      <c r="T1627" s="512" t="e">
        <f>_xlfn.XLOOKUP(H1627,#REF!,#REF!,0,0)</f>
        <v>#REF!</v>
      </c>
    </row>
    <row r="1628" spans="1:20" s="302" customFormat="1" x14ac:dyDescent="0.4">
      <c r="A1628" s="19" t="s">
        <v>5771</v>
      </c>
      <c r="B1628" s="19" t="s">
        <v>5772</v>
      </c>
      <c r="C1628" s="19"/>
      <c r="D1628" s="19" t="s">
        <v>5210</v>
      </c>
      <c r="E1628" s="19" t="s">
        <v>10</v>
      </c>
      <c r="F1628" s="20" t="s">
        <v>3072</v>
      </c>
      <c r="G1628" s="19">
        <v>44323</v>
      </c>
      <c r="H1628" s="19" t="s">
        <v>5773</v>
      </c>
      <c r="I1628" s="135">
        <v>70962</v>
      </c>
      <c r="J1628" s="19" t="s">
        <v>5774</v>
      </c>
      <c r="K1628" s="19" t="s">
        <v>5775</v>
      </c>
      <c r="L1628" s="19" t="s">
        <v>364</v>
      </c>
      <c r="M1628" s="19" t="s">
        <v>364</v>
      </c>
      <c r="N1628" s="19" t="s">
        <v>364</v>
      </c>
      <c r="O1628" s="19" t="s">
        <v>364</v>
      </c>
      <c r="P1628" s="463" t="s">
        <v>5776</v>
      </c>
      <c r="Q1628" s="135"/>
      <c r="R1628" s="135"/>
      <c r="S1628" s="347"/>
      <c r="T1628" s="512" t="e">
        <f>_xlfn.XLOOKUP(H1628,#REF!,#REF!,0,0)</f>
        <v>#REF!</v>
      </c>
    </row>
    <row r="1629" spans="1:20" s="302" customFormat="1" x14ac:dyDescent="0.4">
      <c r="A1629" s="19" t="s">
        <v>5777</v>
      </c>
      <c r="B1629" s="19" t="s">
        <v>5778</v>
      </c>
      <c r="C1629" s="19"/>
      <c r="D1629" s="19" t="s">
        <v>5210</v>
      </c>
      <c r="E1629" s="19" t="s">
        <v>10</v>
      </c>
      <c r="F1629" s="20" t="s">
        <v>3072</v>
      </c>
      <c r="G1629" s="19">
        <v>44323</v>
      </c>
      <c r="H1629" s="19" t="s">
        <v>5779</v>
      </c>
      <c r="I1629" s="135">
        <v>70928</v>
      </c>
      <c r="J1629" s="19" t="s">
        <v>5780</v>
      </c>
      <c r="K1629" s="19" t="s">
        <v>5781</v>
      </c>
      <c r="L1629" s="19" t="s">
        <v>364</v>
      </c>
      <c r="M1629" s="19" t="s">
        <v>364</v>
      </c>
      <c r="N1629" s="19" t="s">
        <v>364</v>
      </c>
      <c r="O1629" s="19" t="s">
        <v>364</v>
      </c>
      <c r="P1629" s="463" t="s">
        <v>5782</v>
      </c>
      <c r="Q1629" s="135"/>
      <c r="R1629" s="135"/>
      <c r="S1629" s="347"/>
      <c r="T1629" s="512" t="e">
        <f>_xlfn.XLOOKUP(H1629,#REF!,#REF!,0,0)</f>
        <v>#REF!</v>
      </c>
    </row>
    <row r="1630" spans="1:20" s="302" customFormat="1" x14ac:dyDescent="0.4">
      <c r="A1630" s="19" t="s">
        <v>5783</v>
      </c>
      <c r="B1630" s="19" t="s">
        <v>5784</v>
      </c>
      <c r="C1630" s="19"/>
      <c r="D1630" s="19" t="s">
        <v>5210</v>
      </c>
      <c r="E1630" s="19" t="s">
        <v>10</v>
      </c>
      <c r="F1630" s="20" t="s">
        <v>3072</v>
      </c>
      <c r="G1630" s="19">
        <v>44281</v>
      </c>
      <c r="H1630" s="19" t="s">
        <v>5785</v>
      </c>
      <c r="I1630" s="135">
        <v>70764</v>
      </c>
      <c r="J1630" s="19" t="s">
        <v>5786</v>
      </c>
      <c r="K1630" s="19" t="s">
        <v>5787</v>
      </c>
      <c r="L1630" s="19" t="s">
        <v>364</v>
      </c>
      <c r="M1630" s="19" t="s">
        <v>364</v>
      </c>
      <c r="N1630" s="19" t="s">
        <v>364</v>
      </c>
      <c r="O1630" s="19" t="s">
        <v>364</v>
      </c>
      <c r="P1630" s="463"/>
      <c r="Q1630" s="135"/>
      <c r="R1630" s="135"/>
      <c r="S1630" s="347"/>
      <c r="T1630" s="512" t="e">
        <f>_xlfn.XLOOKUP(H1630,#REF!,#REF!,0,0)</f>
        <v>#REF!</v>
      </c>
    </row>
    <row r="1631" spans="1:20" s="302" customFormat="1" x14ac:dyDescent="0.4">
      <c r="A1631" s="19" t="s">
        <v>5788</v>
      </c>
      <c r="B1631" s="19" t="s">
        <v>5789</v>
      </c>
      <c r="C1631" s="19"/>
      <c r="D1631" s="19" t="s">
        <v>693</v>
      </c>
      <c r="E1631" s="19" t="s">
        <v>10</v>
      </c>
      <c r="F1631" s="20" t="s">
        <v>3072</v>
      </c>
      <c r="G1631" s="19">
        <v>44323</v>
      </c>
      <c r="H1631" s="19" t="s">
        <v>5790</v>
      </c>
      <c r="I1631" s="135">
        <v>70930</v>
      </c>
      <c r="J1631" s="19" t="s">
        <v>5791</v>
      </c>
      <c r="K1631" s="19" t="s">
        <v>5792</v>
      </c>
      <c r="L1631" s="19" t="s">
        <v>364</v>
      </c>
      <c r="M1631" s="19" t="s">
        <v>364</v>
      </c>
      <c r="N1631" s="19" t="s">
        <v>364</v>
      </c>
      <c r="O1631" s="19" t="s">
        <v>364</v>
      </c>
      <c r="P1631" s="463"/>
      <c r="Q1631" s="135"/>
      <c r="R1631" s="135"/>
      <c r="S1631" s="347"/>
      <c r="T1631" s="512" t="e">
        <f>_xlfn.XLOOKUP(H1631,#REF!,#REF!,0,0)</f>
        <v>#REF!</v>
      </c>
    </row>
    <row r="1632" spans="1:20" s="302" customFormat="1" x14ac:dyDescent="0.4">
      <c r="A1632" s="19" t="s">
        <v>5793</v>
      </c>
      <c r="B1632" s="19" t="s">
        <v>5794</v>
      </c>
      <c r="C1632" s="19"/>
      <c r="D1632" s="19" t="s">
        <v>693</v>
      </c>
      <c r="E1632" s="19" t="s">
        <v>10</v>
      </c>
      <c r="F1632" s="20" t="s">
        <v>3072</v>
      </c>
      <c r="G1632" s="19">
        <v>44323</v>
      </c>
      <c r="H1632" s="19" t="s">
        <v>5795</v>
      </c>
      <c r="I1632" s="135">
        <v>70931</v>
      </c>
      <c r="J1632" s="19" t="s">
        <v>5796</v>
      </c>
      <c r="K1632" s="19" t="s">
        <v>5792</v>
      </c>
      <c r="L1632" s="19" t="s">
        <v>364</v>
      </c>
      <c r="M1632" s="19" t="s">
        <v>364</v>
      </c>
      <c r="N1632" s="19" t="s">
        <v>364</v>
      </c>
      <c r="O1632" s="19" t="s">
        <v>364</v>
      </c>
      <c r="P1632" s="463"/>
      <c r="Q1632" s="135"/>
      <c r="R1632" s="135"/>
      <c r="S1632" s="347"/>
      <c r="T1632" s="512" t="e">
        <f>_xlfn.XLOOKUP(H1632,#REF!,#REF!,0,0)</f>
        <v>#REF!</v>
      </c>
    </row>
    <row r="1633" spans="1:20" s="302" customFormat="1" x14ac:dyDescent="0.4">
      <c r="A1633" s="19" t="s">
        <v>5797</v>
      </c>
      <c r="B1633" s="19" t="s">
        <v>5798</v>
      </c>
      <c r="C1633" s="19"/>
      <c r="D1633" s="19" t="s">
        <v>693</v>
      </c>
      <c r="E1633" s="19" t="s">
        <v>10</v>
      </c>
      <c r="F1633" s="20" t="s">
        <v>3072</v>
      </c>
      <c r="G1633" s="19">
        <v>44323</v>
      </c>
      <c r="H1633" s="19" t="s">
        <v>5799</v>
      </c>
      <c r="I1633" s="135">
        <v>70932</v>
      </c>
      <c r="J1633" s="19" t="s">
        <v>5800</v>
      </c>
      <c r="K1633" s="19" t="s">
        <v>5801</v>
      </c>
      <c r="L1633" s="19" t="s">
        <v>364</v>
      </c>
      <c r="M1633" s="19" t="s">
        <v>364</v>
      </c>
      <c r="N1633" s="19" t="s">
        <v>364</v>
      </c>
      <c r="O1633" s="19" t="s">
        <v>364</v>
      </c>
      <c r="P1633" s="463"/>
      <c r="Q1633" s="135"/>
      <c r="R1633" s="135"/>
      <c r="S1633" s="347"/>
      <c r="T1633" s="512" t="e">
        <f>_xlfn.XLOOKUP(H1633,#REF!,#REF!,0,0)</f>
        <v>#REF!</v>
      </c>
    </row>
    <row r="1634" spans="1:20" s="302" customFormat="1" x14ac:dyDescent="0.4">
      <c r="A1634" s="19" t="s">
        <v>5802</v>
      </c>
      <c r="B1634" s="19" t="s">
        <v>5803</v>
      </c>
      <c r="C1634" s="19"/>
      <c r="D1634" s="19" t="s">
        <v>693</v>
      </c>
      <c r="E1634" s="19" t="s">
        <v>10</v>
      </c>
      <c r="F1634" s="20" t="s">
        <v>3072</v>
      </c>
      <c r="G1634" s="19">
        <v>44323</v>
      </c>
      <c r="H1634" s="19" t="s">
        <v>5804</v>
      </c>
      <c r="I1634" s="135">
        <v>70926</v>
      </c>
      <c r="J1634" s="19" t="s">
        <v>5805</v>
      </c>
      <c r="K1634" s="19" t="s">
        <v>5806</v>
      </c>
      <c r="L1634" s="19" t="s">
        <v>364</v>
      </c>
      <c r="M1634" s="19" t="s">
        <v>364</v>
      </c>
      <c r="N1634" s="19" t="s">
        <v>364</v>
      </c>
      <c r="O1634" s="19" t="s">
        <v>364</v>
      </c>
      <c r="P1634" s="463"/>
      <c r="Q1634" s="135"/>
      <c r="R1634" s="135"/>
      <c r="S1634" s="347"/>
      <c r="T1634" s="512" t="e">
        <f>_xlfn.XLOOKUP(H1634,#REF!,#REF!,0,0)</f>
        <v>#REF!</v>
      </c>
    </row>
    <row r="1635" spans="1:20" s="302" customFormat="1" x14ac:dyDescent="0.4">
      <c r="A1635" s="19" t="s">
        <v>5807</v>
      </c>
      <c r="B1635" s="19" t="s">
        <v>5808</v>
      </c>
      <c r="C1635" s="19"/>
      <c r="D1635" s="19" t="s">
        <v>693</v>
      </c>
      <c r="E1635" s="19" t="s">
        <v>10</v>
      </c>
      <c r="F1635" s="20" t="s">
        <v>3072</v>
      </c>
      <c r="G1635" s="19">
        <v>44281</v>
      </c>
      <c r="H1635" s="19" t="s">
        <v>5809</v>
      </c>
      <c r="I1635" s="135">
        <v>70729</v>
      </c>
      <c r="J1635" s="19" t="s">
        <v>5810</v>
      </c>
      <c r="K1635" s="19" t="s">
        <v>5811</v>
      </c>
      <c r="L1635" s="19" t="s">
        <v>364</v>
      </c>
      <c r="M1635" s="19" t="s">
        <v>364</v>
      </c>
      <c r="N1635" s="19" t="s">
        <v>364</v>
      </c>
      <c r="O1635" s="19" t="s">
        <v>364</v>
      </c>
      <c r="P1635" s="463" t="s">
        <v>5812</v>
      </c>
      <c r="Q1635" s="135"/>
      <c r="R1635" s="135"/>
      <c r="S1635" s="347"/>
      <c r="T1635" s="512" t="e">
        <f>_xlfn.XLOOKUP(H1635,#REF!,#REF!,0,0)</f>
        <v>#REF!</v>
      </c>
    </row>
    <row r="1636" spans="1:20" s="302" customFormat="1" x14ac:dyDescent="0.4">
      <c r="A1636" s="19" t="s">
        <v>5813</v>
      </c>
      <c r="B1636" s="19" t="s">
        <v>5814</v>
      </c>
      <c r="C1636" s="19"/>
      <c r="D1636" s="19" t="s">
        <v>693</v>
      </c>
      <c r="E1636" s="19" t="s">
        <v>10</v>
      </c>
      <c r="F1636" s="20" t="s">
        <v>3072</v>
      </c>
      <c r="G1636" s="19">
        <v>44323</v>
      </c>
      <c r="H1636" s="19" t="s">
        <v>5815</v>
      </c>
      <c r="I1636" s="135">
        <v>70929</v>
      </c>
      <c r="J1636" s="19" t="s">
        <v>5816</v>
      </c>
      <c r="K1636" s="19" t="s">
        <v>5817</v>
      </c>
      <c r="L1636" s="19" t="s">
        <v>364</v>
      </c>
      <c r="M1636" s="19" t="s">
        <v>364</v>
      </c>
      <c r="N1636" s="19" t="s">
        <v>364</v>
      </c>
      <c r="O1636" s="19" t="s">
        <v>364</v>
      </c>
      <c r="P1636" s="463"/>
      <c r="Q1636" s="135"/>
      <c r="R1636" s="135"/>
      <c r="S1636" s="347"/>
      <c r="T1636" s="512" t="e">
        <f>_xlfn.XLOOKUP(H1636,#REF!,#REF!,0,0)</f>
        <v>#REF!</v>
      </c>
    </row>
    <row r="1637" spans="1:20" s="302" customFormat="1" x14ac:dyDescent="0.4">
      <c r="A1637" s="19" t="s">
        <v>5818</v>
      </c>
      <c r="B1637" s="19" t="s">
        <v>5819</v>
      </c>
      <c r="C1637" s="19"/>
      <c r="D1637" s="19" t="s">
        <v>3758</v>
      </c>
      <c r="E1637" s="19" t="s">
        <v>10</v>
      </c>
      <c r="F1637" s="20" t="s">
        <v>3072</v>
      </c>
      <c r="G1637" s="19">
        <v>44281</v>
      </c>
      <c r="H1637" s="19" t="s">
        <v>5820</v>
      </c>
      <c r="I1637" s="135">
        <v>70955</v>
      </c>
      <c r="J1637" s="19" t="s">
        <v>5224</v>
      </c>
      <c r="K1637" s="19" t="s">
        <v>5821</v>
      </c>
      <c r="L1637" s="19" t="s">
        <v>364</v>
      </c>
      <c r="M1637" s="19" t="s">
        <v>364</v>
      </c>
      <c r="N1637" s="19" t="s">
        <v>364</v>
      </c>
      <c r="O1637" s="19" t="s">
        <v>364</v>
      </c>
      <c r="P1637" s="463"/>
      <c r="Q1637" s="135"/>
      <c r="R1637" s="135"/>
      <c r="S1637" s="347"/>
      <c r="T1637" s="512" t="e">
        <f>_xlfn.XLOOKUP(H1637,#REF!,#REF!,0,0)</f>
        <v>#REF!</v>
      </c>
    </row>
    <row r="1638" spans="1:20" s="302" customFormat="1" x14ac:dyDescent="0.4">
      <c r="A1638" s="19" t="s">
        <v>5822</v>
      </c>
      <c r="B1638" s="19" t="s">
        <v>5823</v>
      </c>
      <c r="C1638" s="19"/>
      <c r="D1638" s="19" t="s">
        <v>3758</v>
      </c>
      <c r="E1638" s="19" t="s">
        <v>10</v>
      </c>
      <c r="F1638" s="20" t="s">
        <v>3072</v>
      </c>
      <c r="G1638" s="19">
        <v>44323</v>
      </c>
      <c r="H1638" s="19" t="s">
        <v>5824</v>
      </c>
      <c r="I1638" s="135">
        <v>70925</v>
      </c>
      <c r="J1638" s="19" t="s">
        <v>5825</v>
      </c>
      <c r="K1638" s="19" t="s">
        <v>5821</v>
      </c>
      <c r="L1638" s="19" t="s">
        <v>364</v>
      </c>
      <c r="M1638" s="19" t="s">
        <v>364</v>
      </c>
      <c r="N1638" s="19" t="s">
        <v>364</v>
      </c>
      <c r="O1638" s="19" t="s">
        <v>364</v>
      </c>
      <c r="P1638" s="463"/>
      <c r="Q1638" s="135"/>
      <c r="R1638" s="135"/>
      <c r="S1638" s="347"/>
      <c r="T1638" s="512" t="e">
        <f>_xlfn.XLOOKUP(H1638,#REF!,#REF!,0,0)</f>
        <v>#REF!</v>
      </c>
    </row>
    <row r="1639" spans="1:20" s="302" customFormat="1" x14ac:dyDescent="0.4">
      <c r="A1639" s="19" t="s">
        <v>5826</v>
      </c>
      <c r="B1639" s="19" t="s">
        <v>5827</v>
      </c>
      <c r="C1639" s="19"/>
      <c r="D1639" s="19" t="s">
        <v>3758</v>
      </c>
      <c r="E1639" s="19" t="s">
        <v>10</v>
      </c>
      <c r="F1639" s="20" t="s">
        <v>3072</v>
      </c>
      <c r="G1639" s="19">
        <v>44323</v>
      </c>
      <c r="H1639" s="19" t="s">
        <v>5223</v>
      </c>
      <c r="I1639" s="135">
        <v>70753</v>
      </c>
      <c r="J1639" s="19" t="s">
        <v>5828</v>
      </c>
      <c r="K1639" s="19" t="s">
        <v>5821</v>
      </c>
      <c r="L1639" s="19" t="s">
        <v>364</v>
      </c>
      <c r="M1639" s="19" t="s">
        <v>364</v>
      </c>
      <c r="N1639" s="19" t="s">
        <v>364</v>
      </c>
      <c r="O1639" s="19" t="s">
        <v>364</v>
      </c>
      <c r="P1639" s="463"/>
      <c r="Q1639" s="135"/>
      <c r="R1639" s="135"/>
      <c r="S1639" s="347"/>
      <c r="T1639" s="512" t="e">
        <f>_xlfn.XLOOKUP(H1639,#REF!,#REF!,0,0)</f>
        <v>#REF!</v>
      </c>
    </row>
    <row r="1640" spans="1:20" s="302" customFormat="1" x14ac:dyDescent="0.4">
      <c r="A1640" s="19" t="s">
        <v>5829</v>
      </c>
      <c r="B1640" s="19" t="s">
        <v>5830</v>
      </c>
      <c r="C1640" s="19"/>
      <c r="D1640" s="19" t="s">
        <v>3758</v>
      </c>
      <c r="E1640" s="19" t="s">
        <v>10</v>
      </c>
      <c r="F1640" s="20" t="s">
        <v>3072</v>
      </c>
      <c r="G1640" s="19">
        <v>44323</v>
      </c>
      <c r="H1640" s="19" t="s">
        <v>5831</v>
      </c>
      <c r="I1640" s="135">
        <v>70946</v>
      </c>
      <c r="J1640" s="19" t="s">
        <v>5832</v>
      </c>
      <c r="K1640" s="19" t="s">
        <v>5821</v>
      </c>
      <c r="L1640" s="19" t="s">
        <v>364</v>
      </c>
      <c r="M1640" s="19" t="s">
        <v>364</v>
      </c>
      <c r="N1640" s="19" t="s">
        <v>364</v>
      </c>
      <c r="O1640" s="19" t="s">
        <v>364</v>
      </c>
      <c r="P1640" s="463"/>
      <c r="Q1640" s="135"/>
      <c r="R1640" s="135"/>
      <c r="S1640" s="347"/>
      <c r="T1640" s="512" t="e">
        <f>_xlfn.XLOOKUP(H1640,#REF!,#REF!,0,0)</f>
        <v>#REF!</v>
      </c>
    </row>
    <row r="1641" spans="1:20" s="302" customFormat="1" x14ac:dyDescent="0.4">
      <c r="A1641" s="19" t="s">
        <v>5833</v>
      </c>
      <c r="B1641" s="19" t="s">
        <v>5834</v>
      </c>
      <c r="C1641" s="19"/>
      <c r="D1641" s="19" t="s">
        <v>3758</v>
      </c>
      <c r="E1641" s="19" t="s">
        <v>10</v>
      </c>
      <c r="F1641" s="20" t="s">
        <v>5835</v>
      </c>
      <c r="G1641" s="19"/>
      <c r="H1641" s="19" t="s">
        <v>5836</v>
      </c>
      <c r="I1641" s="135">
        <v>71034</v>
      </c>
      <c r="J1641" s="19"/>
      <c r="K1641" s="19" t="s">
        <v>5837</v>
      </c>
      <c r="L1641" s="19" t="s">
        <v>364</v>
      </c>
      <c r="M1641" s="19" t="s">
        <v>364</v>
      </c>
      <c r="N1641" s="19" t="s">
        <v>364</v>
      </c>
      <c r="O1641" s="19" t="s">
        <v>364</v>
      </c>
      <c r="P1641" s="463"/>
      <c r="Q1641" s="135"/>
      <c r="R1641" s="135">
        <v>1</v>
      </c>
      <c r="S1641" s="347">
        <v>1</v>
      </c>
      <c r="T1641" s="512" t="e">
        <f>_xlfn.XLOOKUP(H1641,#REF!,#REF!,0,0)</f>
        <v>#REF!</v>
      </c>
    </row>
    <row r="1642" spans="1:20" s="505" customFormat="1" x14ac:dyDescent="0.4">
      <c r="A1642" s="215" t="s">
        <v>5838</v>
      </c>
      <c r="B1642" s="215" t="s">
        <v>5839</v>
      </c>
      <c r="C1642" s="215" t="s">
        <v>435</v>
      </c>
      <c r="D1642" s="215" t="s">
        <v>1097</v>
      </c>
      <c r="E1642" s="215" t="s">
        <v>10</v>
      </c>
      <c r="F1642" s="214" t="s">
        <v>3072</v>
      </c>
      <c r="G1642" s="215">
        <v>44502</v>
      </c>
      <c r="H1642" s="215" t="s">
        <v>5840</v>
      </c>
      <c r="I1642" s="354">
        <v>70942</v>
      </c>
      <c r="J1642" s="215" t="s">
        <v>5841</v>
      </c>
      <c r="K1642" s="215">
        <v>44502</v>
      </c>
      <c r="L1642" s="215" t="s">
        <v>364</v>
      </c>
      <c r="M1642" s="215" t="s">
        <v>364</v>
      </c>
      <c r="N1642" s="215" t="s">
        <v>364</v>
      </c>
      <c r="O1642" s="215" t="s">
        <v>364</v>
      </c>
      <c r="P1642" s="464" t="s">
        <v>5842</v>
      </c>
      <c r="Q1642" s="354"/>
      <c r="R1642" s="354"/>
      <c r="S1642" s="346"/>
      <c r="T1642" s="512" t="e">
        <f>_xlfn.XLOOKUP(H1642,#REF!,#REF!,0,0)</f>
        <v>#REF!</v>
      </c>
    </row>
    <row r="1643" spans="1:20" s="505" customFormat="1" x14ac:dyDescent="0.4">
      <c r="A1643" s="215" t="s">
        <v>5843</v>
      </c>
      <c r="B1643" s="215" t="s">
        <v>5844</v>
      </c>
      <c r="C1643" s="215" t="s">
        <v>435</v>
      </c>
      <c r="D1643" s="215" t="s">
        <v>1097</v>
      </c>
      <c r="E1643" s="215" t="s">
        <v>10</v>
      </c>
      <c r="F1643" s="214" t="s">
        <v>3072</v>
      </c>
      <c r="G1643" s="215">
        <v>44502</v>
      </c>
      <c r="H1643" s="215" t="s">
        <v>5845</v>
      </c>
      <c r="I1643" s="354">
        <v>70933</v>
      </c>
      <c r="J1643" s="215" t="s">
        <v>5846</v>
      </c>
      <c r="K1643" s="215" t="s">
        <v>5847</v>
      </c>
      <c r="L1643" s="215" t="s">
        <v>364</v>
      </c>
      <c r="M1643" s="215" t="s">
        <v>364</v>
      </c>
      <c r="N1643" s="215" t="s">
        <v>364</v>
      </c>
      <c r="O1643" s="215" t="s">
        <v>364</v>
      </c>
      <c r="P1643" s="464" t="s">
        <v>5842</v>
      </c>
      <c r="Q1643" s="354"/>
      <c r="R1643" s="354"/>
      <c r="S1643" s="346"/>
      <c r="T1643" s="512" t="e">
        <f>_xlfn.XLOOKUP(H1643,#REF!,#REF!,0,0)</f>
        <v>#REF!</v>
      </c>
    </row>
    <row r="1644" spans="1:20" s="505" customFormat="1" x14ac:dyDescent="0.4">
      <c r="A1644" s="215" t="s">
        <v>5848</v>
      </c>
      <c r="B1644" s="215" t="s">
        <v>5849</v>
      </c>
      <c r="C1644" s="215" t="s">
        <v>435</v>
      </c>
      <c r="D1644" s="215" t="s">
        <v>1097</v>
      </c>
      <c r="E1644" s="215" t="s">
        <v>10</v>
      </c>
      <c r="F1644" s="214" t="s">
        <v>5179</v>
      </c>
      <c r="G1644" s="215">
        <v>44502</v>
      </c>
      <c r="H1644" s="215" t="s">
        <v>5850</v>
      </c>
      <c r="I1644" s="354">
        <v>70700</v>
      </c>
      <c r="J1644" s="215" t="s">
        <v>5851</v>
      </c>
      <c r="K1644" s="215">
        <v>44502</v>
      </c>
      <c r="L1644" s="215" t="s">
        <v>364</v>
      </c>
      <c r="M1644" s="215" t="s">
        <v>364</v>
      </c>
      <c r="N1644" s="215" t="s">
        <v>364</v>
      </c>
      <c r="O1644" s="215" t="s">
        <v>364</v>
      </c>
      <c r="P1644" s="464" t="s">
        <v>570</v>
      </c>
      <c r="Q1644" s="354"/>
      <c r="R1644" s="354"/>
      <c r="S1644" s="346"/>
      <c r="T1644" s="512" t="e">
        <f>_xlfn.XLOOKUP(H1644,#REF!,#REF!,0,0)</f>
        <v>#REF!</v>
      </c>
    </row>
    <row r="1645" spans="1:20" s="505" customFormat="1" x14ac:dyDescent="0.4">
      <c r="A1645" s="215" t="s">
        <v>5852</v>
      </c>
      <c r="B1645" s="215" t="s">
        <v>5853</v>
      </c>
      <c r="C1645" s="215" t="s">
        <v>435</v>
      </c>
      <c r="D1645" s="215" t="s">
        <v>3778</v>
      </c>
      <c r="E1645" s="215" t="s">
        <v>10</v>
      </c>
      <c r="F1645" s="214" t="s">
        <v>5179</v>
      </c>
      <c r="G1645" s="215">
        <v>44281</v>
      </c>
      <c r="H1645" s="215" t="s">
        <v>5854</v>
      </c>
      <c r="I1645" s="354">
        <v>70707</v>
      </c>
      <c r="J1645" s="215" t="s">
        <v>5855</v>
      </c>
      <c r="K1645" s="215">
        <v>44502</v>
      </c>
      <c r="L1645" s="215" t="s">
        <v>364</v>
      </c>
      <c r="M1645" s="215" t="s">
        <v>364</v>
      </c>
      <c r="N1645" s="215" t="s">
        <v>364</v>
      </c>
      <c r="O1645" s="215" t="s">
        <v>364</v>
      </c>
      <c r="P1645" s="464" t="s">
        <v>5856</v>
      </c>
      <c r="Q1645" s="354"/>
      <c r="R1645" s="354"/>
      <c r="S1645" s="346"/>
      <c r="T1645" s="512" t="e">
        <f>_xlfn.XLOOKUP(H1645,#REF!,#REF!,0,0)</f>
        <v>#REF!</v>
      </c>
    </row>
    <row r="1646" spans="1:20" s="302" customFormat="1" x14ac:dyDescent="0.4">
      <c r="A1646" s="19" t="s">
        <v>5857</v>
      </c>
      <c r="B1646" s="19" t="s">
        <v>5858</v>
      </c>
      <c r="C1646" s="19" t="s">
        <v>433</v>
      </c>
      <c r="D1646" s="19" t="s">
        <v>693</v>
      </c>
      <c r="E1646" s="19" t="s">
        <v>10</v>
      </c>
      <c r="F1646" s="20" t="s">
        <v>3072</v>
      </c>
      <c r="G1646" s="19">
        <v>44323</v>
      </c>
      <c r="H1646" s="19" t="s">
        <v>5859</v>
      </c>
      <c r="I1646" s="135">
        <v>70924</v>
      </c>
      <c r="J1646" s="19" t="s">
        <v>5860</v>
      </c>
      <c r="K1646" s="19" t="s">
        <v>5861</v>
      </c>
      <c r="L1646" s="19" t="s">
        <v>364</v>
      </c>
      <c r="M1646" s="19" t="s">
        <v>364</v>
      </c>
      <c r="N1646" s="19" t="s">
        <v>364</v>
      </c>
      <c r="O1646" s="19" t="s">
        <v>364</v>
      </c>
      <c r="P1646" s="463" t="s">
        <v>5862</v>
      </c>
      <c r="Q1646" s="135"/>
      <c r="R1646" s="135"/>
      <c r="S1646" s="347"/>
      <c r="T1646" s="512" t="e">
        <f>_xlfn.XLOOKUP(H1646,#REF!,#REF!,0,0)</f>
        <v>#REF!</v>
      </c>
    </row>
    <row r="1647" spans="1:20" s="302" customFormat="1" x14ac:dyDescent="0.4">
      <c r="A1647" s="19" t="s">
        <v>5863</v>
      </c>
      <c r="B1647" s="19" t="s">
        <v>5864</v>
      </c>
      <c r="C1647" s="19" t="s">
        <v>433</v>
      </c>
      <c r="D1647" s="19" t="s">
        <v>693</v>
      </c>
      <c r="E1647" s="19" t="s">
        <v>10</v>
      </c>
      <c r="F1647" s="20" t="s">
        <v>3072</v>
      </c>
      <c r="G1647" s="19">
        <v>44323</v>
      </c>
      <c r="H1647" s="19" t="s">
        <v>5865</v>
      </c>
      <c r="I1647" s="135">
        <v>70948</v>
      </c>
      <c r="J1647" s="19" t="s">
        <v>5866</v>
      </c>
      <c r="K1647" s="19">
        <v>44504</v>
      </c>
      <c r="L1647" s="19" t="s">
        <v>364</v>
      </c>
      <c r="M1647" s="19" t="s">
        <v>364</v>
      </c>
      <c r="N1647" s="19" t="s">
        <v>364</v>
      </c>
      <c r="O1647" s="19" t="s">
        <v>364</v>
      </c>
      <c r="P1647" s="463"/>
      <c r="Q1647" s="135"/>
      <c r="R1647" s="135"/>
      <c r="S1647" s="347"/>
      <c r="T1647" s="512" t="e">
        <f>_xlfn.XLOOKUP(H1647,#REF!,#REF!,0,0)</f>
        <v>#REF!</v>
      </c>
    </row>
    <row r="1648" spans="1:20" s="505" customFormat="1" x14ac:dyDescent="0.4">
      <c r="A1648" s="215" t="s">
        <v>5867</v>
      </c>
      <c r="B1648" s="215" t="s">
        <v>5868</v>
      </c>
      <c r="C1648" s="215" t="s">
        <v>435</v>
      </c>
      <c r="D1648" s="215" t="s">
        <v>693</v>
      </c>
      <c r="E1648" s="215" t="s">
        <v>10</v>
      </c>
      <c r="F1648" s="214" t="s">
        <v>3072</v>
      </c>
      <c r="G1648" s="215">
        <v>44323</v>
      </c>
      <c r="H1648" s="215" t="s">
        <v>5869</v>
      </c>
      <c r="I1648" s="354">
        <v>70969</v>
      </c>
      <c r="J1648" s="215" t="s">
        <v>5870</v>
      </c>
      <c r="K1648" s="215">
        <v>44502</v>
      </c>
      <c r="L1648" s="215" t="s">
        <v>364</v>
      </c>
      <c r="M1648" s="215" t="s">
        <v>364</v>
      </c>
      <c r="N1648" s="215" t="s">
        <v>364</v>
      </c>
      <c r="O1648" s="215" t="s">
        <v>364</v>
      </c>
      <c r="P1648" s="464"/>
      <c r="Q1648" s="354"/>
      <c r="R1648" s="354"/>
      <c r="S1648" s="346"/>
      <c r="T1648" s="512" t="e">
        <f>_xlfn.XLOOKUP(H1648,#REF!,#REF!,0,0)</f>
        <v>#REF!</v>
      </c>
    </row>
    <row r="1649" spans="1:20" s="302" customFormat="1" x14ac:dyDescent="0.4">
      <c r="A1649" s="19" t="s">
        <v>5871</v>
      </c>
      <c r="B1649" s="19" t="s">
        <v>5872</v>
      </c>
      <c r="C1649" s="19" t="s">
        <v>433</v>
      </c>
      <c r="D1649" s="19" t="s">
        <v>693</v>
      </c>
      <c r="E1649" s="19" t="s">
        <v>10</v>
      </c>
      <c r="F1649" s="20" t="s">
        <v>3072</v>
      </c>
      <c r="G1649" s="19">
        <v>44281</v>
      </c>
      <c r="H1649" s="19" t="s">
        <v>5873</v>
      </c>
      <c r="I1649" s="135">
        <v>70732</v>
      </c>
      <c r="J1649" s="19" t="s">
        <v>5874</v>
      </c>
      <c r="K1649" s="19">
        <v>44504.583333333336</v>
      </c>
      <c r="L1649" s="19" t="s">
        <v>364</v>
      </c>
      <c r="M1649" s="19" t="s">
        <v>364</v>
      </c>
      <c r="N1649" s="19" t="s">
        <v>364</v>
      </c>
      <c r="O1649" s="19" t="s">
        <v>364</v>
      </c>
      <c r="P1649" s="463"/>
      <c r="Q1649" s="135"/>
      <c r="R1649" s="135"/>
      <c r="S1649" s="347"/>
      <c r="T1649" s="512" t="e">
        <f>_xlfn.XLOOKUP(H1649,#REF!,#REF!,0,0)</f>
        <v>#REF!</v>
      </c>
    </row>
    <row r="1650" spans="1:20" s="302" customFormat="1" x14ac:dyDescent="0.4">
      <c r="A1650" s="19" t="s">
        <v>5875</v>
      </c>
      <c r="B1650" s="19" t="s">
        <v>5876</v>
      </c>
      <c r="C1650" s="19" t="s">
        <v>433</v>
      </c>
      <c r="D1650" s="19" t="s">
        <v>693</v>
      </c>
      <c r="E1650" s="19" t="s">
        <v>10</v>
      </c>
      <c r="F1650" s="20" t="s">
        <v>3072</v>
      </c>
      <c r="G1650" s="19">
        <v>44281</v>
      </c>
      <c r="H1650" s="19" t="s">
        <v>270</v>
      </c>
      <c r="I1650" s="135">
        <v>70761</v>
      </c>
      <c r="J1650" s="19" t="s">
        <v>5877</v>
      </c>
      <c r="K1650" s="19" t="s">
        <v>5878</v>
      </c>
      <c r="L1650" s="19" t="s">
        <v>364</v>
      </c>
      <c r="M1650" s="19" t="s">
        <v>364</v>
      </c>
      <c r="N1650" s="19" t="s">
        <v>364</v>
      </c>
      <c r="O1650" s="19" t="s">
        <v>364</v>
      </c>
      <c r="P1650" s="463"/>
      <c r="Q1650" s="135"/>
      <c r="R1650" s="135"/>
      <c r="S1650" s="347"/>
      <c r="T1650" s="512" t="e">
        <f>_xlfn.XLOOKUP(H1650,#REF!,#REF!,0,0)</f>
        <v>#REF!</v>
      </c>
    </row>
    <row r="1651" spans="1:20" s="302" customFormat="1" x14ac:dyDescent="0.4">
      <c r="A1651" s="19" t="s">
        <v>5879</v>
      </c>
      <c r="B1651" s="19" t="s">
        <v>5880</v>
      </c>
      <c r="C1651" s="19" t="s">
        <v>433</v>
      </c>
      <c r="D1651" s="19" t="s">
        <v>693</v>
      </c>
      <c r="E1651" s="19" t="s">
        <v>10</v>
      </c>
      <c r="F1651" s="20" t="s">
        <v>3072</v>
      </c>
      <c r="G1651" s="19">
        <v>44323</v>
      </c>
      <c r="H1651" s="19" t="s">
        <v>5881</v>
      </c>
      <c r="I1651" s="135">
        <v>70947</v>
      </c>
      <c r="J1651" s="19" t="s">
        <v>5882</v>
      </c>
      <c r="K1651" s="19" t="s">
        <v>5883</v>
      </c>
      <c r="L1651" s="19" t="s">
        <v>364</v>
      </c>
      <c r="M1651" s="19" t="s">
        <v>364</v>
      </c>
      <c r="N1651" s="19" t="s">
        <v>364</v>
      </c>
      <c r="O1651" s="19" t="s">
        <v>364</v>
      </c>
      <c r="P1651" s="463"/>
      <c r="Q1651" s="135"/>
      <c r="R1651" s="135"/>
      <c r="S1651" s="347"/>
      <c r="T1651" s="512" t="e">
        <f>_xlfn.XLOOKUP(H1651,#REF!,#REF!,0,0)</f>
        <v>#REF!</v>
      </c>
    </row>
    <row r="1652" spans="1:20" s="505" customFormat="1" x14ac:dyDescent="0.4">
      <c r="A1652" s="215" t="s">
        <v>5884</v>
      </c>
      <c r="B1652" s="215" t="s">
        <v>5885</v>
      </c>
      <c r="C1652" s="215" t="s">
        <v>435</v>
      </c>
      <c r="D1652" s="215" t="s">
        <v>693</v>
      </c>
      <c r="E1652" s="215" t="s">
        <v>10</v>
      </c>
      <c r="F1652" s="214" t="s">
        <v>5179</v>
      </c>
      <c r="G1652" s="215">
        <v>44281</v>
      </c>
      <c r="H1652" s="215" t="s">
        <v>5886</v>
      </c>
      <c r="I1652" s="354">
        <v>70694</v>
      </c>
      <c r="J1652" s="215" t="s">
        <v>5887</v>
      </c>
      <c r="K1652" s="215">
        <v>44508</v>
      </c>
      <c r="L1652" s="215" t="s">
        <v>364</v>
      </c>
      <c r="M1652" s="215" t="s">
        <v>364</v>
      </c>
      <c r="N1652" s="215" t="s">
        <v>364</v>
      </c>
      <c r="O1652" s="215" t="s">
        <v>364</v>
      </c>
      <c r="P1652" s="464" t="s">
        <v>5589</v>
      </c>
      <c r="Q1652" s="354"/>
      <c r="R1652" s="354"/>
      <c r="S1652" s="346"/>
      <c r="T1652" s="512" t="e">
        <f>_xlfn.XLOOKUP(H1652,#REF!,#REF!,0,0)</f>
        <v>#REF!</v>
      </c>
    </row>
    <row r="1653" spans="1:20" s="302" customFormat="1" x14ac:dyDescent="0.4">
      <c r="A1653" s="19" t="s">
        <v>5888</v>
      </c>
      <c r="B1653" s="19" t="s">
        <v>5889</v>
      </c>
      <c r="C1653" s="19" t="s">
        <v>433</v>
      </c>
      <c r="D1653" s="19" t="s">
        <v>704</v>
      </c>
      <c r="E1653" s="19" t="s">
        <v>10</v>
      </c>
      <c r="F1653" s="20" t="s">
        <v>3072</v>
      </c>
      <c r="G1653" s="19">
        <v>44281</v>
      </c>
      <c r="H1653" s="19" t="s">
        <v>5890</v>
      </c>
      <c r="I1653" s="135">
        <v>70728</v>
      </c>
      <c r="J1653" s="19" t="s">
        <v>5891</v>
      </c>
      <c r="K1653" s="19">
        <v>44510</v>
      </c>
      <c r="L1653" s="19" t="s">
        <v>364</v>
      </c>
      <c r="M1653" s="19" t="s">
        <v>364</v>
      </c>
      <c r="N1653" s="19" t="s">
        <v>364</v>
      </c>
      <c r="O1653" s="19" t="s">
        <v>364</v>
      </c>
      <c r="P1653" s="463"/>
      <c r="Q1653" s="135"/>
      <c r="R1653" s="135"/>
      <c r="S1653" s="347"/>
      <c r="T1653" s="512" t="e">
        <f>_xlfn.XLOOKUP(H1653,#REF!,#REF!,0,0)</f>
        <v>#REF!</v>
      </c>
    </row>
    <row r="1654" spans="1:20" s="302" customFormat="1" x14ac:dyDescent="0.4">
      <c r="A1654" s="19" t="s">
        <v>5892</v>
      </c>
      <c r="B1654" s="19" t="s">
        <v>5893</v>
      </c>
      <c r="C1654" s="19" t="s">
        <v>433</v>
      </c>
      <c r="D1654" s="19" t="s">
        <v>693</v>
      </c>
      <c r="E1654" s="19" t="s">
        <v>10</v>
      </c>
      <c r="F1654" s="20" t="s">
        <v>3072</v>
      </c>
      <c r="G1654" s="19">
        <v>44323</v>
      </c>
      <c r="H1654" s="19" t="s">
        <v>278</v>
      </c>
      <c r="I1654" s="135">
        <v>70970</v>
      </c>
      <c r="J1654" s="19" t="s">
        <v>5894</v>
      </c>
      <c r="K1654" s="19"/>
      <c r="L1654" s="19" t="s">
        <v>364</v>
      </c>
      <c r="M1654" s="19" t="s">
        <v>364</v>
      </c>
      <c r="N1654" s="19" t="s">
        <v>364</v>
      </c>
      <c r="O1654" s="19" t="s">
        <v>364</v>
      </c>
      <c r="P1654" s="463"/>
      <c r="Q1654" s="135"/>
      <c r="R1654" s="135"/>
      <c r="S1654" s="347"/>
      <c r="T1654" s="512" t="e">
        <f>_xlfn.XLOOKUP(H1654,#REF!,#REF!,0,0)</f>
        <v>#REF!</v>
      </c>
    </row>
    <row r="1655" spans="1:20" s="505" customFormat="1" x14ac:dyDescent="0.4">
      <c r="A1655" s="215" t="s">
        <v>5895</v>
      </c>
      <c r="B1655" s="215" t="s">
        <v>5896</v>
      </c>
      <c r="C1655" s="215" t="s">
        <v>435</v>
      </c>
      <c r="D1655" s="215" t="s">
        <v>693</v>
      </c>
      <c r="E1655" s="215" t="s">
        <v>10</v>
      </c>
      <c r="F1655" s="214" t="s">
        <v>3072</v>
      </c>
      <c r="G1655" s="215">
        <v>44323</v>
      </c>
      <c r="H1655" s="215" t="s">
        <v>5897</v>
      </c>
      <c r="I1655" s="354">
        <v>70944</v>
      </c>
      <c r="J1655" s="215" t="s">
        <v>5898</v>
      </c>
      <c r="K1655" s="215">
        <v>44515</v>
      </c>
      <c r="L1655" s="215" t="s">
        <v>364</v>
      </c>
      <c r="M1655" s="215" t="s">
        <v>364</v>
      </c>
      <c r="N1655" s="215" t="s">
        <v>364</v>
      </c>
      <c r="O1655" s="215" t="s">
        <v>364</v>
      </c>
      <c r="P1655" s="464" t="s">
        <v>5899</v>
      </c>
      <c r="Q1655" s="354"/>
      <c r="R1655" s="354"/>
      <c r="S1655" s="346"/>
      <c r="T1655" s="512" t="e">
        <f>_xlfn.XLOOKUP(H1655,#REF!,#REF!,0,0)</f>
        <v>#REF!</v>
      </c>
    </row>
    <row r="1656" spans="1:20" s="506" customFormat="1" x14ac:dyDescent="0.4">
      <c r="A1656" s="21" t="s">
        <v>5900</v>
      </c>
      <c r="B1656" s="21" t="s">
        <v>5901</v>
      </c>
      <c r="C1656" s="21"/>
      <c r="D1656" s="21" t="s">
        <v>693</v>
      </c>
      <c r="E1656" s="21" t="s">
        <v>3785</v>
      </c>
      <c r="F1656" s="22" t="s">
        <v>3072</v>
      </c>
      <c r="G1656" s="21" t="s">
        <v>634</v>
      </c>
      <c r="H1656" s="21" t="s">
        <v>6</v>
      </c>
      <c r="I1656" s="353" t="s">
        <v>364</v>
      </c>
      <c r="J1656" s="21" t="s">
        <v>364</v>
      </c>
      <c r="K1656" s="21"/>
      <c r="L1656" s="21" t="s">
        <v>364</v>
      </c>
      <c r="M1656" s="21" t="s">
        <v>364</v>
      </c>
      <c r="N1656" s="21" t="s">
        <v>364</v>
      </c>
      <c r="O1656" s="21" t="s">
        <v>364</v>
      </c>
      <c r="P1656" s="465"/>
      <c r="Q1656" s="353"/>
      <c r="R1656" s="353"/>
      <c r="S1656" s="345"/>
      <c r="T1656" s="512" t="e">
        <f>_xlfn.XLOOKUP(H1656,#REF!,#REF!,0,0)</f>
        <v>#REF!</v>
      </c>
    </row>
    <row r="1657" spans="1:20" s="302" customFormat="1" x14ac:dyDescent="0.4">
      <c r="A1657" s="19" t="s">
        <v>5902</v>
      </c>
      <c r="B1657" s="19" t="s">
        <v>5903</v>
      </c>
      <c r="C1657" s="19" t="s">
        <v>433</v>
      </c>
      <c r="D1657" s="19" t="s">
        <v>693</v>
      </c>
      <c r="E1657" s="19" t="s">
        <v>10</v>
      </c>
      <c r="F1657" s="20" t="s">
        <v>3072</v>
      </c>
      <c r="G1657" s="19">
        <v>44323</v>
      </c>
      <c r="H1657" s="19" t="s">
        <v>5904</v>
      </c>
      <c r="I1657" s="135">
        <v>70952</v>
      </c>
      <c r="J1657" s="19" t="s">
        <v>5905</v>
      </c>
      <c r="K1657" s="19">
        <v>44516</v>
      </c>
      <c r="L1657" s="19" t="s">
        <v>364</v>
      </c>
      <c r="M1657" s="19" t="s">
        <v>364</v>
      </c>
      <c r="N1657" s="19" t="s">
        <v>364</v>
      </c>
      <c r="O1657" s="19" t="s">
        <v>364</v>
      </c>
      <c r="P1657" s="463" t="s">
        <v>5906</v>
      </c>
      <c r="Q1657" s="135"/>
      <c r="R1657" s="135"/>
      <c r="S1657" s="347"/>
      <c r="T1657" s="512" t="e">
        <f>_xlfn.XLOOKUP(H1657,#REF!,#REF!,0,0)</f>
        <v>#REF!</v>
      </c>
    </row>
    <row r="1658" spans="1:20" s="506" customFormat="1" x14ac:dyDescent="0.4">
      <c r="A1658" s="21" t="s">
        <v>5907</v>
      </c>
      <c r="B1658" s="21" t="s">
        <v>5908</v>
      </c>
      <c r="C1658" s="21"/>
      <c r="D1658" s="21" t="s">
        <v>693</v>
      </c>
      <c r="E1658" s="21" t="s">
        <v>3785</v>
      </c>
      <c r="F1658" s="22" t="s">
        <v>5909</v>
      </c>
      <c r="G1658" s="21" t="s">
        <v>181</v>
      </c>
      <c r="H1658" s="21" t="s">
        <v>364</v>
      </c>
      <c r="I1658" s="353" t="s">
        <v>364</v>
      </c>
      <c r="J1658" s="21" t="s">
        <v>364</v>
      </c>
      <c r="K1658" s="21"/>
      <c r="L1658" s="21" t="s">
        <v>364</v>
      </c>
      <c r="M1658" s="21" t="s">
        <v>364</v>
      </c>
      <c r="N1658" s="21" t="s">
        <v>364</v>
      </c>
      <c r="O1658" s="21" t="s">
        <v>364</v>
      </c>
      <c r="P1658" s="465"/>
      <c r="Q1658" s="353"/>
      <c r="R1658" s="353"/>
      <c r="S1658" s="345"/>
      <c r="T1658" s="512" t="e">
        <f>_xlfn.XLOOKUP(H1658,#REF!,#REF!,0,0)</f>
        <v>#REF!</v>
      </c>
    </row>
    <row r="1659" spans="1:20" s="302" customFormat="1" x14ac:dyDescent="0.4">
      <c r="A1659" s="19" t="s">
        <v>5910</v>
      </c>
      <c r="B1659" s="19" t="s">
        <v>5395</v>
      </c>
      <c r="C1659" s="19" t="s">
        <v>433</v>
      </c>
      <c r="D1659" s="19" t="s">
        <v>693</v>
      </c>
      <c r="E1659" s="19" t="s">
        <v>5911</v>
      </c>
      <c r="F1659" s="20" t="s">
        <v>5912</v>
      </c>
      <c r="G1659" s="19" t="s">
        <v>5913</v>
      </c>
      <c r="H1659" s="19" t="s">
        <v>364</v>
      </c>
      <c r="I1659" s="135" t="s">
        <v>364</v>
      </c>
      <c r="J1659" s="19" t="s">
        <v>364</v>
      </c>
      <c r="K1659" s="19"/>
      <c r="L1659" s="19" t="s">
        <v>364</v>
      </c>
      <c r="M1659" s="19" t="s">
        <v>364</v>
      </c>
      <c r="N1659" s="19" t="s">
        <v>364</v>
      </c>
      <c r="O1659" s="19" t="s">
        <v>364</v>
      </c>
      <c r="P1659" s="463"/>
      <c r="Q1659" s="135"/>
      <c r="R1659" s="135"/>
      <c r="S1659" s="347"/>
      <c r="T1659" s="512" t="e">
        <f>_xlfn.XLOOKUP(H1659,#REF!,#REF!,0,0)</f>
        <v>#REF!</v>
      </c>
    </row>
    <row r="1660" spans="1:20" s="505" customFormat="1" x14ac:dyDescent="0.4">
      <c r="A1660" s="215" t="s">
        <v>5914</v>
      </c>
      <c r="B1660" s="215" t="s">
        <v>5915</v>
      </c>
      <c r="C1660" s="215" t="s">
        <v>435</v>
      </c>
      <c r="D1660" s="215" t="s">
        <v>693</v>
      </c>
      <c r="E1660" s="215" t="s">
        <v>10</v>
      </c>
      <c r="F1660" s="214" t="s">
        <v>3072</v>
      </c>
      <c r="G1660" s="215">
        <v>44323</v>
      </c>
      <c r="H1660" s="215" t="s">
        <v>5916</v>
      </c>
      <c r="I1660" s="354">
        <v>70951</v>
      </c>
      <c r="J1660" s="215" t="s">
        <v>5917</v>
      </c>
      <c r="K1660" s="215">
        <v>44531</v>
      </c>
      <c r="L1660" s="215" t="s">
        <v>364</v>
      </c>
      <c r="M1660" s="215" t="s">
        <v>364</v>
      </c>
      <c r="N1660" s="215" t="s">
        <v>364</v>
      </c>
      <c r="O1660" s="215" t="s">
        <v>364</v>
      </c>
      <c r="P1660" s="464" t="s">
        <v>5918</v>
      </c>
      <c r="Q1660" s="354"/>
      <c r="R1660" s="354"/>
      <c r="S1660" s="346"/>
      <c r="T1660" s="512" t="e">
        <f>_xlfn.XLOOKUP(H1660,#REF!,#REF!,0,0)</f>
        <v>#REF!</v>
      </c>
    </row>
    <row r="1661" spans="1:20" s="505" customFormat="1" x14ac:dyDescent="0.4">
      <c r="A1661" s="215" t="s">
        <v>5919</v>
      </c>
      <c r="B1661" s="215" t="s">
        <v>5920</v>
      </c>
      <c r="C1661" s="215" t="s">
        <v>435</v>
      </c>
      <c r="D1661" s="215" t="s">
        <v>1097</v>
      </c>
      <c r="E1661" s="215" t="s">
        <v>10</v>
      </c>
      <c r="F1661" s="214" t="s">
        <v>5179</v>
      </c>
      <c r="G1661" s="215">
        <v>44281</v>
      </c>
      <c r="H1661" s="215" t="s">
        <v>5921</v>
      </c>
      <c r="I1661" s="354">
        <v>70696</v>
      </c>
      <c r="J1661" s="215" t="s">
        <v>5922</v>
      </c>
      <c r="K1661" s="215">
        <v>44531</v>
      </c>
      <c r="L1661" s="215" t="s">
        <v>364</v>
      </c>
      <c r="M1661" s="215" t="s">
        <v>364</v>
      </c>
      <c r="N1661" s="215" t="s">
        <v>364</v>
      </c>
      <c r="O1661" s="215" t="s">
        <v>364</v>
      </c>
      <c r="P1661" s="464" t="s">
        <v>5589</v>
      </c>
      <c r="Q1661" s="354"/>
      <c r="R1661" s="354"/>
      <c r="S1661" s="346"/>
      <c r="T1661" s="512" t="e">
        <f>_xlfn.XLOOKUP(H1661,#REF!,#REF!,0,0)</f>
        <v>#REF!</v>
      </c>
    </row>
    <row r="1662" spans="1:20" s="506" customFormat="1" x14ac:dyDescent="0.4">
      <c r="A1662" s="21" t="s">
        <v>5923</v>
      </c>
      <c r="B1662" s="21" t="s">
        <v>5924</v>
      </c>
      <c r="C1662" s="21"/>
      <c r="D1662" s="21" t="s">
        <v>1097</v>
      </c>
      <c r="E1662" s="21" t="s">
        <v>10</v>
      </c>
      <c r="F1662" s="22" t="s">
        <v>5179</v>
      </c>
      <c r="G1662" s="21">
        <v>44281</v>
      </c>
      <c r="H1662" s="21" t="s">
        <v>5925</v>
      </c>
      <c r="I1662" s="353">
        <v>70719</v>
      </c>
      <c r="J1662" s="21" t="s">
        <v>5926</v>
      </c>
      <c r="K1662" s="21">
        <v>44531</v>
      </c>
      <c r="L1662" s="21" t="s">
        <v>364</v>
      </c>
      <c r="M1662" s="21" t="s">
        <v>364</v>
      </c>
      <c r="N1662" s="21" t="s">
        <v>364</v>
      </c>
      <c r="O1662" s="21" t="s">
        <v>364</v>
      </c>
      <c r="P1662" s="465" t="s">
        <v>5589</v>
      </c>
      <c r="Q1662" s="353"/>
      <c r="R1662" s="353"/>
      <c r="S1662" s="345"/>
      <c r="T1662" s="512" t="e">
        <f>_xlfn.XLOOKUP(H1662,#REF!,#REF!,0,0)</f>
        <v>#REF!</v>
      </c>
    </row>
    <row r="1663" spans="1:20" s="505" customFormat="1" x14ac:dyDescent="0.4">
      <c r="A1663" s="215" t="s">
        <v>5927</v>
      </c>
      <c r="B1663" s="215" t="s">
        <v>5928</v>
      </c>
      <c r="C1663" s="215" t="s">
        <v>435</v>
      </c>
      <c r="D1663" s="215" t="s">
        <v>1097</v>
      </c>
      <c r="E1663" s="215" t="s">
        <v>10</v>
      </c>
      <c r="F1663" s="214" t="s">
        <v>3072</v>
      </c>
      <c r="G1663" s="215">
        <v>44323</v>
      </c>
      <c r="H1663" s="215" t="s">
        <v>5929</v>
      </c>
      <c r="I1663" s="354">
        <v>70971</v>
      </c>
      <c r="J1663" s="215" t="s">
        <v>5930</v>
      </c>
      <c r="K1663" s="215">
        <v>44531</v>
      </c>
      <c r="L1663" s="215" t="s">
        <v>364</v>
      </c>
      <c r="M1663" s="215" t="s">
        <v>364</v>
      </c>
      <c r="N1663" s="215" t="s">
        <v>364</v>
      </c>
      <c r="O1663" s="215" t="s">
        <v>364</v>
      </c>
      <c r="P1663" s="464" t="s">
        <v>5255</v>
      </c>
      <c r="Q1663" s="354"/>
      <c r="R1663" s="354"/>
      <c r="S1663" s="346"/>
      <c r="T1663" s="512" t="e">
        <f>_xlfn.XLOOKUP(H1663,#REF!,#REF!,0,0)</f>
        <v>#REF!</v>
      </c>
    </row>
    <row r="1664" spans="1:20" s="505" customFormat="1" x14ac:dyDescent="0.4">
      <c r="A1664" s="215" t="s">
        <v>5931</v>
      </c>
      <c r="B1664" s="215" t="s">
        <v>5932</v>
      </c>
      <c r="C1664" s="215" t="s">
        <v>435</v>
      </c>
      <c r="D1664" s="215" t="s">
        <v>1097</v>
      </c>
      <c r="E1664" s="215" t="s">
        <v>10</v>
      </c>
      <c r="F1664" s="214" t="s">
        <v>3072</v>
      </c>
      <c r="G1664" s="215">
        <v>44323</v>
      </c>
      <c r="H1664" s="215" t="s">
        <v>5933</v>
      </c>
      <c r="I1664" s="354">
        <v>70972</v>
      </c>
      <c r="J1664" s="215" t="s">
        <v>5934</v>
      </c>
      <c r="K1664" s="215">
        <v>44531</v>
      </c>
      <c r="L1664" s="215" t="s">
        <v>364</v>
      </c>
      <c r="M1664" s="215" t="s">
        <v>364</v>
      </c>
      <c r="N1664" s="215" t="s">
        <v>364</v>
      </c>
      <c r="O1664" s="215" t="s">
        <v>364</v>
      </c>
      <c r="P1664" s="464" t="s">
        <v>5935</v>
      </c>
      <c r="Q1664" s="354"/>
      <c r="R1664" s="354"/>
      <c r="S1664" s="346"/>
      <c r="T1664" s="512" t="e">
        <f>_xlfn.XLOOKUP(H1664,#REF!,#REF!,0,0)</f>
        <v>#REF!</v>
      </c>
    </row>
    <row r="1665" spans="1:20" s="302" customFormat="1" x14ac:dyDescent="0.4">
      <c r="A1665" s="19" t="s">
        <v>5936</v>
      </c>
      <c r="B1665" s="19" t="s">
        <v>5937</v>
      </c>
      <c r="C1665" s="19" t="s">
        <v>433</v>
      </c>
      <c r="D1665" s="19" t="s">
        <v>693</v>
      </c>
      <c r="E1665" s="19" t="s">
        <v>10</v>
      </c>
      <c r="F1665" s="20" t="s">
        <v>3072</v>
      </c>
      <c r="G1665" s="19">
        <v>44323</v>
      </c>
      <c r="H1665" s="19" t="s">
        <v>279</v>
      </c>
      <c r="I1665" s="135">
        <v>70978</v>
      </c>
      <c r="J1665" s="19" t="s">
        <v>5938</v>
      </c>
      <c r="K1665" s="19" t="s">
        <v>5939</v>
      </c>
      <c r="L1665" s="19" t="s">
        <v>364</v>
      </c>
      <c r="M1665" s="19" t="s">
        <v>364</v>
      </c>
      <c r="N1665" s="19" t="s">
        <v>364</v>
      </c>
      <c r="O1665" s="19" t="s">
        <v>364</v>
      </c>
      <c r="P1665" s="463"/>
      <c r="Q1665" s="135"/>
      <c r="R1665" s="135"/>
      <c r="S1665" s="347"/>
      <c r="T1665" s="512" t="e">
        <f>_xlfn.XLOOKUP(H1665,#REF!,#REF!,0,0)</f>
        <v>#REF!</v>
      </c>
    </row>
    <row r="1666" spans="1:20" s="302" customFormat="1" x14ac:dyDescent="0.4">
      <c r="A1666" s="19" t="s">
        <v>5940</v>
      </c>
      <c r="B1666" s="19" t="s">
        <v>5941</v>
      </c>
      <c r="C1666" s="19" t="s">
        <v>433</v>
      </c>
      <c r="D1666" s="19" t="s">
        <v>693</v>
      </c>
      <c r="E1666" s="19" t="s">
        <v>10</v>
      </c>
      <c r="F1666" s="20" t="s">
        <v>3072</v>
      </c>
      <c r="G1666" s="19">
        <v>44323</v>
      </c>
      <c r="H1666" s="19" t="s">
        <v>5942</v>
      </c>
      <c r="I1666" s="135">
        <v>70949</v>
      </c>
      <c r="J1666" s="19" t="s">
        <v>5943</v>
      </c>
      <c r="K1666" s="19" t="s">
        <v>5944</v>
      </c>
      <c r="L1666" s="19" t="s">
        <v>364</v>
      </c>
      <c r="M1666" s="19" t="s">
        <v>364</v>
      </c>
      <c r="N1666" s="19" t="s">
        <v>364</v>
      </c>
      <c r="O1666" s="19" t="s">
        <v>364</v>
      </c>
      <c r="P1666" s="463"/>
      <c r="Q1666" s="135"/>
      <c r="R1666" s="135"/>
      <c r="S1666" s="347"/>
      <c r="T1666" s="512" t="e">
        <f>_xlfn.XLOOKUP(H1666,#REF!,#REF!,0,0)</f>
        <v>#REF!</v>
      </c>
    </row>
    <row r="1667" spans="1:20" s="302" customFormat="1" x14ac:dyDescent="0.4">
      <c r="A1667" s="19" t="s">
        <v>5945</v>
      </c>
      <c r="B1667" s="19" t="s">
        <v>5946</v>
      </c>
      <c r="C1667" s="19" t="s">
        <v>433</v>
      </c>
      <c r="D1667" s="19" t="s">
        <v>693</v>
      </c>
      <c r="E1667" s="19" t="s">
        <v>10</v>
      </c>
      <c r="F1667" s="20" t="s">
        <v>3072</v>
      </c>
      <c r="G1667" s="19">
        <v>44281</v>
      </c>
      <c r="H1667" s="19" t="s">
        <v>5947</v>
      </c>
      <c r="I1667" s="135">
        <v>70528</v>
      </c>
      <c r="J1667" s="19" t="s">
        <v>5948</v>
      </c>
      <c r="K1667" s="19" t="s">
        <v>5949</v>
      </c>
      <c r="L1667" s="19" t="s">
        <v>364</v>
      </c>
      <c r="M1667" s="19" t="s">
        <v>364</v>
      </c>
      <c r="N1667" s="19" t="s">
        <v>364</v>
      </c>
      <c r="O1667" s="19" t="s">
        <v>364</v>
      </c>
      <c r="P1667" s="463" t="s">
        <v>5950</v>
      </c>
      <c r="Q1667" s="135"/>
      <c r="R1667" s="135"/>
      <c r="S1667" s="347"/>
      <c r="T1667" s="512" t="e">
        <f>_xlfn.XLOOKUP(H1667,#REF!,#REF!,0,0)</f>
        <v>#REF!</v>
      </c>
    </row>
    <row r="1668" spans="1:20" s="506" customFormat="1" x14ac:dyDescent="0.4">
      <c r="A1668" s="21"/>
      <c r="B1668" s="21" t="s">
        <v>5951</v>
      </c>
      <c r="C1668" s="21"/>
      <c r="D1668" s="21" t="s">
        <v>693</v>
      </c>
      <c r="E1668" s="21" t="s">
        <v>3785</v>
      </c>
      <c r="F1668" s="22" t="s">
        <v>5909</v>
      </c>
      <c r="G1668" s="21" t="s">
        <v>5952</v>
      </c>
      <c r="H1668" s="21" t="s">
        <v>6</v>
      </c>
      <c r="I1668" s="353"/>
      <c r="J1668" s="21"/>
      <c r="K1668" s="21"/>
      <c r="L1668" s="21" t="s">
        <v>364</v>
      </c>
      <c r="M1668" s="21" t="s">
        <v>364</v>
      </c>
      <c r="N1668" s="21" t="s">
        <v>364</v>
      </c>
      <c r="O1668" s="21" t="s">
        <v>364</v>
      </c>
      <c r="P1668" s="465"/>
      <c r="Q1668" s="353"/>
      <c r="R1668" s="353"/>
      <c r="S1668" s="345"/>
      <c r="T1668" s="512" t="e">
        <f>_xlfn.XLOOKUP(H1668,#REF!,#REF!,0,0)</f>
        <v>#REF!</v>
      </c>
    </row>
    <row r="1669" spans="1:20" s="302" customFormat="1" x14ac:dyDescent="0.4">
      <c r="A1669" s="19" t="s">
        <v>5953</v>
      </c>
      <c r="B1669" s="19" t="s">
        <v>5954</v>
      </c>
      <c r="C1669" s="19" t="s">
        <v>433</v>
      </c>
      <c r="D1669" s="19" t="s">
        <v>704</v>
      </c>
      <c r="E1669" s="19" t="s">
        <v>10</v>
      </c>
      <c r="F1669" s="20" t="s">
        <v>3072</v>
      </c>
      <c r="G1669" s="19">
        <v>44281</v>
      </c>
      <c r="H1669" s="19" t="s">
        <v>5955</v>
      </c>
      <c r="I1669" s="135">
        <v>70542</v>
      </c>
      <c r="J1669" s="19" t="s">
        <v>5956</v>
      </c>
      <c r="K1669" s="19" t="s">
        <v>5957</v>
      </c>
      <c r="L1669" s="19" t="s">
        <v>364</v>
      </c>
      <c r="M1669" s="19" t="s">
        <v>364</v>
      </c>
      <c r="N1669" s="19" t="s">
        <v>364</v>
      </c>
      <c r="O1669" s="19" t="s">
        <v>364</v>
      </c>
      <c r="P1669" s="463" t="s">
        <v>5958</v>
      </c>
      <c r="Q1669" s="135"/>
      <c r="R1669" s="135"/>
      <c r="S1669" s="347"/>
      <c r="T1669" s="512" t="e">
        <f>_xlfn.XLOOKUP(H1669,#REF!,#REF!,0,0)</f>
        <v>#REF!</v>
      </c>
    </row>
    <row r="1670" spans="1:20" s="302" customFormat="1" x14ac:dyDescent="0.4">
      <c r="A1670" s="19" t="s">
        <v>5959</v>
      </c>
      <c r="B1670" s="19" t="s">
        <v>5960</v>
      </c>
      <c r="C1670" s="19" t="s">
        <v>433</v>
      </c>
      <c r="D1670" s="19" t="s">
        <v>693</v>
      </c>
      <c r="E1670" s="19" t="s">
        <v>10</v>
      </c>
      <c r="F1670" s="20" t="s">
        <v>3072</v>
      </c>
      <c r="G1670" s="19">
        <v>44281</v>
      </c>
      <c r="H1670" s="19" t="s">
        <v>5961</v>
      </c>
      <c r="I1670" s="135">
        <v>70763</v>
      </c>
      <c r="J1670" s="19" t="s">
        <v>5962</v>
      </c>
      <c r="K1670" s="19" t="s">
        <v>5963</v>
      </c>
      <c r="L1670" s="19" t="s">
        <v>364</v>
      </c>
      <c r="M1670" s="19" t="s">
        <v>364</v>
      </c>
      <c r="N1670" s="19" t="s">
        <v>364</v>
      </c>
      <c r="O1670" s="19" t="s">
        <v>364</v>
      </c>
      <c r="P1670" s="463"/>
      <c r="Q1670" s="135"/>
      <c r="R1670" s="135"/>
      <c r="S1670" s="347"/>
      <c r="T1670" s="512" t="e">
        <f>_xlfn.XLOOKUP(H1670,#REF!,#REF!,0,0)</f>
        <v>#REF!</v>
      </c>
    </row>
    <row r="1671" spans="1:20" s="302" customFormat="1" x14ac:dyDescent="0.4">
      <c r="A1671" s="19" t="s">
        <v>5964</v>
      </c>
      <c r="B1671" s="19" t="s">
        <v>5965</v>
      </c>
      <c r="C1671" s="19" t="s">
        <v>433</v>
      </c>
      <c r="D1671" s="19" t="s">
        <v>693</v>
      </c>
      <c r="E1671" s="19" t="s">
        <v>10</v>
      </c>
      <c r="F1671" s="20" t="s">
        <v>5179</v>
      </c>
      <c r="G1671" s="19">
        <v>44281</v>
      </c>
      <c r="H1671" s="19" t="s">
        <v>5966</v>
      </c>
      <c r="I1671" s="135">
        <v>70720</v>
      </c>
      <c r="J1671" s="19" t="s">
        <v>5967</v>
      </c>
      <c r="K1671" s="19"/>
      <c r="L1671" s="19" t="s">
        <v>364</v>
      </c>
      <c r="M1671" s="19" t="s">
        <v>364</v>
      </c>
      <c r="N1671" s="19" t="s">
        <v>364</v>
      </c>
      <c r="O1671" s="19" t="s">
        <v>364</v>
      </c>
      <c r="P1671" s="463"/>
      <c r="Q1671" s="135"/>
      <c r="R1671" s="135"/>
      <c r="S1671" s="347"/>
      <c r="T1671" s="512" t="e">
        <f>_xlfn.XLOOKUP(H1671,#REF!,#REF!,0,0)</f>
        <v>#REF!</v>
      </c>
    </row>
    <row r="1672" spans="1:20" s="302" customFormat="1" x14ac:dyDescent="0.4">
      <c r="A1672" s="19" t="s">
        <v>5968</v>
      </c>
      <c r="B1672" s="19" t="s">
        <v>5969</v>
      </c>
      <c r="C1672" s="19" t="s">
        <v>433</v>
      </c>
      <c r="D1672" s="19" t="s">
        <v>693</v>
      </c>
      <c r="E1672" s="19" t="s">
        <v>10</v>
      </c>
      <c r="F1672" s="20" t="s">
        <v>3072</v>
      </c>
      <c r="G1672" s="19">
        <v>44281</v>
      </c>
      <c r="H1672" s="19" t="s">
        <v>5970</v>
      </c>
      <c r="I1672" s="135">
        <v>70759</v>
      </c>
      <c r="J1672" s="19" t="s">
        <v>5971</v>
      </c>
      <c r="K1672" s="19" t="s">
        <v>5972</v>
      </c>
      <c r="L1672" s="19" t="s">
        <v>364</v>
      </c>
      <c r="M1672" s="19" t="s">
        <v>364</v>
      </c>
      <c r="N1672" s="19" t="s">
        <v>364</v>
      </c>
      <c r="O1672" s="19" t="s">
        <v>364</v>
      </c>
      <c r="P1672" s="463"/>
      <c r="Q1672" s="135"/>
      <c r="R1672" s="135"/>
      <c r="S1672" s="347"/>
      <c r="T1672" s="512" t="e">
        <f>_xlfn.XLOOKUP(H1672,#REF!,#REF!,0,0)</f>
        <v>#REF!</v>
      </c>
    </row>
    <row r="1673" spans="1:20" s="302" customFormat="1" x14ac:dyDescent="0.4">
      <c r="A1673" s="19" t="s">
        <v>5973</v>
      </c>
      <c r="B1673" s="23" t="s">
        <v>5974</v>
      </c>
      <c r="C1673" s="19" t="s">
        <v>433</v>
      </c>
      <c r="D1673" s="19" t="s">
        <v>693</v>
      </c>
      <c r="E1673" s="19" t="s">
        <v>10</v>
      </c>
      <c r="F1673" s="20" t="s">
        <v>3072</v>
      </c>
      <c r="G1673" s="19">
        <v>44323</v>
      </c>
      <c r="H1673" s="19" t="s">
        <v>5975</v>
      </c>
      <c r="I1673" s="135">
        <v>70950</v>
      </c>
      <c r="J1673" s="19" t="s">
        <v>5976</v>
      </c>
      <c r="K1673" s="19"/>
      <c r="L1673" s="19" t="s">
        <v>364</v>
      </c>
      <c r="M1673" s="19" t="s">
        <v>364</v>
      </c>
      <c r="N1673" s="19" t="s">
        <v>364</v>
      </c>
      <c r="O1673" s="19" t="s">
        <v>364</v>
      </c>
      <c r="P1673" s="463"/>
      <c r="Q1673" s="135"/>
      <c r="R1673" s="135"/>
      <c r="S1673" s="347"/>
      <c r="T1673" s="512" t="e">
        <f>_xlfn.XLOOKUP(H1673,#REF!,#REF!,0,0)</f>
        <v>#REF!</v>
      </c>
    </row>
    <row r="1674" spans="1:20" s="302" customFormat="1" x14ac:dyDescent="0.4">
      <c r="A1674" s="19" t="s">
        <v>5977</v>
      </c>
      <c r="B1674" s="19" t="s">
        <v>5978</v>
      </c>
      <c r="C1674" s="19" t="s">
        <v>433</v>
      </c>
      <c r="D1674" s="19" t="s">
        <v>693</v>
      </c>
      <c r="E1674" s="19" t="s">
        <v>10</v>
      </c>
      <c r="F1674" s="20" t="s">
        <v>3072</v>
      </c>
      <c r="G1674" s="19">
        <v>44281</v>
      </c>
      <c r="H1674" s="19" t="s">
        <v>5979</v>
      </c>
      <c r="I1674" s="135">
        <v>70731</v>
      </c>
      <c r="J1674" s="19" t="s">
        <v>5980</v>
      </c>
      <c r="K1674" s="19" t="s">
        <v>5981</v>
      </c>
      <c r="L1674" s="19" t="s">
        <v>364</v>
      </c>
      <c r="M1674" s="19" t="s">
        <v>364</v>
      </c>
      <c r="N1674" s="19" t="s">
        <v>364</v>
      </c>
      <c r="O1674" s="19" t="s">
        <v>364</v>
      </c>
      <c r="P1674" s="463"/>
      <c r="Q1674" s="135"/>
      <c r="R1674" s="135"/>
      <c r="S1674" s="347"/>
      <c r="T1674" s="512" t="e">
        <f>_xlfn.XLOOKUP(H1674,#REF!,#REF!,0,0)</f>
        <v>#REF!</v>
      </c>
    </row>
    <row r="1675" spans="1:20" s="302" customFormat="1" x14ac:dyDescent="0.4">
      <c r="A1675" s="19" t="s">
        <v>5982</v>
      </c>
      <c r="B1675" s="19" t="s">
        <v>5983</v>
      </c>
      <c r="C1675" s="19" t="s">
        <v>433</v>
      </c>
      <c r="D1675" s="19" t="s">
        <v>5984</v>
      </c>
      <c r="E1675" s="19" t="s">
        <v>10</v>
      </c>
      <c r="F1675" s="20" t="s">
        <v>3072</v>
      </c>
      <c r="G1675" s="19">
        <v>44281</v>
      </c>
      <c r="H1675" s="19" t="s">
        <v>5985</v>
      </c>
      <c r="I1675" s="135">
        <v>70515</v>
      </c>
      <c r="J1675" s="19" t="s">
        <v>5986</v>
      </c>
      <c r="K1675" s="19" t="s">
        <v>5987</v>
      </c>
      <c r="L1675" s="19" t="s">
        <v>364</v>
      </c>
      <c r="M1675" s="19" t="s">
        <v>364</v>
      </c>
      <c r="N1675" s="19" t="s">
        <v>364</v>
      </c>
      <c r="O1675" s="19" t="s">
        <v>364</v>
      </c>
      <c r="P1675" s="463" t="s">
        <v>5988</v>
      </c>
      <c r="Q1675" s="135"/>
      <c r="R1675" s="135"/>
      <c r="S1675" s="347"/>
      <c r="T1675" s="512" t="e">
        <f>_xlfn.XLOOKUP(H1675,#REF!,#REF!,0,0)</f>
        <v>#REF!</v>
      </c>
    </row>
    <row r="1676" spans="1:20" s="302" customFormat="1" x14ac:dyDescent="0.4">
      <c r="A1676" s="19" t="s">
        <v>5989</v>
      </c>
      <c r="B1676" s="19" t="s">
        <v>5990</v>
      </c>
      <c r="C1676" s="19" t="s">
        <v>433</v>
      </c>
      <c r="D1676" s="19" t="s">
        <v>5991</v>
      </c>
      <c r="E1676" s="19" t="s">
        <v>10</v>
      </c>
      <c r="F1676" s="20" t="s">
        <v>3072</v>
      </c>
      <c r="G1676" s="19">
        <v>44281</v>
      </c>
      <c r="H1676" s="19" t="s">
        <v>5992</v>
      </c>
      <c r="I1676" s="135">
        <v>70730</v>
      </c>
      <c r="J1676" s="19" t="s">
        <v>5993</v>
      </c>
      <c r="K1676" s="19" t="s">
        <v>5994</v>
      </c>
      <c r="L1676" s="19" t="s">
        <v>570</v>
      </c>
      <c r="M1676" s="19" t="s">
        <v>570</v>
      </c>
      <c r="N1676" s="19" t="s">
        <v>570</v>
      </c>
      <c r="O1676" s="19" t="s">
        <v>570</v>
      </c>
      <c r="P1676" s="463" t="s">
        <v>5995</v>
      </c>
      <c r="Q1676" s="135"/>
      <c r="R1676" s="135"/>
      <c r="S1676" s="347"/>
      <c r="T1676" s="512" t="e">
        <f>_xlfn.XLOOKUP(H1676,#REF!,#REF!,0,0)</f>
        <v>#REF!</v>
      </c>
    </row>
    <row r="1677" spans="1:20" s="302" customFormat="1" x14ac:dyDescent="0.4">
      <c r="A1677" s="19" t="s">
        <v>5996</v>
      </c>
      <c r="B1677" s="19" t="s">
        <v>5997</v>
      </c>
      <c r="C1677" s="19" t="s">
        <v>433</v>
      </c>
      <c r="D1677" s="19" t="s">
        <v>5984</v>
      </c>
      <c r="E1677" s="19" t="s">
        <v>10</v>
      </c>
      <c r="F1677" s="20" t="s">
        <v>3072</v>
      </c>
      <c r="G1677" s="19">
        <v>44281</v>
      </c>
      <c r="H1677" s="19" t="s">
        <v>5998</v>
      </c>
      <c r="I1677" s="135">
        <v>70547</v>
      </c>
      <c r="J1677" s="19" t="s">
        <v>5999</v>
      </c>
      <c r="K1677" s="19" t="s">
        <v>6000</v>
      </c>
      <c r="L1677" s="19" t="s">
        <v>570</v>
      </c>
      <c r="M1677" s="19" t="s">
        <v>570</v>
      </c>
      <c r="N1677" s="19" t="s">
        <v>570</v>
      </c>
      <c r="O1677" s="19" t="s">
        <v>570</v>
      </c>
      <c r="P1677" s="463" t="s">
        <v>6001</v>
      </c>
      <c r="Q1677" s="135"/>
      <c r="R1677" s="135"/>
      <c r="S1677" s="347"/>
      <c r="T1677" s="512" t="e">
        <f>_xlfn.XLOOKUP(H1677,#REF!,#REF!,0,0)</f>
        <v>#REF!</v>
      </c>
    </row>
    <row r="1678" spans="1:20" s="302" customFormat="1" x14ac:dyDescent="0.4">
      <c r="A1678" s="19" t="s">
        <v>6002</v>
      </c>
      <c r="B1678" s="19" t="s">
        <v>6003</v>
      </c>
      <c r="C1678" s="19" t="s">
        <v>433</v>
      </c>
      <c r="D1678" s="19" t="s">
        <v>693</v>
      </c>
      <c r="E1678" s="19" t="s">
        <v>10</v>
      </c>
      <c r="F1678" s="20" t="s">
        <v>3072</v>
      </c>
      <c r="G1678" s="19">
        <v>44281</v>
      </c>
      <c r="H1678" s="19" t="s">
        <v>5173</v>
      </c>
      <c r="I1678" s="135">
        <v>70740</v>
      </c>
      <c r="J1678" s="19" t="s">
        <v>5174</v>
      </c>
      <c r="K1678" s="19" t="s">
        <v>6004</v>
      </c>
      <c r="L1678" s="19" t="s">
        <v>570</v>
      </c>
      <c r="M1678" s="19" t="s">
        <v>570</v>
      </c>
      <c r="N1678" s="19" t="s">
        <v>570</v>
      </c>
      <c r="O1678" s="19" t="s">
        <v>570</v>
      </c>
      <c r="P1678" s="463" t="s">
        <v>5255</v>
      </c>
      <c r="Q1678" s="135"/>
      <c r="R1678" s="135"/>
      <c r="S1678" s="347"/>
      <c r="T1678" s="512" t="e">
        <f>_xlfn.XLOOKUP(H1678,#REF!,#REF!,0,0)</f>
        <v>#REF!</v>
      </c>
    </row>
    <row r="1679" spans="1:20" s="302" customFormat="1" x14ac:dyDescent="0.4">
      <c r="A1679" s="19" t="s">
        <v>6005</v>
      </c>
      <c r="B1679" s="19" t="s">
        <v>6006</v>
      </c>
      <c r="C1679" s="19" t="s">
        <v>433</v>
      </c>
      <c r="D1679" s="19" t="s">
        <v>1097</v>
      </c>
      <c r="E1679" s="19" t="s">
        <v>10</v>
      </c>
      <c r="F1679" s="20" t="s">
        <v>5179</v>
      </c>
      <c r="G1679" s="19">
        <v>44281</v>
      </c>
      <c r="H1679" s="19" t="s">
        <v>266</v>
      </c>
      <c r="I1679" s="135">
        <v>70709</v>
      </c>
      <c r="J1679" s="19" t="s">
        <v>6007</v>
      </c>
      <c r="K1679" s="19">
        <v>44551</v>
      </c>
      <c r="L1679" s="19" t="s">
        <v>570</v>
      </c>
      <c r="M1679" s="19" t="s">
        <v>570</v>
      </c>
      <c r="N1679" s="19" t="s">
        <v>570</v>
      </c>
      <c r="O1679" s="19" t="s">
        <v>570</v>
      </c>
      <c r="P1679" s="463" t="s">
        <v>6008</v>
      </c>
      <c r="Q1679" s="135"/>
      <c r="R1679" s="135"/>
      <c r="S1679" s="347"/>
      <c r="T1679" s="512" t="e">
        <f>_xlfn.XLOOKUP(H1679,#REF!,#REF!,0,0)</f>
        <v>#REF!</v>
      </c>
    </row>
    <row r="1680" spans="1:20" s="302" customFormat="1" x14ac:dyDescent="0.4">
      <c r="A1680" s="19" t="s">
        <v>6009</v>
      </c>
      <c r="B1680" s="19" t="s">
        <v>6010</v>
      </c>
      <c r="C1680" s="19" t="s">
        <v>433</v>
      </c>
      <c r="D1680" s="19" t="s">
        <v>3778</v>
      </c>
      <c r="E1680" s="19" t="s">
        <v>10</v>
      </c>
      <c r="F1680" s="20" t="s">
        <v>5179</v>
      </c>
      <c r="G1680" s="19">
        <v>44281</v>
      </c>
      <c r="H1680" s="19" t="s">
        <v>5850</v>
      </c>
      <c r="I1680" s="135">
        <v>70700</v>
      </c>
      <c r="J1680" s="19" t="s">
        <v>6011</v>
      </c>
      <c r="K1680" s="19" t="s">
        <v>6012</v>
      </c>
      <c r="L1680" s="19" t="s">
        <v>570</v>
      </c>
      <c r="M1680" s="19" t="s">
        <v>570</v>
      </c>
      <c r="N1680" s="19" t="s">
        <v>570</v>
      </c>
      <c r="O1680" s="19" t="s">
        <v>570</v>
      </c>
      <c r="P1680" s="463"/>
      <c r="Q1680" s="135"/>
      <c r="R1680" s="135"/>
      <c r="S1680" s="347"/>
      <c r="T1680" s="512" t="e">
        <f>_xlfn.XLOOKUP(H1680,#REF!,#REF!,0,0)</f>
        <v>#REF!</v>
      </c>
    </row>
    <row r="1681" spans="1:20" s="505" customFormat="1" x14ac:dyDescent="0.4">
      <c r="A1681" s="215" t="s">
        <v>6013</v>
      </c>
      <c r="B1681" s="215" t="s">
        <v>6014</v>
      </c>
      <c r="C1681" s="215"/>
      <c r="D1681" s="215" t="s">
        <v>5991</v>
      </c>
      <c r="E1681" s="215" t="s">
        <v>10</v>
      </c>
      <c r="F1681" s="214" t="s">
        <v>5179</v>
      </c>
      <c r="G1681" s="215">
        <v>44281</v>
      </c>
      <c r="H1681" s="215" t="s">
        <v>6015</v>
      </c>
      <c r="I1681" s="354">
        <v>70710</v>
      </c>
      <c r="J1681" s="215" t="s">
        <v>6016</v>
      </c>
      <c r="K1681" s="215">
        <v>44562</v>
      </c>
      <c r="L1681" s="215" t="s">
        <v>570</v>
      </c>
      <c r="M1681" s="215" t="s">
        <v>570</v>
      </c>
      <c r="N1681" s="215" t="s">
        <v>570</v>
      </c>
      <c r="O1681" s="215" t="s">
        <v>570</v>
      </c>
      <c r="P1681" s="464" t="s">
        <v>6017</v>
      </c>
      <c r="Q1681" s="354"/>
      <c r="R1681" s="354"/>
      <c r="S1681" s="346"/>
      <c r="T1681" s="512" t="e">
        <f>_xlfn.XLOOKUP(H1681,#REF!,#REF!,0,0)</f>
        <v>#REF!</v>
      </c>
    </row>
    <row r="1682" spans="1:20" s="505" customFormat="1" x14ac:dyDescent="0.4">
      <c r="A1682" s="215" t="s">
        <v>6018</v>
      </c>
      <c r="B1682" s="215" t="s">
        <v>6019</v>
      </c>
      <c r="C1682" s="215"/>
      <c r="D1682" s="215" t="s">
        <v>3778</v>
      </c>
      <c r="E1682" s="215" t="s">
        <v>10</v>
      </c>
      <c r="F1682" s="214" t="s">
        <v>3072</v>
      </c>
      <c r="G1682" s="215">
        <v>44281</v>
      </c>
      <c r="H1682" s="215" t="s">
        <v>5296</v>
      </c>
      <c r="I1682" s="354">
        <v>70727</v>
      </c>
      <c r="J1682" s="215" t="s">
        <v>6020</v>
      </c>
      <c r="K1682" s="215">
        <v>44562</v>
      </c>
      <c r="L1682" s="215" t="s">
        <v>570</v>
      </c>
      <c r="M1682" s="215" t="s">
        <v>570</v>
      </c>
      <c r="N1682" s="215" t="s">
        <v>570</v>
      </c>
      <c r="O1682" s="215" t="s">
        <v>570</v>
      </c>
      <c r="P1682" s="464"/>
      <c r="Q1682" s="354"/>
      <c r="R1682" s="354"/>
      <c r="S1682" s="346"/>
      <c r="T1682" s="512" t="e">
        <f>_xlfn.XLOOKUP(H1682,#REF!,#REF!,0,0)</f>
        <v>#REF!</v>
      </c>
    </row>
    <row r="1683" spans="1:20" s="302" customFormat="1" x14ac:dyDescent="0.4">
      <c r="A1683" s="19" t="s">
        <v>6021</v>
      </c>
      <c r="B1683" s="19" t="s">
        <v>6022</v>
      </c>
      <c r="C1683" s="19" t="s">
        <v>433</v>
      </c>
      <c r="D1683" s="19" t="s">
        <v>693</v>
      </c>
      <c r="E1683" s="19" t="s">
        <v>10</v>
      </c>
      <c r="F1683" s="20" t="s">
        <v>5179</v>
      </c>
      <c r="G1683" s="19"/>
      <c r="H1683" s="19" t="s">
        <v>164</v>
      </c>
      <c r="I1683" s="135">
        <v>69167</v>
      </c>
      <c r="J1683" s="19" t="s">
        <v>6023</v>
      </c>
      <c r="K1683" s="19" t="s">
        <v>6024</v>
      </c>
      <c r="L1683" s="19" t="s">
        <v>570</v>
      </c>
      <c r="M1683" s="19" t="s">
        <v>570</v>
      </c>
      <c r="N1683" s="19" t="s">
        <v>570</v>
      </c>
      <c r="O1683" s="19" t="s">
        <v>570</v>
      </c>
      <c r="P1683" s="463" t="s">
        <v>6025</v>
      </c>
      <c r="Q1683" s="135"/>
      <c r="R1683" s="135"/>
      <c r="S1683" s="347"/>
      <c r="T1683" s="512" t="e">
        <f>_xlfn.XLOOKUP(H1683,#REF!,#REF!,0,0)</f>
        <v>#REF!</v>
      </c>
    </row>
    <row r="1684" spans="1:20" s="505" customFormat="1" x14ac:dyDescent="0.4">
      <c r="A1684" s="215" t="s">
        <v>6026</v>
      </c>
      <c r="B1684" s="215" t="s">
        <v>6027</v>
      </c>
      <c r="C1684" s="215"/>
      <c r="D1684" s="215" t="s">
        <v>6028</v>
      </c>
      <c r="E1684" s="215" t="s">
        <v>10</v>
      </c>
      <c r="F1684" s="214" t="s">
        <v>3072</v>
      </c>
      <c r="G1684" s="215">
        <v>44323</v>
      </c>
      <c r="H1684" s="215" t="s">
        <v>6029</v>
      </c>
      <c r="I1684" s="354">
        <v>70987</v>
      </c>
      <c r="J1684" s="215" t="s">
        <v>6030</v>
      </c>
      <c r="K1684" s="215">
        <v>44564</v>
      </c>
      <c r="L1684" s="215" t="s">
        <v>570</v>
      </c>
      <c r="M1684" s="215" t="s">
        <v>570</v>
      </c>
      <c r="N1684" s="215" t="s">
        <v>570</v>
      </c>
      <c r="O1684" s="215" t="s">
        <v>570</v>
      </c>
      <c r="P1684" s="464" t="s">
        <v>5255</v>
      </c>
      <c r="Q1684" s="354"/>
      <c r="R1684" s="354"/>
      <c r="S1684" s="346"/>
      <c r="T1684" s="512" t="e">
        <f>_xlfn.XLOOKUP(H1684,#REF!,#REF!,0,0)</f>
        <v>#REF!</v>
      </c>
    </row>
    <row r="1685" spans="1:20" s="505" customFormat="1" x14ac:dyDescent="0.4">
      <c r="A1685" s="215" t="s">
        <v>6031</v>
      </c>
      <c r="B1685" s="215" t="s">
        <v>6032</v>
      </c>
      <c r="C1685" s="215"/>
      <c r="D1685" s="215" t="s">
        <v>5991</v>
      </c>
      <c r="E1685" s="215" t="s">
        <v>10</v>
      </c>
      <c r="F1685" s="214" t="s">
        <v>3072</v>
      </c>
      <c r="G1685" s="215">
        <v>44323</v>
      </c>
      <c r="H1685" s="215" t="s">
        <v>325</v>
      </c>
      <c r="I1685" s="354">
        <v>70979</v>
      </c>
      <c r="J1685" s="215" t="s">
        <v>6033</v>
      </c>
      <c r="K1685" s="215">
        <v>44564</v>
      </c>
      <c r="L1685" s="215" t="s">
        <v>570</v>
      </c>
      <c r="M1685" s="215" t="s">
        <v>570</v>
      </c>
      <c r="N1685" s="215" t="s">
        <v>570</v>
      </c>
      <c r="O1685" s="215" t="s">
        <v>570</v>
      </c>
      <c r="P1685" s="464" t="s">
        <v>6034</v>
      </c>
      <c r="Q1685" s="354"/>
      <c r="R1685" s="354"/>
      <c r="S1685" s="346"/>
      <c r="T1685" s="512" t="e">
        <f>_xlfn.XLOOKUP(H1685,#REF!,#REF!,0,0)</f>
        <v>#REF!</v>
      </c>
    </row>
    <row r="1686" spans="1:20" s="505" customFormat="1" x14ac:dyDescent="0.4">
      <c r="A1686" s="215" t="s">
        <v>6035</v>
      </c>
      <c r="B1686" s="215" t="s">
        <v>6036</v>
      </c>
      <c r="C1686" s="215"/>
      <c r="D1686" s="215" t="s">
        <v>5991</v>
      </c>
      <c r="E1686" s="215" t="s">
        <v>10</v>
      </c>
      <c r="F1686" s="214" t="s">
        <v>3072</v>
      </c>
      <c r="G1686" s="215">
        <v>44323</v>
      </c>
      <c r="H1686" s="215" t="s">
        <v>281</v>
      </c>
      <c r="I1686" s="354">
        <v>70986</v>
      </c>
      <c r="J1686" s="215" t="s">
        <v>6037</v>
      </c>
      <c r="K1686" s="215">
        <v>44564</v>
      </c>
      <c r="L1686" s="215" t="s">
        <v>570</v>
      </c>
      <c r="M1686" s="215" t="s">
        <v>570</v>
      </c>
      <c r="N1686" s="215" t="s">
        <v>570</v>
      </c>
      <c r="O1686" s="215" t="s">
        <v>570</v>
      </c>
      <c r="P1686" s="464" t="s">
        <v>6034</v>
      </c>
      <c r="Q1686" s="354"/>
      <c r="R1686" s="354"/>
      <c r="S1686" s="346"/>
      <c r="T1686" s="512" t="e">
        <f>_xlfn.XLOOKUP(H1686,#REF!,#REF!,0,0)</f>
        <v>#REF!</v>
      </c>
    </row>
    <row r="1687" spans="1:20" s="299" customFormat="1" ht="18" customHeight="1" x14ac:dyDescent="0.4">
      <c r="A1687" s="18" t="s">
        <v>6038</v>
      </c>
      <c r="B1687" s="18" t="s">
        <v>6039</v>
      </c>
      <c r="C1687" s="19" t="s">
        <v>433</v>
      </c>
      <c r="D1687" s="18" t="s">
        <v>5991</v>
      </c>
      <c r="E1687" s="18" t="s">
        <v>10</v>
      </c>
      <c r="F1687" s="10" t="s">
        <v>3072</v>
      </c>
      <c r="G1687" s="18">
        <v>44323</v>
      </c>
      <c r="H1687" s="18" t="s">
        <v>6040</v>
      </c>
      <c r="I1687" s="134">
        <v>70985</v>
      </c>
      <c r="J1687" s="18" t="s">
        <v>6041</v>
      </c>
      <c r="K1687" s="19">
        <v>44564</v>
      </c>
      <c r="L1687" s="19" t="s">
        <v>570</v>
      </c>
      <c r="M1687" s="19" t="s">
        <v>570</v>
      </c>
      <c r="N1687" s="19" t="s">
        <v>570</v>
      </c>
      <c r="O1687" s="19" t="s">
        <v>570</v>
      </c>
      <c r="P1687" s="466" t="s">
        <v>6042</v>
      </c>
      <c r="Q1687" s="134"/>
      <c r="R1687" s="134"/>
      <c r="S1687" s="344"/>
      <c r="T1687" s="512" t="e">
        <f>_xlfn.XLOOKUP(H1687,#REF!,#REF!,0,0)</f>
        <v>#REF!</v>
      </c>
    </row>
    <row r="1688" spans="1:20" s="299" customFormat="1" ht="18" customHeight="1" x14ac:dyDescent="0.4">
      <c r="A1688" s="18" t="s">
        <v>6043</v>
      </c>
      <c r="B1688" s="18" t="s">
        <v>6044</v>
      </c>
      <c r="C1688" s="19" t="s">
        <v>433</v>
      </c>
      <c r="D1688" s="18" t="s">
        <v>5991</v>
      </c>
      <c r="E1688" s="18" t="s">
        <v>10</v>
      </c>
      <c r="F1688" s="10" t="s">
        <v>3072</v>
      </c>
      <c r="G1688" s="18">
        <v>44323</v>
      </c>
      <c r="H1688" s="18" t="s">
        <v>280</v>
      </c>
      <c r="I1688" s="134">
        <v>70984</v>
      </c>
      <c r="J1688" s="18" t="s">
        <v>6045</v>
      </c>
      <c r="K1688" s="19"/>
      <c r="L1688" s="19" t="s">
        <v>570</v>
      </c>
      <c r="M1688" s="19" t="s">
        <v>570</v>
      </c>
      <c r="N1688" s="19" t="s">
        <v>570</v>
      </c>
      <c r="O1688" s="19" t="s">
        <v>570</v>
      </c>
      <c r="P1688" s="466" t="s">
        <v>6046</v>
      </c>
      <c r="Q1688" s="134"/>
      <c r="R1688" s="134"/>
      <c r="S1688" s="344"/>
      <c r="T1688" s="512" t="e">
        <f>_xlfn.XLOOKUP(H1688,#REF!,#REF!,0,0)</f>
        <v>#REF!</v>
      </c>
    </row>
    <row r="1689" spans="1:20" s="505" customFormat="1" x14ac:dyDescent="0.4">
      <c r="A1689" s="215" t="s">
        <v>6047</v>
      </c>
      <c r="B1689" s="215" t="s">
        <v>6048</v>
      </c>
      <c r="C1689" s="215"/>
      <c r="D1689" s="215" t="s">
        <v>5991</v>
      </c>
      <c r="E1689" s="215" t="s">
        <v>10</v>
      </c>
      <c r="F1689" s="214" t="s">
        <v>5179</v>
      </c>
      <c r="G1689" s="215">
        <v>44281</v>
      </c>
      <c r="H1689" s="215" t="s">
        <v>6049</v>
      </c>
      <c r="I1689" s="354">
        <v>70699</v>
      </c>
      <c r="J1689" s="215" t="s">
        <v>6050</v>
      </c>
      <c r="K1689" s="215">
        <v>44199</v>
      </c>
      <c r="L1689" s="215" t="s">
        <v>570</v>
      </c>
      <c r="M1689" s="215" t="s">
        <v>570</v>
      </c>
      <c r="N1689" s="215" t="s">
        <v>570</v>
      </c>
      <c r="O1689" s="215" t="s">
        <v>570</v>
      </c>
      <c r="P1689" s="464" t="s">
        <v>6051</v>
      </c>
      <c r="Q1689" s="354"/>
      <c r="R1689" s="354"/>
      <c r="S1689" s="346"/>
      <c r="T1689" s="512" t="e">
        <f>_xlfn.XLOOKUP(H1689,#REF!,#REF!,0,0)</f>
        <v>#REF!</v>
      </c>
    </row>
    <row r="1690" spans="1:20" s="302" customFormat="1" x14ac:dyDescent="0.4">
      <c r="A1690" s="19" t="s">
        <v>6052</v>
      </c>
      <c r="B1690" s="19" t="s">
        <v>6053</v>
      </c>
      <c r="C1690" s="19" t="s">
        <v>433</v>
      </c>
      <c r="D1690" s="19" t="s">
        <v>693</v>
      </c>
      <c r="E1690" s="19" t="s">
        <v>10</v>
      </c>
      <c r="F1690" s="20" t="s">
        <v>5179</v>
      </c>
      <c r="G1690" s="19">
        <v>44281</v>
      </c>
      <c r="H1690" s="19" t="s">
        <v>6054</v>
      </c>
      <c r="I1690" s="135">
        <v>70688</v>
      </c>
      <c r="J1690" s="19" t="s">
        <v>6055</v>
      </c>
      <c r="K1690" s="19"/>
      <c r="L1690" s="19" t="s">
        <v>570</v>
      </c>
      <c r="M1690" s="19" t="s">
        <v>570</v>
      </c>
      <c r="N1690" s="19" t="s">
        <v>570</v>
      </c>
      <c r="O1690" s="19" t="s">
        <v>570</v>
      </c>
      <c r="P1690" s="463" t="s">
        <v>6056</v>
      </c>
      <c r="Q1690" s="135"/>
      <c r="R1690" s="135"/>
      <c r="S1690" s="347"/>
      <c r="T1690" s="512" t="e">
        <f>_xlfn.XLOOKUP(H1690,#REF!,#REF!,0,0)</f>
        <v>#REF!</v>
      </c>
    </row>
    <row r="1691" spans="1:20" s="302" customFormat="1" x14ac:dyDescent="0.4">
      <c r="A1691" s="19" t="s">
        <v>6057</v>
      </c>
      <c r="B1691" s="19" t="s">
        <v>6058</v>
      </c>
      <c r="C1691" s="19" t="s">
        <v>433</v>
      </c>
      <c r="D1691" s="19" t="s">
        <v>693</v>
      </c>
      <c r="E1691" s="19" t="s">
        <v>10</v>
      </c>
      <c r="F1691" s="20" t="s">
        <v>6059</v>
      </c>
      <c r="G1691" s="19">
        <v>44552</v>
      </c>
      <c r="H1691" s="19" t="s">
        <v>6060</v>
      </c>
      <c r="I1691" s="135">
        <v>71189</v>
      </c>
      <c r="J1691" s="19" t="s">
        <v>6061</v>
      </c>
      <c r="K1691" s="19"/>
      <c r="L1691" s="19" t="s">
        <v>570</v>
      </c>
      <c r="M1691" s="19" t="s">
        <v>570</v>
      </c>
      <c r="N1691" s="19" t="s">
        <v>570</v>
      </c>
      <c r="O1691" s="19" t="s">
        <v>570</v>
      </c>
      <c r="P1691" s="463"/>
      <c r="Q1691" s="135"/>
      <c r="R1691" s="135"/>
      <c r="S1691" s="347"/>
      <c r="T1691" s="512" t="e">
        <f>_xlfn.XLOOKUP(H1691,#REF!,#REF!,0,0)</f>
        <v>#REF!</v>
      </c>
    </row>
    <row r="1692" spans="1:20" s="505" customFormat="1" x14ac:dyDescent="0.4">
      <c r="A1692" s="215" t="s">
        <v>6062</v>
      </c>
      <c r="B1692" s="215" t="s">
        <v>6063</v>
      </c>
      <c r="C1692" s="215"/>
      <c r="D1692" s="215" t="s">
        <v>693</v>
      </c>
      <c r="E1692" s="215" t="s">
        <v>10</v>
      </c>
      <c r="F1692" s="214" t="s">
        <v>3072</v>
      </c>
      <c r="G1692" s="215">
        <v>44323</v>
      </c>
      <c r="H1692" s="215" t="s">
        <v>6064</v>
      </c>
      <c r="I1692" s="354">
        <v>70982</v>
      </c>
      <c r="J1692" s="215" t="s">
        <v>6065</v>
      </c>
      <c r="K1692" s="215">
        <v>44571</v>
      </c>
      <c r="L1692" s="215" t="s">
        <v>570</v>
      </c>
      <c r="M1692" s="215" t="s">
        <v>570</v>
      </c>
      <c r="N1692" s="215" t="s">
        <v>570</v>
      </c>
      <c r="O1692" s="215" t="s">
        <v>570</v>
      </c>
      <c r="P1692" s="464" t="s">
        <v>6066</v>
      </c>
      <c r="Q1692" s="354"/>
      <c r="R1692" s="354"/>
      <c r="S1692" s="346"/>
      <c r="T1692" s="512" t="e">
        <f>_xlfn.XLOOKUP(H1692,#REF!,#REF!,0,0)</f>
        <v>#REF!</v>
      </c>
    </row>
    <row r="1693" spans="1:20" s="505" customFormat="1" x14ac:dyDescent="0.4">
      <c r="A1693" s="215" t="s">
        <v>6067</v>
      </c>
      <c r="B1693" s="215" t="s">
        <v>6068</v>
      </c>
      <c r="C1693" s="215"/>
      <c r="D1693" s="215" t="s">
        <v>5991</v>
      </c>
      <c r="E1693" s="215" t="s">
        <v>10</v>
      </c>
      <c r="F1693" s="214" t="s">
        <v>3072</v>
      </c>
      <c r="G1693" s="215">
        <v>44323</v>
      </c>
      <c r="H1693" s="215" t="s">
        <v>6069</v>
      </c>
      <c r="I1693" s="354">
        <v>70981</v>
      </c>
      <c r="J1693" s="215" t="s">
        <v>6070</v>
      </c>
      <c r="K1693" s="215"/>
      <c r="L1693" s="215" t="s">
        <v>570</v>
      </c>
      <c r="M1693" s="215" t="s">
        <v>570</v>
      </c>
      <c r="N1693" s="215" t="s">
        <v>570</v>
      </c>
      <c r="O1693" s="215" t="s">
        <v>570</v>
      </c>
      <c r="P1693" s="464"/>
      <c r="Q1693" s="354"/>
      <c r="R1693" s="354"/>
      <c r="S1693" s="346"/>
      <c r="T1693" s="512" t="e">
        <f>_xlfn.XLOOKUP(H1693,#REF!,#REF!,0,0)</f>
        <v>#REF!</v>
      </c>
    </row>
    <row r="1694" spans="1:20" s="505" customFormat="1" x14ac:dyDescent="0.4">
      <c r="A1694" s="215" t="s">
        <v>6071</v>
      </c>
      <c r="B1694" s="215" t="s">
        <v>6072</v>
      </c>
      <c r="C1694" s="215"/>
      <c r="D1694" s="215" t="s">
        <v>5991</v>
      </c>
      <c r="E1694" s="215" t="s">
        <v>10</v>
      </c>
      <c r="F1694" s="214" t="s">
        <v>5179</v>
      </c>
      <c r="G1694" s="215">
        <v>44281</v>
      </c>
      <c r="H1694" s="215" t="s">
        <v>6073</v>
      </c>
      <c r="I1694" s="354">
        <v>70714</v>
      </c>
      <c r="J1694" s="215" t="s">
        <v>6074</v>
      </c>
      <c r="K1694" s="215">
        <v>44571</v>
      </c>
      <c r="L1694" s="215" t="s">
        <v>570</v>
      </c>
      <c r="M1694" s="215" t="s">
        <v>570</v>
      </c>
      <c r="N1694" s="215" t="s">
        <v>570</v>
      </c>
      <c r="O1694" s="215" t="s">
        <v>570</v>
      </c>
      <c r="P1694" s="464"/>
      <c r="Q1694" s="354"/>
      <c r="R1694" s="354"/>
      <c r="S1694" s="346"/>
      <c r="T1694" s="512" t="e">
        <f>_xlfn.XLOOKUP(H1694,#REF!,#REF!,0,0)</f>
        <v>#REF!</v>
      </c>
    </row>
    <row r="1695" spans="1:20" s="505" customFormat="1" x14ac:dyDescent="0.4">
      <c r="A1695" s="215" t="s">
        <v>6075</v>
      </c>
      <c r="B1695" s="215" t="s">
        <v>6076</v>
      </c>
      <c r="C1695" s="215"/>
      <c r="D1695" s="215" t="s">
        <v>1161</v>
      </c>
      <c r="E1695" s="215" t="s">
        <v>10</v>
      </c>
      <c r="F1695" s="214" t="s">
        <v>5179</v>
      </c>
      <c r="G1695" s="215">
        <v>44281</v>
      </c>
      <c r="H1695" s="215" t="s">
        <v>6077</v>
      </c>
      <c r="I1695" s="354">
        <v>70706</v>
      </c>
      <c r="J1695" s="215" t="s">
        <v>6078</v>
      </c>
      <c r="K1695" s="215">
        <v>44578</v>
      </c>
      <c r="L1695" s="215" t="s">
        <v>570</v>
      </c>
      <c r="M1695" s="215" t="s">
        <v>570</v>
      </c>
      <c r="N1695" s="215" t="s">
        <v>570</v>
      </c>
      <c r="O1695" s="215" t="s">
        <v>570</v>
      </c>
      <c r="P1695" s="464" t="s">
        <v>523</v>
      </c>
      <c r="Q1695" s="354"/>
      <c r="R1695" s="354"/>
      <c r="S1695" s="346"/>
      <c r="T1695" s="512" t="e">
        <f>_xlfn.XLOOKUP(H1695,#REF!,#REF!,0,0)</f>
        <v>#REF!</v>
      </c>
    </row>
    <row r="1696" spans="1:20" s="505" customFormat="1" x14ac:dyDescent="0.4">
      <c r="A1696" s="215" t="s">
        <v>6079</v>
      </c>
      <c r="B1696" s="215" t="s">
        <v>6080</v>
      </c>
      <c r="C1696" s="215"/>
      <c r="D1696" s="215" t="s">
        <v>5991</v>
      </c>
      <c r="E1696" s="215" t="s">
        <v>10</v>
      </c>
      <c r="F1696" s="214" t="s">
        <v>5179</v>
      </c>
      <c r="G1696" s="215">
        <v>44281</v>
      </c>
      <c r="H1696" s="215" t="s">
        <v>6081</v>
      </c>
      <c r="I1696" s="354">
        <v>70725</v>
      </c>
      <c r="J1696" s="215" t="s">
        <v>6082</v>
      </c>
      <c r="K1696" s="215">
        <v>44571</v>
      </c>
      <c r="L1696" s="215" t="s">
        <v>570</v>
      </c>
      <c r="M1696" s="215" t="s">
        <v>570</v>
      </c>
      <c r="N1696" s="215" t="s">
        <v>570</v>
      </c>
      <c r="O1696" s="215" t="s">
        <v>570</v>
      </c>
      <c r="P1696" s="464"/>
      <c r="Q1696" s="354"/>
      <c r="R1696" s="354"/>
      <c r="S1696" s="346"/>
      <c r="T1696" s="512" t="e">
        <f>_xlfn.XLOOKUP(H1696,#REF!,#REF!,0,0)</f>
        <v>#REF!</v>
      </c>
    </row>
    <row r="1697" spans="1:20" s="505" customFormat="1" x14ac:dyDescent="0.4">
      <c r="A1697" s="215" t="s">
        <v>6083</v>
      </c>
      <c r="B1697" s="215" t="s">
        <v>6084</v>
      </c>
      <c r="C1697" s="215"/>
      <c r="D1697" s="215" t="s">
        <v>3778</v>
      </c>
      <c r="E1697" s="215" t="s">
        <v>10</v>
      </c>
      <c r="F1697" s="214" t="s">
        <v>5179</v>
      </c>
      <c r="G1697" s="215">
        <v>44281</v>
      </c>
      <c r="H1697" s="215" t="s">
        <v>6085</v>
      </c>
      <c r="I1697" s="354">
        <v>70705</v>
      </c>
      <c r="J1697" s="215" t="s">
        <v>6086</v>
      </c>
      <c r="K1697" s="215">
        <v>44571</v>
      </c>
      <c r="L1697" s="215" t="s">
        <v>570</v>
      </c>
      <c r="M1697" s="215" t="s">
        <v>570</v>
      </c>
      <c r="N1697" s="215" t="s">
        <v>570</v>
      </c>
      <c r="O1697" s="215" t="s">
        <v>570</v>
      </c>
      <c r="P1697" s="464" t="s">
        <v>6087</v>
      </c>
      <c r="Q1697" s="354"/>
      <c r="R1697" s="354"/>
      <c r="S1697" s="346"/>
      <c r="T1697" s="512" t="e">
        <f>_xlfn.XLOOKUP(H1697,#REF!,#REF!,0,0)</f>
        <v>#REF!</v>
      </c>
    </row>
    <row r="1698" spans="1:20" s="505" customFormat="1" x14ac:dyDescent="0.4">
      <c r="A1698" s="215" t="s">
        <v>6088</v>
      </c>
      <c r="B1698" s="215" t="s">
        <v>6089</v>
      </c>
      <c r="C1698" s="215"/>
      <c r="D1698" s="215" t="s">
        <v>5991</v>
      </c>
      <c r="E1698" s="215" t="s">
        <v>10</v>
      </c>
      <c r="F1698" s="214" t="s">
        <v>5179</v>
      </c>
      <c r="G1698" s="215">
        <v>44281</v>
      </c>
      <c r="H1698" s="215" t="s">
        <v>264</v>
      </c>
      <c r="I1698" s="354">
        <v>70697</v>
      </c>
      <c r="J1698" s="215" t="s">
        <v>6090</v>
      </c>
      <c r="K1698" s="215" t="s">
        <v>6091</v>
      </c>
      <c r="L1698" s="215" t="s">
        <v>570</v>
      </c>
      <c r="M1698" s="215" t="s">
        <v>570</v>
      </c>
      <c r="N1698" s="215" t="s">
        <v>570</v>
      </c>
      <c r="O1698" s="215" t="s">
        <v>570</v>
      </c>
      <c r="P1698" s="464"/>
      <c r="Q1698" s="354"/>
      <c r="R1698" s="354"/>
      <c r="S1698" s="346"/>
      <c r="T1698" s="512" t="e">
        <f>_xlfn.XLOOKUP(H1698,#REF!,#REF!,0,0)</f>
        <v>#REF!</v>
      </c>
    </row>
    <row r="1699" spans="1:20" s="506" customFormat="1" x14ac:dyDescent="0.4">
      <c r="A1699" s="21" t="s">
        <v>6092</v>
      </c>
      <c r="B1699" s="21" t="s">
        <v>6093</v>
      </c>
      <c r="C1699" s="21"/>
      <c r="D1699" s="21" t="s">
        <v>5991</v>
      </c>
      <c r="E1699" s="21" t="s">
        <v>3785</v>
      </c>
      <c r="F1699" s="22" t="s">
        <v>3072</v>
      </c>
      <c r="G1699" s="21"/>
      <c r="H1699" s="21" t="s">
        <v>6094</v>
      </c>
      <c r="I1699" s="353">
        <v>70550</v>
      </c>
      <c r="J1699" s="21" t="s">
        <v>6095</v>
      </c>
      <c r="K1699" s="21"/>
      <c r="L1699" s="21" t="s">
        <v>570</v>
      </c>
      <c r="M1699" s="21" t="s">
        <v>570</v>
      </c>
      <c r="N1699" s="21" t="s">
        <v>570</v>
      </c>
      <c r="O1699" s="21" t="s">
        <v>570</v>
      </c>
      <c r="P1699" s="465" t="s">
        <v>6096</v>
      </c>
      <c r="Q1699" s="353"/>
      <c r="R1699" s="353"/>
      <c r="S1699" s="345"/>
      <c r="T1699" s="512" t="e">
        <f>_xlfn.XLOOKUP(H1699,#REF!,#REF!,0,0)</f>
        <v>#REF!</v>
      </c>
    </row>
    <row r="1700" spans="1:20" s="505" customFormat="1" x14ac:dyDescent="0.4">
      <c r="A1700" s="215" t="s">
        <v>6097</v>
      </c>
      <c r="B1700" s="215" t="s">
        <v>6098</v>
      </c>
      <c r="C1700" s="215"/>
      <c r="D1700" s="215" t="s">
        <v>693</v>
      </c>
      <c r="E1700" s="215" t="s">
        <v>10</v>
      </c>
      <c r="F1700" s="214" t="s">
        <v>3072</v>
      </c>
      <c r="G1700" s="215">
        <v>44323</v>
      </c>
      <c r="H1700" s="215" t="s">
        <v>6099</v>
      </c>
      <c r="I1700" s="354">
        <v>70977</v>
      </c>
      <c r="J1700" s="215" t="s">
        <v>6100</v>
      </c>
      <c r="K1700" s="215" t="s">
        <v>6101</v>
      </c>
      <c r="L1700" s="215" t="s">
        <v>570</v>
      </c>
      <c r="M1700" s="215" t="s">
        <v>570</v>
      </c>
      <c r="N1700" s="215" t="s">
        <v>570</v>
      </c>
      <c r="O1700" s="215" t="s">
        <v>570</v>
      </c>
      <c r="P1700" s="464" t="s">
        <v>6102</v>
      </c>
      <c r="Q1700" s="354"/>
      <c r="R1700" s="354"/>
      <c r="S1700" s="346"/>
      <c r="T1700" s="512" t="e">
        <f>_xlfn.XLOOKUP(H1700,#REF!,#REF!,0,0)</f>
        <v>#REF!</v>
      </c>
    </row>
    <row r="1701" spans="1:20" s="505" customFormat="1" x14ac:dyDescent="0.4">
      <c r="A1701" s="215" t="s">
        <v>6103</v>
      </c>
      <c r="B1701" s="215" t="s">
        <v>6104</v>
      </c>
      <c r="C1701" s="215"/>
      <c r="D1701" s="215" t="s">
        <v>693</v>
      </c>
      <c r="E1701" s="215" t="s">
        <v>10</v>
      </c>
      <c r="F1701" s="214" t="s">
        <v>3072</v>
      </c>
      <c r="G1701" s="215">
        <v>44323</v>
      </c>
      <c r="H1701" s="215" t="s">
        <v>6105</v>
      </c>
      <c r="I1701" s="354">
        <v>70980</v>
      </c>
      <c r="J1701" s="215" t="s">
        <v>6106</v>
      </c>
      <c r="K1701" s="215" t="s">
        <v>6107</v>
      </c>
      <c r="L1701" s="215" t="s">
        <v>570</v>
      </c>
      <c r="M1701" s="215" t="s">
        <v>570</v>
      </c>
      <c r="N1701" s="215" t="s">
        <v>570</v>
      </c>
      <c r="O1701" s="215" t="s">
        <v>570</v>
      </c>
      <c r="P1701" s="464" t="s">
        <v>6108</v>
      </c>
      <c r="Q1701" s="354"/>
      <c r="R1701" s="354"/>
      <c r="S1701" s="346"/>
      <c r="T1701" s="512" t="e">
        <f>_xlfn.XLOOKUP(H1701,#REF!,#REF!,0,0)</f>
        <v>#REF!</v>
      </c>
    </row>
    <row r="1702" spans="1:20" s="505" customFormat="1" x14ac:dyDescent="0.4">
      <c r="A1702" s="215" t="s">
        <v>6109</v>
      </c>
      <c r="B1702" s="215" t="s">
        <v>6110</v>
      </c>
      <c r="C1702" s="215"/>
      <c r="D1702" s="215" t="s">
        <v>693</v>
      </c>
      <c r="E1702" s="215" t="s">
        <v>10</v>
      </c>
      <c r="F1702" s="214" t="s">
        <v>3072</v>
      </c>
      <c r="G1702" s="215">
        <v>44281</v>
      </c>
      <c r="H1702" s="215" t="s">
        <v>6111</v>
      </c>
      <c r="I1702" s="354">
        <v>70767</v>
      </c>
      <c r="J1702" s="215" t="s">
        <v>6112</v>
      </c>
      <c r="K1702" s="215">
        <v>44593</v>
      </c>
      <c r="L1702" s="215" t="s">
        <v>570</v>
      </c>
      <c r="M1702" s="215" t="s">
        <v>570</v>
      </c>
      <c r="N1702" s="215" t="s">
        <v>570</v>
      </c>
      <c r="O1702" s="215" t="s">
        <v>570</v>
      </c>
      <c r="P1702" s="464" t="s">
        <v>6113</v>
      </c>
      <c r="Q1702" s="354"/>
      <c r="R1702" s="354"/>
      <c r="S1702" s="346"/>
      <c r="T1702" s="512" t="e">
        <f>_xlfn.XLOOKUP(H1702,#REF!,#REF!,0,0)</f>
        <v>#REF!</v>
      </c>
    </row>
    <row r="1703" spans="1:20" s="505" customFormat="1" x14ac:dyDescent="0.4">
      <c r="A1703" s="215" t="s">
        <v>6114</v>
      </c>
      <c r="B1703" s="215" t="s">
        <v>6115</v>
      </c>
      <c r="C1703" s="215"/>
      <c r="D1703" s="215" t="s">
        <v>693</v>
      </c>
      <c r="E1703" s="215" t="s">
        <v>10</v>
      </c>
      <c r="F1703" s="214" t="s">
        <v>3072</v>
      </c>
      <c r="G1703" s="215">
        <v>44323</v>
      </c>
      <c r="H1703" s="215" t="s">
        <v>6116</v>
      </c>
      <c r="I1703" s="354">
        <v>70974</v>
      </c>
      <c r="J1703" s="215" t="s">
        <v>6117</v>
      </c>
      <c r="K1703" s="215">
        <v>44599</v>
      </c>
      <c r="L1703" s="215" t="s">
        <v>570</v>
      </c>
      <c r="M1703" s="215" t="s">
        <v>570</v>
      </c>
      <c r="N1703" s="215" t="s">
        <v>570</v>
      </c>
      <c r="O1703" s="215" t="s">
        <v>570</v>
      </c>
      <c r="P1703" s="464" t="s">
        <v>5255</v>
      </c>
      <c r="Q1703" s="354"/>
      <c r="R1703" s="354"/>
      <c r="S1703" s="346"/>
      <c r="T1703" s="512" t="e">
        <f>_xlfn.XLOOKUP(H1703,#REF!,#REF!,0,0)</f>
        <v>#REF!</v>
      </c>
    </row>
    <row r="1704" spans="1:20" s="505" customFormat="1" x14ac:dyDescent="0.4">
      <c r="A1704" s="215" t="s">
        <v>6118</v>
      </c>
      <c r="B1704" s="215" t="s">
        <v>6119</v>
      </c>
      <c r="C1704" s="215"/>
      <c r="D1704" s="215" t="s">
        <v>693</v>
      </c>
      <c r="E1704" s="215" t="s">
        <v>10</v>
      </c>
      <c r="F1704" s="214" t="s">
        <v>3072</v>
      </c>
      <c r="G1704" s="215">
        <v>44323</v>
      </c>
      <c r="H1704" s="215" t="s">
        <v>6120</v>
      </c>
      <c r="I1704" s="354">
        <v>70983</v>
      </c>
      <c r="J1704" s="215" t="s">
        <v>6121</v>
      </c>
      <c r="K1704" s="215">
        <v>44593</v>
      </c>
      <c r="L1704" s="215" t="s">
        <v>570</v>
      </c>
      <c r="M1704" s="215" t="s">
        <v>570</v>
      </c>
      <c r="N1704" s="215" t="s">
        <v>570</v>
      </c>
      <c r="O1704" s="215" t="s">
        <v>570</v>
      </c>
      <c r="P1704" s="464"/>
      <c r="Q1704" s="354"/>
      <c r="R1704" s="354"/>
      <c r="S1704" s="346"/>
      <c r="T1704" s="512" t="e">
        <f>_xlfn.XLOOKUP(H1704,#REF!,#REF!,0,0)</f>
        <v>#REF!</v>
      </c>
    </row>
    <row r="1705" spans="1:20" s="505" customFormat="1" x14ac:dyDescent="0.4">
      <c r="A1705" s="215" t="s">
        <v>6122</v>
      </c>
      <c r="B1705" s="215" t="s">
        <v>6123</v>
      </c>
      <c r="C1705" s="215"/>
      <c r="D1705" s="215" t="s">
        <v>693</v>
      </c>
      <c r="E1705" s="215" t="s">
        <v>10</v>
      </c>
      <c r="F1705" s="214" t="s">
        <v>5179</v>
      </c>
      <c r="G1705" s="215">
        <v>44281</v>
      </c>
      <c r="H1705" s="215" t="s">
        <v>263</v>
      </c>
      <c r="I1705" s="354">
        <v>70691</v>
      </c>
      <c r="J1705" s="215" t="s">
        <v>6124</v>
      </c>
      <c r="K1705" s="215">
        <v>44593</v>
      </c>
      <c r="L1705" s="215" t="s">
        <v>570</v>
      </c>
      <c r="M1705" s="215" t="s">
        <v>570</v>
      </c>
      <c r="N1705" s="215" t="s">
        <v>570</v>
      </c>
      <c r="O1705" s="215" t="s">
        <v>570</v>
      </c>
      <c r="P1705" s="464" t="s">
        <v>5589</v>
      </c>
      <c r="Q1705" s="354"/>
      <c r="R1705" s="354"/>
      <c r="S1705" s="346"/>
      <c r="T1705" s="512" t="e">
        <f>_xlfn.XLOOKUP(H1705,#REF!,#REF!,0,0)</f>
        <v>#REF!</v>
      </c>
    </row>
    <row r="1706" spans="1:20" s="506" customFormat="1" x14ac:dyDescent="0.4">
      <c r="A1706" s="21" t="s">
        <v>6125</v>
      </c>
      <c r="B1706" s="21" t="s">
        <v>6126</v>
      </c>
      <c r="C1706" s="21"/>
      <c r="D1706" s="21" t="s">
        <v>5172</v>
      </c>
      <c r="E1706" s="21" t="s">
        <v>3785</v>
      </c>
      <c r="F1706" s="22" t="s">
        <v>3072</v>
      </c>
      <c r="G1706" s="21">
        <v>44593</v>
      </c>
      <c r="H1706" s="21" t="s">
        <v>3029</v>
      </c>
      <c r="I1706" s="353">
        <v>69180</v>
      </c>
      <c r="J1706" s="21"/>
      <c r="K1706" s="21">
        <v>44593</v>
      </c>
      <c r="L1706" s="21" t="s">
        <v>570</v>
      </c>
      <c r="M1706" s="21" t="s">
        <v>570</v>
      </c>
      <c r="N1706" s="21" t="s">
        <v>570</v>
      </c>
      <c r="O1706" s="21" t="s">
        <v>570</v>
      </c>
      <c r="P1706" s="465" t="s">
        <v>6127</v>
      </c>
      <c r="Q1706" s="353"/>
      <c r="R1706" s="353"/>
      <c r="S1706" s="345"/>
      <c r="T1706" s="512" t="e">
        <f>_xlfn.XLOOKUP(H1706,#REF!,#REF!,0,0)</f>
        <v>#REF!</v>
      </c>
    </row>
    <row r="1707" spans="1:20" s="506" customFormat="1" x14ac:dyDescent="0.4">
      <c r="A1707" s="21" t="s">
        <v>6128</v>
      </c>
      <c r="B1707" s="21" t="s">
        <v>6129</v>
      </c>
      <c r="C1707" s="21"/>
      <c r="D1707" s="21" t="s">
        <v>693</v>
      </c>
      <c r="E1707" s="21" t="s">
        <v>3785</v>
      </c>
      <c r="F1707" s="22" t="s">
        <v>3072</v>
      </c>
      <c r="G1707" s="21"/>
      <c r="H1707" s="21" t="s">
        <v>243</v>
      </c>
      <c r="I1707" s="353">
        <v>69788</v>
      </c>
      <c r="J1707" s="21" t="s">
        <v>5363</v>
      </c>
      <c r="K1707" s="21">
        <v>44599</v>
      </c>
      <c r="L1707" s="21" t="s">
        <v>570</v>
      </c>
      <c r="M1707" s="21" t="s">
        <v>570</v>
      </c>
      <c r="N1707" s="21" t="s">
        <v>570</v>
      </c>
      <c r="O1707" s="21" t="s">
        <v>570</v>
      </c>
      <c r="P1707" s="465" t="s">
        <v>523</v>
      </c>
      <c r="Q1707" s="353"/>
      <c r="R1707" s="353"/>
      <c r="S1707" s="345"/>
      <c r="T1707" s="512" t="e">
        <f>_xlfn.XLOOKUP(H1707,#REF!,#REF!,0,0)</f>
        <v>#REF!</v>
      </c>
    </row>
    <row r="1708" spans="1:20" s="505" customFormat="1" x14ac:dyDescent="0.4">
      <c r="A1708" s="215" t="s">
        <v>6130</v>
      </c>
      <c r="B1708" s="215" t="s">
        <v>6131</v>
      </c>
      <c r="C1708" s="215"/>
      <c r="D1708" s="215" t="s">
        <v>693</v>
      </c>
      <c r="E1708" s="215" t="s">
        <v>10</v>
      </c>
      <c r="F1708" s="214" t="s">
        <v>5179</v>
      </c>
      <c r="G1708" s="215">
        <v>44281</v>
      </c>
      <c r="H1708" s="215" t="s">
        <v>6132</v>
      </c>
      <c r="I1708" s="354">
        <v>70704</v>
      </c>
      <c r="J1708" s="215" t="s">
        <v>6133</v>
      </c>
      <c r="K1708" s="215">
        <v>44599</v>
      </c>
      <c r="L1708" s="215" t="s">
        <v>570</v>
      </c>
      <c r="M1708" s="215" t="s">
        <v>570</v>
      </c>
      <c r="N1708" s="215" t="s">
        <v>570</v>
      </c>
      <c r="O1708" s="215" t="s">
        <v>570</v>
      </c>
      <c r="P1708" s="464" t="s">
        <v>5589</v>
      </c>
      <c r="Q1708" s="354"/>
      <c r="R1708" s="354"/>
      <c r="S1708" s="346"/>
      <c r="T1708" s="512" t="e">
        <f>_xlfn.XLOOKUP(H1708,#REF!,#REF!,0,0)</f>
        <v>#REF!</v>
      </c>
    </row>
    <row r="1709" spans="1:20" s="299" customFormat="1" ht="18" customHeight="1" x14ac:dyDescent="0.4">
      <c r="A1709" s="18" t="s">
        <v>6134</v>
      </c>
      <c r="B1709" s="18" t="s">
        <v>6135</v>
      </c>
      <c r="C1709" s="19" t="s">
        <v>433</v>
      </c>
      <c r="D1709" s="18" t="s">
        <v>693</v>
      </c>
      <c r="E1709" s="18" t="s">
        <v>10</v>
      </c>
      <c r="F1709" s="10" t="s">
        <v>3072</v>
      </c>
      <c r="G1709" s="18">
        <v>44323</v>
      </c>
      <c r="H1709" s="18" t="s">
        <v>6136</v>
      </c>
      <c r="I1709" s="134">
        <v>70975</v>
      </c>
      <c r="J1709" s="18" t="s">
        <v>6137</v>
      </c>
      <c r="K1709" s="19">
        <v>44599</v>
      </c>
      <c r="L1709" s="18" t="s">
        <v>570</v>
      </c>
      <c r="M1709" s="18" t="s">
        <v>570</v>
      </c>
      <c r="N1709" s="18" t="s">
        <v>570</v>
      </c>
      <c r="O1709" s="18" t="s">
        <v>570</v>
      </c>
      <c r="P1709" s="466"/>
      <c r="Q1709" s="134"/>
      <c r="R1709" s="134"/>
      <c r="S1709" s="344"/>
      <c r="T1709" s="512" t="e">
        <f>_xlfn.XLOOKUP(H1709,#REF!,#REF!,0,0)</f>
        <v>#REF!</v>
      </c>
    </row>
    <row r="1710" spans="1:20" s="299" customFormat="1" ht="18" customHeight="1" x14ac:dyDescent="0.4">
      <c r="A1710" s="18" t="s">
        <v>6043</v>
      </c>
      <c r="B1710" s="18" t="s">
        <v>6138</v>
      </c>
      <c r="C1710" s="19" t="s">
        <v>433</v>
      </c>
      <c r="D1710" s="18" t="s">
        <v>5991</v>
      </c>
      <c r="E1710" s="18" t="s">
        <v>10</v>
      </c>
      <c r="F1710" s="10" t="s">
        <v>3072</v>
      </c>
      <c r="G1710" s="18">
        <v>44323</v>
      </c>
      <c r="H1710" s="18" t="s">
        <v>280</v>
      </c>
      <c r="I1710" s="134">
        <v>70984</v>
      </c>
      <c r="J1710" s="18"/>
      <c r="K1710" s="19">
        <v>44599</v>
      </c>
      <c r="L1710" s="18" t="s">
        <v>570</v>
      </c>
      <c r="M1710" s="18" t="s">
        <v>570</v>
      </c>
      <c r="N1710" s="18" t="s">
        <v>570</v>
      </c>
      <c r="O1710" s="18" t="s">
        <v>570</v>
      </c>
      <c r="P1710" s="466"/>
      <c r="Q1710" s="134"/>
      <c r="R1710" s="134"/>
      <c r="S1710" s="344"/>
      <c r="T1710" s="512" t="e">
        <f>_xlfn.XLOOKUP(H1710,#REF!,#REF!,0,0)</f>
        <v>#REF!</v>
      </c>
    </row>
    <row r="1711" spans="1:20" s="299" customFormat="1" ht="18" customHeight="1" x14ac:dyDescent="0.4">
      <c r="A1711" s="18" t="s">
        <v>6139</v>
      </c>
      <c r="B1711" s="18" t="s">
        <v>6140</v>
      </c>
      <c r="C1711" s="19" t="s">
        <v>433</v>
      </c>
      <c r="D1711" s="18" t="s">
        <v>693</v>
      </c>
      <c r="E1711" s="18" t="s">
        <v>10</v>
      </c>
      <c r="F1711" s="10" t="s">
        <v>5179</v>
      </c>
      <c r="G1711" s="18">
        <v>44595</v>
      </c>
      <c r="H1711" s="18" t="s">
        <v>283</v>
      </c>
      <c r="I1711" s="134">
        <v>71206</v>
      </c>
      <c r="J1711" s="18" t="s">
        <v>6141</v>
      </c>
      <c r="K1711" s="19" t="s">
        <v>6142</v>
      </c>
      <c r="L1711" s="18" t="s">
        <v>570</v>
      </c>
      <c r="M1711" s="18" t="s">
        <v>570</v>
      </c>
      <c r="N1711" s="18" t="s">
        <v>570</v>
      </c>
      <c r="O1711" s="18" t="s">
        <v>570</v>
      </c>
      <c r="P1711" s="466" t="s">
        <v>6143</v>
      </c>
      <c r="Q1711" s="134"/>
      <c r="R1711" s="134"/>
      <c r="S1711" s="344"/>
      <c r="T1711" s="512" t="e">
        <f>_xlfn.XLOOKUP(H1711,#REF!,#REF!,0,0)</f>
        <v>#REF!</v>
      </c>
    </row>
    <row r="1712" spans="1:20" s="505" customFormat="1" x14ac:dyDescent="0.4">
      <c r="A1712" s="215" t="s">
        <v>6144</v>
      </c>
      <c r="B1712" s="215" t="s">
        <v>6145</v>
      </c>
      <c r="C1712" s="215"/>
      <c r="D1712" s="215" t="s">
        <v>693</v>
      </c>
      <c r="E1712" s="215" t="s">
        <v>10</v>
      </c>
      <c r="F1712" s="214" t="s">
        <v>3072</v>
      </c>
      <c r="G1712" s="215">
        <v>44281</v>
      </c>
      <c r="H1712" s="215" t="s">
        <v>6146</v>
      </c>
      <c r="I1712" s="354">
        <v>70766</v>
      </c>
      <c r="J1712" s="215" t="s">
        <v>6147</v>
      </c>
      <c r="K1712" s="215">
        <v>44606</v>
      </c>
      <c r="L1712" s="215" t="s">
        <v>364</v>
      </c>
      <c r="M1712" s="215" t="s">
        <v>364</v>
      </c>
      <c r="N1712" s="215" t="s">
        <v>364</v>
      </c>
      <c r="O1712" s="215" t="s">
        <v>364</v>
      </c>
      <c r="P1712" s="464" t="s">
        <v>6148</v>
      </c>
      <c r="Q1712" s="354"/>
      <c r="R1712" s="354"/>
      <c r="S1712" s="346"/>
      <c r="T1712" s="512" t="e">
        <f>_xlfn.XLOOKUP(H1712,#REF!,#REF!,0,0)</f>
        <v>#REF!</v>
      </c>
    </row>
    <row r="1713" spans="1:20" s="505" customFormat="1" x14ac:dyDescent="0.4">
      <c r="A1713" s="215" t="s">
        <v>6149</v>
      </c>
      <c r="B1713" s="215" t="s">
        <v>6150</v>
      </c>
      <c r="C1713" s="215"/>
      <c r="D1713" s="215" t="s">
        <v>693</v>
      </c>
      <c r="E1713" s="215" t="s">
        <v>10</v>
      </c>
      <c r="F1713" s="214" t="s">
        <v>3072</v>
      </c>
      <c r="G1713" s="215"/>
      <c r="H1713" s="215" t="s">
        <v>131</v>
      </c>
      <c r="I1713" s="354">
        <v>68262</v>
      </c>
      <c r="J1713" s="215" t="s">
        <v>6151</v>
      </c>
      <c r="K1713" s="215">
        <v>44606</v>
      </c>
      <c r="L1713" s="215" t="s">
        <v>364</v>
      </c>
      <c r="M1713" s="215" t="s">
        <v>364</v>
      </c>
      <c r="N1713" s="215" t="s">
        <v>364</v>
      </c>
      <c r="O1713" s="215" t="s">
        <v>364</v>
      </c>
      <c r="P1713" s="464" t="s">
        <v>6152</v>
      </c>
      <c r="Q1713" s="354"/>
      <c r="R1713" s="354"/>
      <c r="S1713" s="346"/>
      <c r="T1713" s="512" t="e">
        <f>_xlfn.XLOOKUP(H1713,#REF!,#REF!,0,0)</f>
        <v>#REF!</v>
      </c>
    </row>
    <row r="1714" spans="1:20" s="299" customFormat="1" ht="18" customHeight="1" x14ac:dyDescent="0.4">
      <c r="A1714" s="18" t="s">
        <v>6153</v>
      </c>
      <c r="B1714" s="18" t="s">
        <v>6154</v>
      </c>
      <c r="C1714" s="19" t="s">
        <v>433</v>
      </c>
      <c r="D1714" s="18" t="s">
        <v>693</v>
      </c>
      <c r="E1714" s="18" t="s">
        <v>10</v>
      </c>
      <c r="F1714" s="10" t="s">
        <v>3072</v>
      </c>
      <c r="G1714" s="18">
        <v>44323</v>
      </c>
      <c r="H1714" s="18" t="s">
        <v>6155</v>
      </c>
      <c r="I1714" s="134">
        <v>70976</v>
      </c>
      <c r="J1714" s="18" t="s">
        <v>6156</v>
      </c>
      <c r="K1714" s="19">
        <v>44606</v>
      </c>
      <c r="L1714" s="18" t="s">
        <v>364</v>
      </c>
      <c r="M1714" s="18" t="s">
        <v>364</v>
      </c>
      <c r="N1714" s="18" t="s">
        <v>364</v>
      </c>
      <c r="O1714" s="18" t="s">
        <v>364</v>
      </c>
      <c r="P1714" s="466"/>
      <c r="Q1714" s="134"/>
      <c r="R1714" s="134"/>
      <c r="S1714" s="344"/>
      <c r="T1714" s="512" t="e">
        <f>_xlfn.XLOOKUP(H1714,#REF!,#REF!,0,0)</f>
        <v>#REF!</v>
      </c>
    </row>
    <row r="1715" spans="1:20" s="506" customFormat="1" x14ac:dyDescent="0.4">
      <c r="A1715" s="21" t="s">
        <v>6157</v>
      </c>
      <c r="B1715" s="21" t="s">
        <v>6158</v>
      </c>
      <c r="C1715" s="21"/>
      <c r="D1715" s="21" t="s">
        <v>693</v>
      </c>
      <c r="E1715" s="21" t="s">
        <v>3785</v>
      </c>
      <c r="F1715" s="22" t="s">
        <v>3072</v>
      </c>
      <c r="G1715" s="21"/>
      <c r="H1715" s="21" t="s">
        <v>171</v>
      </c>
      <c r="I1715" s="353">
        <v>69193</v>
      </c>
      <c r="J1715" s="21"/>
      <c r="K1715" s="21">
        <v>44606</v>
      </c>
      <c r="L1715" s="21" t="s">
        <v>364</v>
      </c>
      <c r="M1715" s="21" t="s">
        <v>364</v>
      </c>
      <c r="N1715" s="21" t="s">
        <v>364</v>
      </c>
      <c r="O1715" s="21" t="s">
        <v>364</v>
      </c>
      <c r="P1715" s="465" t="s">
        <v>6148</v>
      </c>
      <c r="Q1715" s="353"/>
      <c r="R1715" s="353"/>
      <c r="S1715" s="345"/>
      <c r="T1715" s="512" t="e">
        <f>_xlfn.XLOOKUP(H1715,#REF!,#REF!,0,0)</f>
        <v>#REF!</v>
      </c>
    </row>
    <row r="1716" spans="1:20" s="506" customFormat="1" x14ac:dyDescent="0.4">
      <c r="A1716" s="21" t="s">
        <v>6159</v>
      </c>
      <c r="B1716" s="21" t="s">
        <v>6160</v>
      </c>
      <c r="C1716" s="21"/>
      <c r="D1716" s="21" t="s">
        <v>693</v>
      </c>
      <c r="E1716" s="21" t="s">
        <v>3785</v>
      </c>
      <c r="F1716" s="22" t="s">
        <v>5909</v>
      </c>
      <c r="G1716" s="21"/>
      <c r="H1716" s="21" t="s">
        <v>5749</v>
      </c>
      <c r="I1716" s="353">
        <v>70698</v>
      </c>
      <c r="J1716" s="21"/>
      <c r="K1716" s="21">
        <v>44606</v>
      </c>
      <c r="L1716" s="21" t="s">
        <v>364</v>
      </c>
      <c r="M1716" s="21" t="s">
        <v>364</v>
      </c>
      <c r="N1716" s="21" t="s">
        <v>364</v>
      </c>
      <c r="O1716" s="21" t="s">
        <v>364</v>
      </c>
      <c r="P1716" s="465" t="s">
        <v>6161</v>
      </c>
      <c r="Q1716" s="353"/>
      <c r="R1716" s="353"/>
      <c r="S1716" s="345"/>
      <c r="T1716" s="512" t="e">
        <f>_xlfn.XLOOKUP(H1716,#REF!,#REF!,0,0)</f>
        <v>#REF!</v>
      </c>
    </row>
    <row r="1717" spans="1:20" s="299" customFormat="1" ht="18" customHeight="1" x14ac:dyDescent="0.4">
      <c r="A1717" s="18" t="s">
        <v>6162</v>
      </c>
      <c r="B1717" s="18" t="s">
        <v>6163</v>
      </c>
      <c r="C1717" s="19" t="s">
        <v>433</v>
      </c>
      <c r="D1717" s="18" t="s">
        <v>693</v>
      </c>
      <c r="E1717" s="18" t="s">
        <v>10</v>
      </c>
      <c r="F1717" s="10" t="s">
        <v>5179</v>
      </c>
      <c r="G1717" s="18">
        <v>44595</v>
      </c>
      <c r="H1717" s="18" t="s">
        <v>6164</v>
      </c>
      <c r="I1717" s="134">
        <v>71204</v>
      </c>
      <c r="J1717" s="18" t="s">
        <v>6165</v>
      </c>
      <c r="K1717" s="19" t="s">
        <v>6166</v>
      </c>
      <c r="L1717" s="18" t="s">
        <v>570</v>
      </c>
      <c r="M1717" s="18" t="s">
        <v>570</v>
      </c>
      <c r="N1717" s="18" t="s">
        <v>570</v>
      </c>
      <c r="O1717" s="18" t="s">
        <v>570</v>
      </c>
      <c r="P1717" s="466" t="s">
        <v>6167</v>
      </c>
      <c r="Q1717" s="134"/>
      <c r="R1717" s="134"/>
      <c r="S1717" s="344"/>
      <c r="T1717" s="512" t="e">
        <f>_xlfn.XLOOKUP(H1717,#REF!,#REF!,0,0)</f>
        <v>#REF!</v>
      </c>
    </row>
    <row r="1718" spans="1:20" s="299" customFormat="1" ht="18" customHeight="1" x14ac:dyDescent="0.4">
      <c r="A1718" s="18" t="s">
        <v>6168</v>
      </c>
      <c r="B1718" s="18" t="s">
        <v>6169</v>
      </c>
      <c r="C1718" s="19" t="s">
        <v>433</v>
      </c>
      <c r="D1718" s="18" t="s">
        <v>693</v>
      </c>
      <c r="E1718" s="18" t="s">
        <v>10</v>
      </c>
      <c r="F1718" s="10" t="s">
        <v>5179</v>
      </c>
      <c r="G1718" s="18">
        <v>44595</v>
      </c>
      <c r="H1718" s="18" t="s">
        <v>6170</v>
      </c>
      <c r="I1718" s="134">
        <v>71205</v>
      </c>
      <c r="J1718" s="18" t="s">
        <v>6171</v>
      </c>
      <c r="K1718" s="19" t="s">
        <v>6166</v>
      </c>
      <c r="L1718" s="18" t="s">
        <v>364</v>
      </c>
      <c r="M1718" s="18" t="s">
        <v>364</v>
      </c>
      <c r="N1718" s="18" t="s">
        <v>364</v>
      </c>
      <c r="O1718" s="18" t="s">
        <v>364</v>
      </c>
      <c r="P1718" s="466" t="s">
        <v>6172</v>
      </c>
      <c r="Q1718" s="134"/>
      <c r="R1718" s="134"/>
      <c r="S1718" s="344"/>
      <c r="T1718" s="512" t="e">
        <f>_xlfn.XLOOKUP(H1718,#REF!,#REF!,0,0)</f>
        <v>#REF!</v>
      </c>
    </row>
    <row r="1719" spans="1:20" s="299" customFormat="1" ht="18" customHeight="1" x14ac:dyDescent="0.4">
      <c r="A1719" s="18" t="s">
        <v>6173</v>
      </c>
      <c r="B1719" s="18" t="s">
        <v>6174</v>
      </c>
      <c r="C1719" s="19" t="s">
        <v>433</v>
      </c>
      <c r="D1719" s="18" t="s">
        <v>693</v>
      </c>
      <c r="E1719" s="18" t="s">
        <v>10</v>
      </c>
      <c r="F1719" s="10" t="s">
        <v>5179</v>
      </c>
      <c r="G1719" s="18">
        <v>44595</v>
      </c>
      <c r="H1719" s="18" t="s">
        <v>284</v>
      </c>
      <c r="I1719" s="134">
        <v>71207</v>
      </c>
      <c r="J1719" s="18" t="s">
        <v>6175</v>
      </c>
      <c r="K1719" s="19" t="s">
        <v>6176</v>
      </c>
      <c r="L1719" s="18" t="s">
        <v>364</v>
      </c>
      <c r="M1719" s="18" t="s">
        <v>364</v>
      </c>
      <c r="N1719" s="18" t="s">
        <v>364</v>
      </c>
      <c r="O1719" s="18" t="s">
        <v>364</v>
      </c>
      <c r="P1719" s="466"/>
      <c r="Q1719" s="134"/>
      <c r="R1719" s="134"/>
      <c r="S1719" s="344"/>
      <c r="T1719" s="512" t="e">
        <f>_xlfn.XLOOKUP(H1719,#REF!,#REF!,0,0)</f>
        <v>#REF!</v>
      </c>
    </row>
    <row r="1720" spans="1:20" s="299" customFormat="1" ht="18" customHeight="1" x14ac:dyDescent="0.4">
      <c r="A1720" s="18" t="s">
        <v>6177</v>
      </c>
      <c r="B1720" s="18" t="s">
        <v>6178</v>
      </c>
      <c r="C1720" s="19" t="s">
        <v>433</v>
      </c>
      <c r="D1720" s="18" t="s">
        <v>693</v>
      </c>
      <c r="E1720" s="18" t="s">
        <v>10</v>
      </c>
      <c r="F1720" s="10" t="s">
        <v>5179</v>
      </c>
      <c r="G1720" s="18">
        <v>44595</v>
      </c>
      <c r="H1720" s="18" t="s">
        <v>6179</v>
      </c>
      <c r="I1720" s="134">
        <v>71208</v>
      </c>
      <c r="J1720" s="18" t="s">
        <v>6180</v>
      </c>
      <c r="K1720" s="19" t="s">
        <v>6181</v>
      </c>
      <c r="L1720" s="18" t="s">
        <v>570</v>
      </c>
      <c r="M1720" s="18" t="s">
        <v>570</v>
      </c>
      <c r="N1720" s="18" t="s">
        <v>570</v>
      </c>
      <c r="O1720" s="18" t="s">
        <v>570</v>
      </c>
      <c r="P1720" s="466" t="s">
        <v>6182</v>
      </c>
      <c r="Q1720" s="134"/>
      <c r="R1720" s="134"/>
      <c r="S1720" s="344"/>
      <c r="T1720" s="512" t="e">
        <f>_xlfn.XLOOKUP(H1720,#REF!,#REF!,0,0)</f>
        <v>#REF!</v>
      </c>
    </row>
    <row r="1721" spans="1:20" s="299" customFormat="1" ht="18" customHeight="1" x14ac:dyDescent="0.4">
      <c r="A1721" s="18" t="s">
        <v>6183</v>
      </c>
      <c r="B1721" s="18" t="s">
        <v>6184</v>
      </c>
      <c r="C1721" s="19" t="s">
        <v>433</v>
      </c>
      <c r="D1721" s="18" t="s">
        <v>693</v>
      </c>
      <c r="E1721" s="18" t="s">
        <v>10</v>
      </c>
      <c r="F1721" s="10" t="s">
        <v>5179</v>
      </c>
      <c r="G1721" s="18">
        <v>44595</v>
      </c>
      <c r="H1721" s="18" t="s">
        <v>6185</v>
      </c>
      <c r="I1721" s="134">
        <v>71209</v>
      </c>
      <c r="J1721" s="18" t="s">
        <v>6186</v>
      </c>
      <c r="K1721" s="19" t="s">
        <v>6187</v>
      </c>
      <c r="L1721" s="18" t="s">
        <v>570</v>
      </c>
      <c r="M1721" s="18" t="s">
        <v>570</v>
      </c>
      <c r="N1721" s="18" t="s">
        <v>570</v>
      </c>
      <c r="O1721" s="18" t="s">
        <v>570</v>
      </c>
      <c r="P1721" s="466" t="s">
        <v>6182</v>
      </c>
      <c r="Q1721" s="134"/>
      <c r="R1721" s="134"/>
      <c r="S1721" s="344"/>
      <c r="T1721" s="512" t="e">
        <f>_xlfn.XLOOKUP(H1721,#REF!,#REF!,0,0)</f>
        <v>#REF!</v>
      </c>
    </row>
    <row r="1722" spans="1:20" s="299" customFormat="1" ht="18" customHeight="1" x14ac:dyDescent="0.4">
      <c r="A1722" s="18" t="s">
        <v>6188</v>
      </c>
      <c r="B1722" s="18" t="s">
        <v>6189</v>
      </c>
      <c r="C1722" s="19" t="s">
        <v>433</v>
      </c>
      <c r="D1722" s="18" t="s">
        <v>693</v>
      </c>
      <c r="E1722" s="18" t="s">
        <v>10</v>
      </c>
      <c r="F1722" s="10" t="s">
        <v>5179</v>
      </c>
      <c r="G1722" s="18">
        <v>44595</v>
      </c>
      <c r="H1722" s="18" t="s">
        <v>6190</v>
      </c>
      <c r="I1722" s="134">
        <v>71210</v>
      </c>
      <c r="J1722" s="18" t="s">
        <v>6191</v>
      </c>
      <c r="K1722" s="19" t="s">
        <v>6192</v>
      </c>
      <c r="L1722" s="18" t="s">
        <v>570</v>
      </c>
      <c r="M1722" s="18" t="s">
        <v>570</v>
      </c>
      <c r="N1722" s="18" t="s">
        <v>570</v>
      </c>
      <c r="O1722" s="18" t="s">
        <v>570</v>
      </c>
      <c r="P1722" s="466" t="s">
        <v>6182</v>
      </c>
      <c r="Q1722" s="134"/>
      <c r="R1722" s="134"/>
      <c r="S1722" s="344"/>
      <c r="T1722" s="512" t="e">
        <f>_xlfn.XLOOKUP(H1722,#REF!,#REF!,0,0)</f>
        <v>#REF!</v>
      </c>
    </row>
    <row r="1723" spans="1:20" s="299" customFormat="1" ht="18" customHeight="1" x14ac:dyDescent="0.4">
      <c r="A1723" s="18" t="s">
        <v>6193</v>
      </c>
      <c r="B1723" s="18" t="s">
        <v>6194</v>
      </c>
      <c r="C1723" s="19" t="s">
        <v>433</v>
      </c>
      <c r="D1723" s="18" t="s">
        <v>693</v>
      </c>
      <c r="E1723" s="18" t="s">
        <v>10</v>
      </c>
      <c r="F1723" s="10" t="s">
        <v>5179</v>
      </c>
      <c r="G1723" s="18">
        <v>44595</v>
      </c>
      <c r="H1723" s="18" t="s">
        <v>285</v>
      </c>
      <c r="I1723" s="134">
        <v>71212</v>
      </c>
      <c r="J1723" s="18" t="s">
        <v>6195</v>
      </c>
      <c r="K1723" s="19" t="s">
        <v>6196</v>
      </c>
      <c r="L1723" s="18" t="s">
        <v>570</v>
      </c>
      <c r="M1723" s="18" t="s">
        <v>570</v>
      </c>
      <c r="N1723" s="18" t="s">
        <v>570</v>
      </c>
      <c r="O1723" s="18" t="s">
        <v>570</v>
      </c>
      <c r="P1723" s="466" t="s">
        <v>6182</v>
      </c>
      <c r="Q1723" s="134"/>
      <c r="R1723" s="134"/>
      <c r="S1723" s="344"/>
      <c r="T1723" s="512" t="e">
        <f>_xlfn.XLOOKUP(H1723,#REF!,#REF!,0,0)</f>
        <v>#REF!</v>
      </c>
    </row>
    <row r="1724" spans="1:20" s="299" customFormat="1" ht="18" customHeight="1" x14ac:dyDescent="0.4">
      <c r="A1724" s="18" t="s">
        <v>6197</v>
      </c>
      <c r="B1724" s="18" t="s">
        <v>6198</v>
      </c>
      <c r="C1724" s="19" t="s">
        <v>433</v>
      </c>
      <c r="D1724" s="18" t="s">
        <v>693</v>
      </c>
      <c r="E1724" s="18" t="s">
        <v>10</v>
      </c>
      <c r="F1724" s="10" t="s">
        <v>5179</v>
      </c>
      <c r="G1724" s="18">
        <v>44595</v>
      </c>
      <c r="H1724" s="18" t="s">
        <v>6199</v>
      </c>
      <c r="I1724" s="134">
        <v>71211</v>
      </c>
      <c r="J1724" s="18" t="s">
        <v>6200</v>
      </c>
      <c r="K1724" s="19" t="s">
        <v>6201</v>
      </c>
      <c r="L1724" s="18" t="s">
        <v>570</v>
      </c>
      <c r="M1724" s="18" t="s">
        <v>570</v>
      </c>
      <c r="N1724" s="18" t="s">
        <v>570</v>
      </c>
      <c r="O1724" s="18" t="s">
        <v>570</v>
      </c>
      <c r="P1724" s="466" t="s">
        <v>6202</v>
      </c>
      <c r="Q1724" s="134"/>
      <c r="R1724" s="134"/>
      <c r="S1724" s="344"/>
      <c r="T1724" s="512" t="e">
        <f>_xlfn.XLOOKUP(H1724,#REF!,#REF!,0,0)</f>
        <v>#REF!</v>
      </c>
    </row>
    <row r="1725" spans="1:20" s="299" customFormat="1" ht="18" customHeight="1" x14ac:dyDescent="0.4">
      <c r="A1725" s="18" t="s">
        <v>6203</v>
      </c>
      <c r="B1725" s="18" t="s">
        <v>6204</v>
      </c>
      <c r="C1725" s="19" t="s">
        <v>433</v>
      </c>
      <c r="D1725" s="18" t="s">
        <v>693</v>
      </c>
      <c r="E1725" s="18" t="s">
        <v>10</v>
      </c>
      <c r="F1725" s="10" t="s">
        <v>5179</v>
      </c>
      <c r="G1725" s="18">
        <v>44595</v>
      </c>
      <c r="H1725" s="18" t="s">
        <v>286</v>
      </c>
      <c r="I1725" s="134">
        <v>71213</v>
      </c>
      <c r="J1725" s="18" t="s">
        <v>6205</v>
      </c>
      <c r="K1725" s="19" t="s">
        <v>6206</v>
      </c>
      <c r="L1725" s="18" t="s">
        <v>570</v>
      </c>
      <c r="M1725" s="18" t="s">
        <v>570</v>
      </c>
      <c r="N1725" s="18" t="s">
        <v>570</v>
      </c>
      <c r="O1725" s="18" t="s">
        <v>570</v>
      </c>
      <c r="P1725" s="466"/>
      <c r="Q1725" s="134"/>
      <c r="R1725" s="134"/>
      <c r="S1725" s="344"/>
      <c r="T1725" s="512" t="e">
        <f>_xlfn.XLOOKUP(H1725,#REF!,#REF!,0,0)</f>
        <v>#REF!</v>
      </c>
    </row>
    <row r="1726" spans="1:20" s="299" customFormat="1" ht="18" customHeight="1" x14ac:dyDescent="0.4">
      <c r="A1726" s="18" t="s">
        <v>6207</v>
      </c>
      <c r="B1726" s="18" t="s">
        <v>6208</v>
      </c>
      <c r="C1726" s="19" t="s">
        <v>433</v>
      </c>
      <c r="D1726" s="18" t="s">
        <v>693</v>
      </c>
      <c r="E1726" s="18" t="s">
        <v>10</v>
      </c>
      <c r="F1726" s="10" t="s">
        <v>5179</v>
      </c>
      <c r="G1726" s="18">
        <v>44595</v>
      </c>
      <c r="H1726" s="18" t="s">
        <v>6209</v>
      </c>
      <c r="I1726" s="134">
        <v>71214</v>
      </c>
      <c r="J1726" s="18" t="s">
        <v>6210</v>
      </c>
      <c r="K1726" s="19" t="s">
        <v>6211</v>
      </c>
      <c r="L1726" s="18" t="s">
        <v>570</v>
      </c>
      <c r="M1726" s="18" t="s">
        <v>570</v>
      </c>
      <c r="N1726" s="18" t="s">
        <v>570</v>
      </c>
      <c r="O1726" s="18" t="s">
        <v>570</v>
      </c>
      <c r="P1726" s="466"/>
      <c r="Q1726" s="134"/>
      <c r="R1726" s="134"/>
      <c r="S1726" s="344"/>
      <c r="T1726" s="512" t="e">
        <f>_xlfn.XLOOKUP(H1726,#REF!,#REF!,0,0)</f>
        <v>#REF!</v>
      </c>
    </row>
    <row r="1727" spans="1:20" s="299" customFormat="1" ht="18" customHeight="1" x14ac:dyDescent="0.4">
      <c r="A1727" s="18" t="s">
        <v>6212</v>
      </c>
      <c r="B1727" s="18" t="s">
        <v>6213</v>
      </c>
      <c r="C1727" s="19" t="s">
        <v>433</v>
      </c>
      <c r="D1727" s="18" t="s">
        <v>693</v>
      </c>
      <c r="E1727" s="18" t="s">
        <v>10</v>
      </c>
      <c r="F1727" s="10" t="s">
        <v>5179</v>
      </c>
      <c r="G1727" s="18">
        <v>44595</v>
      </c>
      <c r="H1727" s="18" t="s">
        <v>6214</v>
      </c>
      <c r="I1727" s="134">
        <v>71215</v>
      </c>
      <c r="J1727" s="18" t="s">
        <v>6215</v>
      </c>
      <c r="K1727" s="19" t="s">
        <v>6216</v>
      </c>
      <c r="L1727" s="18" t="s">
        <v>570</v>
      </c>
      <c r="M1727" s="18" t="s">
        <v>570</v>
      </c>
      <c r="N1727" s="18" t="s">
        <v>570</v>
      </c>
      <c r="O1727" s="18" t="s">
        <v>570</v>
      </c>
      <c r="P1727" s="466" t="s">
        <v>6217</v>
      </c>
      <c r="Q1727" s="134"/>
      <c r="R1727" s="134"/>
      <c r="S1727" s="344"/>
      <c r="T1727" s="512" t="e">
        <f>_xlfn.XLOOKUP(H1727,#REF!,#REF!,0,0)</f>
        <v>#REF!</v>
      </c>
    </row>
    <row r="1728" spans="1:20" s="299" customFormat="1" ht="18" customHeight="1" x14ac:dyDescent="0.4">
      <c r="A1728" s="18" t="s">
        <v>6218</v>
      </c>
      <c r="B1728" s="18" t="s">
        <v>6219</v>
      </c>
      <c r="C1728" s="19" t="s">
        <v>433</v>
      </c>
      <c r="D1728" s="18" t="s">
        <v>693</v>
      </c>
      <c r="E1728" s="18" t="s">
        <v>10</v>
      </c>
      <c r="F1728" s="10" t="s">
        <v>5179</v>
      </c>
      <c r="G1728" s="18">
        <v>44595</v>
      </c>
      <c r="H1728" s="18" t="s">
        <v>6220</v>
      </c>
      <c r="I1728" s="134">
        <v>71216</v>
      </c>
      <c r="J1728" s="18" t="s">
        <v>6221</v>
      </c>
      <c r="K1728" s="19" t="s">
        <v>6222</v>
      </c>
      <c r="L1728" s="18" t="s">
        <v>570</v>
      </c>
      <c r="M1728" s="18" t="s">
        <v>570</v>
      </c>
      <c r="N1728" s="18" t="s">
        <v>570</v>
      </c>
      <c r="O1728" s="18" t="s">
        <v>570</v>
      </c>
      <c r="P1728" s="466" t="s">
        <v>6182</v>
      </c>
      <c r="Q1728" s="134"/>
      <c r="R1728" s="134"/>
      <c r="S1728" s="344"/>
      <c r="T1728" s="512" t="e">
        <f>_xlfn.XLOOKUP(H1728,#REF!,#REF!,0,0)</f>
        <v>#REF!</v>
      </c>
    </row>
    <row r="1729" spans="1:20" s="299" customFormat="1" ht="18" customHeight="1" x14ac:dyDescent="0.4">
      <c r="A1729" s="18" t="s">
        <v>6223</v>
      </c>
      <c r="B1729" s="18" t="s">
        <v>6224</v>
      </c>
      <c r="C1729" s="19" t="s">
        <v>433</v>
      </c>
      <c r="D1729" s="18" t="s">
        <v>693</v>
      </c>
      <c r="E1729" s="18" t="s">
        <v>10</v>
      </c>
      <c r="F1729" s="10" t="s">
        <v>5179</v>
      </c>
      <c r="G1729" s="18">
        <v>44595</v>
      </c>
      <c r="H1729" s="18" t="s">
        <v>6225</v>
      </c>
      <c r="I1729" s="134">
        <v>71217</v>
      </c>
      <c r="J1729" s="18" t="s">
        <v>6226</v>
      </c>
      <c r="K1729" s="19" t="s">
        <v>6227</v>
      </c>
      <c r="L1729" s="18" t="s">
        <v>570</v>
      </c>
      <c r="M1729" s="18" t="s">
        <v>570</v>
      </c>
      <c r="N1729" s="18" t="s">
        <v>570</v>
      </c>
      <c r="O1729" s="18" t="s">
        <v>570</v>
      </c>
      <c r="P1729" s="466" t="s">
        <v>6228</v>
      </c>
      <c r="Q1729" s="134"/>
      <c r="R1729" s="134"/>
      <c r="S1729" s="344"/>
      <c r="T1729" s="512" t="e">
        <f>_xlfn.XLOOKUP(H1729,#REF!,#REF!,0,0)</f>
        <v>#REF!</v>
      </c>
    </row>
    <row r="1730" spans="1:20" s="299" customFormat="1" ht="18" customHeight="1" x14ac:dyDescent="0.4">
      <c r="A1730" s="18" t="s">
        <v>6229</v>
      </c>
      <c r="B1730" s="18" t="s">
        <v>6230</v>
      </c>
      <c r="C1730" s="19" t="s">
        <v>433</v>
      </c>
      <c r="D1730" s="18" t="s">
        <v>693</v>
      </c>
      <c r="E1730" s="18" t="s">
        <v>10</v>
      </c>
      <c r="F1730" s="10" t="s">
        <v>5179</v>
      </c>
      <c r="G1730" s="18">
        <v>44595</v>
      </c>
      <c r="H1730" s="18" t="s">
        <v>6231</v>
      </c>
      <c r="I1730" s="134">
        <v>71220</v>
      </c>
      <c r="J1730" s="18" t="s">
        <v>6232</v>
      </c>
      <c r="K1730" s="19" t="s">
        <v>6233</v>
      </c>
      <c r="L1730" s="18" t="s">
        <v>570</v>
      </c>
      <c r="M1730" s="18" t="s">
        <v>570</v>
      </c>
      <c r="N1730" s="18" t="s">
        <v>570</v>
      </c>
      <c r="O1730" s="18" t="s">
        <v>570</v>
      </c>
      <c r="P1730" s="466" t="s">
        <v>6234</v>
      </c>
      <c r="Q1730" s="134"/>
      <c r="R1730" s="134"/>
      <c r="S1730" s="344"/>
      <c r="T1730" s="512" t="e">
        <f>_xlfn.XLOOKUP(H1730,#REF!,#REF!,0,0)</f>
        <v>#REF!</v>
      </c>
    </row>
    <row r="1731" spans="1:20" s="299" customFormat="1" ht="18" customHeight="1" x14ac:dyDescent="0.4">
      <c r="A1731" s="18" t="s">
        <v>6235</v>
      </c>
      <c r="B1731" s="18" t="s">
        <v>6236</v>
      </c>
      <c r="C1731" s="19" t="s">
        <v>433</v>
      </c>
      <c r="D1731" s="18" t="s">
        <v>693</v>
      </c>
      <c r="E1731" s="18" t="s">
        <v>10</v>
      </c>
      <c r="F1731" s="10" t="s">
        <v>5179</v>
      </c>
      <c r="G1731" s="18">
        <v>44595</v>
      </c>
      <c r="H1731" s="18" t="s">
        <v>6237</v>
      </c>
      <c r="I1731" s="134">
        <v>71218</v>
      </c>
      <c r="J1731" s="18" t="s">
        <v>6238</v>
      </c>
      <c r="K1731" s="19" t="s">
        <v>6239</v>
      </c>
      <c r="L1731" s="18" t="s">
        <v>570</v>
      </c>
      <c r="M1731" s="18" t="s">
        <v>570</v>
      </c>
      <c r="N1731" s="18" t="s">
        <v>570</v>
      </c>
      <c r="O1731" s="18" t="s">
        <v>570</v>
      </c>
      <c r="P1731" s="466" t="s">
        <v>6182</v>
      </c>
      <c r="Q1731" s="134"/>
      <c r="R1731" s="134"/>
      <c r="S1731" s="344"/>
      <c r="T1731" s="512" t="e">
        <f>_xlfn.XLOOKUP(H1731,#REF!,#REF!,0,0)</f>
        <v>#REF!</v>
      </c>
    </row>
    <row r="1732" spans="1:20" s="505" customFormat="1" x14ac:dyDescent="0.4">
      <c r="A1732" s="215" t="s">
        <v>6240</v>
      </c>
      <c r="B1732" s="215" t="s">
        <v>6241</v>
      </c>
      <c r="C1732" s="215"/>
      <c r="D1732" s="215" t="s">
        <v>693</v>
      </c>
      <c r="E1732" s="215" t="s">
        <v>10</v>
      </c>
      <c r="F1732" s="214" t="s">
        <v>5179</v>
      </c>
      <c r="G1732" s="215">
        <v>44595</v>
      </c>
      <c r="H1732" s="215" t="s">
        <v>6242</v>
      </c>
      <c r="I1732" s="354">
        <v>71222</v>
      </c>
      <c r="J1732" s="215" t="s">
        <v>6243</v>
      </c>
      <c r="K1732" s="215">
        <v>44621</v>
      </c>
      <c r="L1732" s="215" t="s">
        <v>570</v>
      </c>
      <c r="M1732" s="215" t="s">
        <v>570</v>
      </c>
      <c r="N1732" s="215" t="s">
        <v>570</v>
      </c>
      <c r="O1732" s="215" t="s">
        <v>570</v>
      </c>
      <c r="P1732" s="464"/>
      <c r="Q1732" s="354"/>
      <c r="R1732" s="354"/>
      <c r="S1732" s="346"/>
      <c r="T1732" s="512" t="e">
        <f>_xlfn.XLOOKUP(H1732,#REF!,#REF!,0,0)</f>
        <v>#REF!</v>
      </c>
    </row>
    <row r="1733" spans="1:20" s="505" customFormat="1" x14ac:dyDescent="0.4">
      <c r="A1733" s="215" t="s">
        <v>6244</v>
      </c>
      <c r="B1733" s="215" t="s">
        <v>6245</v>
      </c>
      <c r="C1733" s="215"/>
      <c r="D1733" s="215" t="s">
        <v>693</v>
      </c>
      <c r="E1733" s="215" t="s">
        <v>3785</v>
      </c>
      <c r="F1733" s="214" t="s">
        <v>3072</v>
      </c>
      <c r="G1733" s="215"/>
      <c r="H1733" s="215" t="s">
        <v>247</v>
      </c>
      <c r="I1733" s="354">
        <v>69826</v>
      </c>
      <c r="J1733" s="215" t="s">
        <v>6246</v>
      </c>
      <c r="K1733" s="215">
        <v>44621</v>
      </c>
      <c r="L1733" s="215" t="s">
        <v>364</v>
      </c>
      <c r="M1733" s="215" t="s">
        <v>364</v>
      </c>
      <c r="N1733" s="215" t="s">
        <v>364</v>
      </c>
      <c r="O1733" s="215" t="s">
        <v>364</v>
      </c>
      <c r="P1733" s="464" t="s">
        <v>5255</v>
      </c>
      <c r="Q1733" s="354"/>
      <c r="R1733" s="354"/>
      <c r="S1733" s="346"/>
      <c r="T1733" s="512" t="e">
        <f>_xlfn.XLOOKUP(H1733,#REF!,#REF!,0,0)</f>
        <v>#REF!</v>
      </c>
    </row>
    <row r="1734" spans="1:20" s="505" customFormat="1" x14ac:dyDescent="0.4">
      <c r="A1734" s="215" t="s">
        <v>6247</v>
      </c>
      <c r="B1734" s="215" t="s">
        <v>6248</v>
      </c>
      <c r="C1734" s="215"/>
      <c r="D1734" s="215" t="s">
        <v>693</v>
      </c>
      <c r="E1734" s="215" t="s">
        <v>3785</v>
      </c>
      <c r="F1734" s="214" t="s">
        <v>3072</v>
      </c>
      <c r="G1734" s="215"/>
      <c r="H1734" s="215" t="s">
        <v>5502</v>
      </c>
      <c r="I1734" s="354">
        <v>69768</v>
      </c>
      <c r="J1734" s="215"/>
      <c r="K1734" s="215">
        <v>44621</v>
      </c>
      <c r="L1734" s="215" t="s">
        <v>364</v>
      </c>
      <c r="M1734" s="215" t="s">
        <v>364</v>
      </c>
      <c r="N1734" s="215" t="s">
        <v>364</v>
      </c>
      <c r="O1734" s="215" t="s">
        <v>364</v>
      </c>
      <c r="P1734" s="464" t="s">
        <v>5255</v>
      </c>
      <c r="Q1734" s="354"/>
      <c r="R1734" s="354"/>
      <c r="S1734" s="346"/>
      <c r="T1734" s="512" t="e">
        <f>_xlfn.XLOOKUP(H1734,#REF!,#REF!,0,0)</f>
        <v>#REF!</v>
      </c>
    </row>
    <row r="1735" spans="1:20" s="505" customFormat="1" x14ac:dyDescent="0.4">
      <c r="A1735" s="215" t="s">
        <v>6249</v>
      </c>
      <c r="B1735" s="215" t="s">
        <v>6250</v>
      </c>
      <c r="C1735" s="215"/>
      <c r="D1735" s="215" t="s">
        <v>693</v>
      </c>
      <c r="E1735" s="215" t="s">
        <v>3785</v>
      </c>
      <c r="F1735" s="214" t="s">
        <v>3072</v>
      </c>
      <c r="G1735" s="215"/>
      <c r="H1735" s="215" t="s">
        <v>252</v>
      </c>
      <c r="I1735" s="354">
        <v>70520</v>
      </c>
      <c r="J1735" s="215"/>
      <c r="K1735" s="215">
        <v>44621</v>
      </c>
      <c r="L1735" s="215" t="s">
        <v>364</v>
      </c>
      <c r="M1735" s="215" t="s">
        <v>364</v>
      </c>
      <c r="N1735" s="215" t="s">
        <v>364</v>
      </c>
      <c r="O1735" s="215" t="s">
        <v>364</v>
      </c>
      <c r="P1735" s="464" t="s">
        <v>6251</v>
      </c>
      <c r="Q1735" s="354"/>
      <c r="R1735" s="354"/>
      <c r="S1735" s="346"/>
      <c r="T1735" s="512" t="e">
        <f>_xlfn.XLOOKUP(H1735,#REF!,#REF!,0,0)</f>
        <v>#REF!</v>
      </c>
    </row>
    <row r="1736" spans="1:20" s="505" customFormat="1" x14ac:dyDescent="0.4">
      <c r="A1736" s="215" t="s">
        <v>6252</v>
      </c>
      <c r="B1736" s="215" t="s">
        <v>6253</v>
      </c>
      <c r="C1736" s="215"/>
      <c r="D1736" s="215" t="s">
        <v>693</v>
      </c>
      <c r="E1736" s="215" t="s">
        <v>3785</v>
      </c>
      <c r="F1736" s="214" t="s">
        <v>3072</v>
      </c>
      <c r="G1736" s="215"/>
      <c r="H1736" s="215" t="s">
        <v>6254</v>
      </c>
      <c r="I1736" s="354">
        <v>69786</v>
      </c>
      <c r="J1736" s="215"/>
      <c r="K1736" s="215">
        <v>44621</v>
      </c>
      <c r="L1736" s="215" t="s">
        <v>364</v>
      </c>
      <c r="M1736" s="215" t="s">
        <v>364</v>
      </c>
      <c r="N1736" s="215" t="s">
        <v>364</v>
      </c>
      <c r="O1736" s="215" t="s">
        <v>364</v>
      </c>
      <c r="P1736" s="464" t="s">
        <v>6251</v>
      </c>
      <c r="Q1736" s="354"/>
      <c r="R1736" s="354"/>
      <c r="S1736" s="346"/>
      <c r="T1736" s="512" t="e">
        <f>_xlfn.XLOOKUP(H1736,#REF!,#REF!,0,0)</f>
        <v>#REF!</v>
      </c>
    </row>
    <row r="1737" spans="1:20" s="505" customFormat="1" x14ac:dyDescent="0.4">
      <c r="A1737" s="215" t="s">
        <v>6255</v>
      </c>
      <c r="B1737" s="215" t="s">
        <v>6256</v>
      </c>
      <c r="C1737" s="215"/>
      <c r="D1737" s="215" t="s">
        <v>693</v>
      </c>
      <c r="E1737" s="215" t="s">
        <v>3785</v>
      </c>
      <c r="F1737" s="214" t="s">
        <v>3072</v>
      </c>
      <c r="G1737" s="215"/>
      <c r="H1737" s="215" t="s">
        <v>6257</v>
      </c>
      <c r="I1737" s="354">
        <v>69824</v>
      </c>
      <c r="J1737" s="215"/>
      <c r="K1737" s="215">
        <v>44621</v>
      </c>
      <c r="L1737" s="215" t="s">
        <v>364</v>
      </c>
      <c r="M1737" s="215" t="s">
        <v>364</v>
      </c>
      <c r="N1737" s="215" t="s">
        <v>364</v>
      </c>
      <c r="O1737" s="215" t="s">
        <v>364</v>
      </c>
      <c r="P1737" s="464" t="s">
        <v>6258</v>
      </c>
      <c r="Q1737" s="354"/>
      <c r="R1737" s="354"/>
      <c r="S1737" s="346"/>
      <c r="T1737" s="512" t="e">
        <f>_xlfn.XLOOKUP(H1737,#REF!,#REF!,0,0)</f>
        <v>#REF!</v>
      </c>
    </row>
    <row r="1738" spans="1:20" s="506" customFormat="1" x14ac:dyDescent="0.4">
      <c r="A1738" s="21" t="s">
        <v>6259</v>
      </c>
      <c r="B1738" s="21" t="s">
        <v>6260</v>
      </c>
      <c r="C1738" s="21"/>
      <c r="D1738" s="21" t="s">
        <v>693</v>
      </c>
      <c r="E1738" s="21" t="s">
        <v>3785</v>
      </c>
      <c r="F1738" s="22" t="s">
        <v>5909</v>
      </c>
      <c r="G1738" s="21"/>
      <c r="H1738" s="21" t="s">
        <v>6261</v>
      </c>
      <c r="I1738" s="353">
        <v>68441</v>
      </c>
      <c r="J1738" s="21"/>
      <c r="K1738" s="21">
        <v>44621</v>
      </c>
      <c r="L1738" s="21" t="s">
        <v>364</v>
      </c>
      <c r="M1738" s="21" t="s">
        <v>364</v>
      </c>
      <c r="N1738" s="21" t="s">
        <v>364</v>
      </c>
      <c r="O1738" s="21" t="s">
        <v>364</v>
      </c>
      <c r="P1738" s="465" t="s">
        <v>6262</v>
      </c>
      <c r="Q1738" s="353"/>
      <c r="R1738" s="353"/>
      <c r="S1738" s="345"/>
      <c r="T1738" s="512" t="e">
        <f>_xlfn.XLOOKUP(H1738,#REF!,#REF!,0,0)</f>
        <v>#REF!</v>
      </c>
    </row>
    <row r="1739" spans="1:20" s="506" customFormat="1" x14ac:dyDescent="0.4">
      <c r="A1739" s="21" t="s">
        <v>6263</v>
      </c>
      <c r="B1739" s="21" t="s">
        <v>6264</v>
      </c>
      <c r="C1739" s="21"/>
      <c r="D1739" s="21" t="s">
        <v>693</v>
      </c>
      <c r="E1739" s="21" t="s">
        <v>3785</v>
      </c>
      <c r="F1739" s="22" t="s">
        <v>5909</v>
      </c>
      <c r="G1739" s="21"/>
      <c r="H1739" s="21" t="s">
        <v>6265</v>
      </c>
      <c r="I1739" s="353">
        <v>69860</v>
      </c>
      <c r="J1739" s="21"/>
      <c r="K1739" s="21">
        <v>44621</v>
      </c>
      <c r="L1739" s="21" t="s">
        <v>364</v>
      </c>
      <c r="M1739" s="21" t="s">
        <v>364</v>
      </c>
      <c r="N1739" s="21" t="s">
        <v>364</v>
      </c>
      <c r="O1739" s="21" t="s">
        <v>364</v>
      </c>
      <c r="P1739" s="465" t="s">
        <v>6262</v>
      </c>
      <c r="Q1739" s="353"/>
      <c r="R1739" s="353"/>
      <c r="S1739" s="345"/>
      <c r="T1739" s="512" t="e">
        <f>_xlfn.XLOOKUP(H1739,#REF!,#REF!,0,0)</f>
        <v>#REF!</v>
      </c>
    </row>
    <row r="1740" spans="1:20" s="506" customFormat="1" x14ac:dyDescent="0.4">
      <c r="A1740" s="21" t="s">
        <v>6266</v>
      </c>
      <c r="B1740" s="21" t="s">
        <v>6267</v>
      </c>
      <c r="C1740" s="21"/>
      <c r="D1740" s="21" t="s">
        <v>693</v>
      </c>
      <c r="E1740" s="21" t="s">
        <v>3785</v>
      </c>
      <c r="F1740" s="22" t="s">
        <v>5909</v>
      </c>
      <c r="G1740" s="21"/>
      <c r="H1740" s="21" t="s">
        <v>142</v>
      </c>
      <c r="I1740" s="353">
        <v>68427</v>
      </c>
      <c r="J1740" s="21"/>
      <c r="K1740" s="21">
        <v>44621</v>
      </c>
      <c r="L1740" s="21" t="s">
        <v>364</v>
      </c>
      <c r="M1740" s="21" t="s">
        <v>364</v>
      </c>
      <c r="N1740" s="21" t="s">
        <v>364</v>
      </c>
      <c r="O1740" s="21" t="s">
        <v>364</v>
      </c>
      <c r="P1740" s="465" t="s">
        <v>6262</v>
      </c>
      <c r="Q1740" s="353"/>
      <c r="R1740" s="353"/>
      <c r="S1740" s="345"/>
      <c r="T1740" s="512" t="e">
        <f>_xlfn.XLOOKUP(H1740,#REF!,#REF!,0,0)</f>
        <v>#REF!</v>
      </c>
    </row>
    <row r="1741" spans="1:20" s="299" customFormat="1" ht="18" customHeight="1" x14ac:dyDescent="0.4">
      <c r="A1741" s="18" t="s">
        <v>6268</v>
      </c>
      <c r="B1741" s="18" t="s">
        <v>6269</v>
      </c>
      <c r="C1741" s="19" t="s">
        <v>433</v>
      </c>
      <c r="D1741" s="18" t="s">
        <v>693</v>
      </c>
      <c r="E1741" s="18" t="s">
        <v>10</v>
      </c>
      <c r="F1741" s="10" t="s">
        <v>5179</v>
      </c>
      <c r="G1741" s="18">
        <v>44595</v>
      </c>
      <c r="H1741" s="18" t="s">
        <v>287</v>
      </c>
      <c r="I1741" s="134">
        <v>71219</v>
      </c>
      <c r="J1741" s="18" t="s">
        <v>6270</v>
      </c>
      <c r="K1741" s="18" t="s">
        <v>6271</v>
      </c>
      <c r="L1741" s="18" t="s">
        <v>570</v>
      </c>
      <c r="M1741" s="18" t="s">
        <v>570</v>
      </c>
      <c r="N1741" s="18" t="s">
        <v>570</v>
      </c>
      <c r="O1741" s="18" t="s">
        <v>570</v>
      </c>
      <c r="P1741" s="466" t="s">
        <v>6182</v>
      </c>
      <c r="Q1741" s="134"/>
      <c r="R1741" s="134"/>
      <c r="S1741" s="344"/>
      <c r="T1741" s="512" t="e">
        <f>_xlfn.XLOOKUP(H1741,#REF!,#REF!,0,0)</f>
        <v>#REF!</v>
      </c>
    </row>
    <row r="1742" spans="1:20" s="505" customFormat="1" x14ac:dyDescent="0.4">
      <c r="A1742" s="215" t="s">
        <v>6272</v>
      </c>
      <c r="B1742" s="215" t="s">
        <v>6273</v>
      </c>
      <c r="C1742" s="215"/>
      <c r="D1742" s="215" t="s">
        <v>693</v>
      </c>
      <c r="E1742" s="215" t="s">
        <v>10</v>
      </c>
      <c r="F1742" s="214" t="s">
        <v>5179</v>
      </c>
      <c r="G1742" s="215">
        <v>44595</v>
      </c>
      <c r="H1742" s="215" t="s">
        <v>6274</v>
      </c>
      <c r="I1742" s="354">
        <v>71221</v>
      </c>
      <c r="J1742" s="215" t="s">
        <v>6275</v>
      </c>
      <c r="K1742" s="215">
        <v>44635</v>
      </c>
      <c r="L1742" s="215" t="s">
        <v>364</v>
      </c>
      <c r="M1742" s="215" t="s">
        <v>364</v>
      </c>
      <c r="N1742" s="215" t="s">
        <v>364</v>
      </c>
      <c r="O1742" s="215" t="s">
        <v>364</v>
      </c>
      <c r="P1742" s="464"/>
      <c r="Q1742" s="354"/>
      <c r="R1742" s="354"/>
      <c r="S1742" s="346"/>
      <c r="T1742" s="512" t="e">
        <f>_xlfn.XLOOKUP(H1742,#REF!,#REF!,0,0)</f>
        <v>#REF!</v>
      </c>
    </row>
    <row r="1743" spans="1:20" s="299" customFormat="1" ht="18" customHeight="1" x14ac:dyDescent="0.4">
      <c r="A1743" s="18" t="s">
        <v>6276</v>
      </c>
      <c r="B1743" s="18" t="s">
        <v>6277</v>
      </c>
      <c r="C1743" s="19" t="s">
        <v>433</v>
      </c>
      <c r="D1743" s="18" t="s">
        <v>693</v>
      </c>
      <c r="E1743" s="18" t="s">
        <v>3785</v>
      </c>
      <c r="F1743" s="10" t="s">
        <v>3072</v>
      </c>
      <c r="G1743" s="18"/>
      <c r="H1743" s="18" t="s">
        <v>2841</v>
      </c>
      <c r="I1743" s="134">
        <v>68353</v>
      </c>
      <c r="J1743" s="18"/>
      <c r="K1743" s="18">
        <v>44627</v>
      </c>
      <c r="L1743" s="18" t="s">
        <v>364</v>
      </c>
      <c r="M1743" s="18" t="s">
        <v>364</v>
      </c>
      <c r="N1743" s="18" t="s">
        <v>364</v>
      </c>
      <c r="O1743" s="18" t="s">
        <v>364</v>
      </c>
      <c r="P1743" s="466" t="s">
        <v>6278</v>
      </c>
      <c r="Q1743" s="134"/>
      <c r="R1743" s="134"/>
      <c r="S1743" s="344"/>
      <c r="T1743" s="512" t="e">
        <f>_xlfn.XLOOKUP(H1743,#REF!,#REF!,0,0)</f>
        <v>#REF!</v>
      </c>
    </row>
    <row r="1744" spans="1:20" s="506" customFormat="1" x14ac:dyDescent="0.4">
      <c r="A1744" s="21" t="s">
        <v>6279</v>
      </c>
      <c r="B1744" s="21" t="s">
        <v>6280</v>
      </c>
      <c r="C1744" s="21"/>
      <c r="D1744" s="21" t="s">
        <v>693</v>
      </c>
      <c r="E1744" s="21" t="s">
        <v>3785</v>
      </c>
      <c r="F1744" s="22" t="s">
        <v>5909</v>
      </c>
      <c r="G1744" s="21"/>
      <c r="H1744" s="21" t="s">
        <v>1059</v>
      </c>
      <c r="I1744" s="353">
        <v>69630</v>
      </c>
      <c r="J1744" s="21"/>
      <c r="K1744" s="21">
        <v>44629</v>
      </c>
      <c r="L1744" s="21" t="s">
        <v>364</v>
      </c>
      <c r="M1744" s="21" t="s">
        <v>364</v>
      </c>
      <c r="N1744" s="21" t="s">
        <v>364</v>
      </c>
      <c r="O1744" s="21" t="s">
        <v>364</v>
      </c>
      <c r="P1744" s="465"/>
      <c r="Q1744" s="353"/>
      <c r="R1744" s="353"/>
      <c r="S1744" s="345"/>
      <c r="T1744" s="512" t="e">
        <f>_xlfn.XLOOKUP(H1744,#REF!,#REF!,0,0)</f>
        <v>#REF!</v>
      </c>
    </row>
    <row r="1745" spans="1:20" s="506" customFormat="1" x14ac:dyDescent="0.4">
      <c r="A1745" s="21" t="s">
        <v>6281</v>
      </c>
      <c r="B1745" s="21" t="s">
        <v>6282</v>
      </c>
      <c r="C1745" s="21"/>
      <c r="D1745" s="21" t="s">
        <v>693</v>
      </c>
      <c r="E1745" s="21" t="s">
        <v>3785</v>
      </c>
      <c r="F1745" s="22" t="s">
        <v>3072</v>
      </c>
      <c r="G1745" s="21"/>
      <c r="H1745" s="21" t="s">
        <v>2781</v>
      </c>
      <c r="I1745" s="353">
        <v>68234</v>
      </c>
      <c r="J1745" s="21"/>
      <c r="K1745" s="21">
        <v>44629</v>
      </c>
      <c r="L1745" s="21" t="s">
        <v>364</v>
      </c>
      <c r="M1745" s="21" t="s">
        <v>364</v>
      </c>
      <c r="N1745" s="21" t="s">
        <v>364</v>
      </c>
      <c r="O1745" s="21" t="s">
        <v>364</v>
      </c>
      <c r="P1745" s="465" t="s">
        <v>6283</v>
      </c>
      <c r="Q1745" s="353"/>
      <c r="R1745" s="353"/>
      <c r="S1745" s="345"/>
      <c r="T1745" s="512" t="e">
        <f>_xlfn.XLOOKUP(H1745,#REF!,#REF!,0,0)</f>
        <v>#REF!</v>
      </c>
    </row>
    <row r="1746" spans="1:20" s="506" customFormat="1" x14ac:dyDescent="0.4">
      <c r="A1746" s="21" t="s">
        <v>6284</v>
      </c>
      <c r="B1746" s="21" t="s">
        <v>6285</v>
      </c>
      <c r="C1746" s="21"/>
      <c r="D1746" s="21" t="s">
        <v>693</v>
      </c>
      <c r="E1746" s="21" t="s">
        <v>10</v>
      </c>
      <c r="F1746" s="22" t="s">
        <v>6286</v>
      </c>
      <c r="G1746" s="21"/>
      <c r="H1746" s="21" t="s">
        <v>6287</v>
      </c>
      <c r="I1746" s="353">
        <v>69732</v>
      </c>
      <c r="J1746" s="21"/>
      <c r="K1746" s="21">
        <v>44652</v>
      </c>
      <c r="L1746" s="21" t="s">
        <v>570</v>
      </c>
      <c r="M1746" s="21" t="s">
        <v>570</v>
      </c>
      <c r="N1746" s="21" t="s">
        <v>570</v>
      </c>
      <c r="O1746" s="21" t="s">
        <v>570</v>
      </c>
      <c r="P1746" s="465" t="s">
        <v>6288</v>
      </c>
      <c r="Q1746" s="353"/>
      <c r="R1746" s="353"/>
      <c r="S1746" s="345"/>
      <c r="T1746" s="512" t="e">
        <f>_xlfn.XLOOKUP(H1746,#REF!,#REF!,0,0)</f>
        <v>#REF!</v>
      </c>
    </row>
    <row r="1747" spans="1:20" s="506" customFormat="1" x14ac:dyDescent="0.4">
      <c r="A1747" s="21" t="s">
        <v>6289</v>
      </c>
      <c r="B1747" s="21" t="s">
        <v>6290</v>
      </c>
      <c r="C1747" s="21"/>
      <c r="D1747" s="21" t="s">
        <v>693</v>
      </c>
      <c r="E1747" s="21" t="s">
        <v>3785</v>
      </c>
      <c r="F1747" s="22" t="s">
        <v>5909</v>
      </c>
      <c r="G1747" s="21"/>
      <c r="H1747" s="21" t="s">
        <v>205</v>
      </c>
      <c r="I1747" s="353">
        <v>69432</v>
      </c>
      <c r="J1747" s="21"/>
      <c r="K1747" s="21">
        <v>44635</v>
      </c>
      <c r="L1747" s="21" t="s">
        <v>364</v>
      </c>
      <c r="M1747" s="21" t="s">
        <v>364</v>
      </c>
      <c r="N1747" s="21" t="s">
        <v>364</v>
      </c>
      <c r="O1747" s="21" t="s">
        <v>364</v>
      </c>
      <c r="P1747" s="465" t="s">
        <v>6291</v>
      </c>
      <c r="Q1747" s="353"/>
      <c r="R1747" s="353"/>
      <c r="S1747" s="345"/>
      <c r="T1747" s="512" t="e">
        <f>_xlfn.XLOOKUP(H1747,#REF!,#REF!,0,0)</f>
        <v>#REF!</v>
      </c>
    </row>
    <row r="1748" spans="1:20" s="299" customFormat="1" ht="18" customHeight="1" x14ac:dyDescent="0.4">
      <c r="A1748" s="18" t="s">
        <v>6292</v>
      </c>
      <c r="B1748" s="18" t="s">
        <v>6293</v>
      </c>
      <c r="C1748" s="19" t="s">
        <v>433</v>
      </c>
      <c r="D1748" s="18" t="s">
        <v>693</v>
      </c>
      <c r="E1748" s="18" t="s">
        <v>10</v>
      </c>
      <c r="F1748" s="10" t="s">
        <v>6286</v>
      </c>
      <c r="G1748" s="18"/>
      <c r="H1748" s="372" t="s">
        <v>169</v>
      </c>
      <c r="I1748" s="134">
        <v>69190</v>
      </c>
      <c r="J1748" s="18"/>
      <c r="K1748" s="18">
        <v>44641</v>
      </c>
      <c r="L1748" s="18" t="s">
        <v>364</v>
      </c>
      <c r="M1748" s="18" t="s">
        <v>364</v>
      </c>
      <c r="N1748" s="18" t="s">
        <v>364</v>
      </c>
      <c r="O1748" s="18" t="s">
        <v>364</v>
      </c>
      <c r="P1748" s="466" t="s">
        <v>6294</v>
      </c>
      <c r="Q1748" s="134"/>
      <c r="R1748" s="134"/>
      <c r="S1748" s="344"/>
      <c r="T1748" s="512" t="e">
        <f>_xlfn.XLOOKUP(H1748,#REF!,#REF!,0,0)</f>
        <v>#REF!</v>
      </c>
    </row>
    <row r="1749" spans="1:20" s="299" customFormat="1" ht="18" customHeight="1" x14ac:dyDescent="0.4">
      <c r="A1749" s="18" t="s">
        <v>6295</v>
      </c>
      <c r="B1749" s="18" t="s">
        <v>6296</v>
      </c>
      <c r="C1749" s="19" t="s">
        <v>433</v>
      </c>
      <c r="D1749" s="18" t="s">
        <v>693</v>
      </c>
      <c r="E1749" s="18" t="s">
        <v>10</v>
      </c>
      <c r="F1749" s="10" t="s">
        <v>5179</v>
      </c>
      <c r="G1749" s="18">
        <v>44595</v>
      </c>
      <c r="H1749" s="18" t="s">
        <v>288</v>
      </c>
      <c r="I1749" s="134">
        <v>71223</v>
      </c>
      <c r="J1749" s="18" t="s">
        <v>6297</v>
      </c>
      <c r="K1749" s="18"/>
      <c r="L1749" s="18" t="s">
        <v>364</v>
      </c>
      <c r="M1749" s="18" t="s">
        <v>364</v>
      </c>
      <c r="N1749" s="18" t="s">
        <v>364</v>
      </c>
      <c r="O1749" s="18" t="s">
        <v>364</v>
      </c>
      <c r="P1749" s="466"/>
      <c r="Q1749" s="134"/>
      <c r="R1749" s="134"/>
      <c r="S1749" s="344"/>
      <c r="T1749" s="512" t="e">
        <f>_xlfn.XLOOKUP(H1749,#REF!,#REF!,0,0)</f>
        <v>#REF!</v>
      </c>
    </row>
    <row r="1750" spans="1:20" s="299" customFormat="1" ht="18" customHeight="1" x14ac:dyDescent="0.4">
      <c r="A1750" s="18" t="s">
        <v>6298</v>
      </c>
      <c r="B1750" s="18" t="s">
        <v>6299</v>
      </c>
      <c r="C1750" s="19" t="s">
        <v>433</v>
      </c>
      <c r="D1750" s="18" t="s">
        <v>693</v>
      </c>
      <c r="E1750" s="18" t="s">
        <v>10</v>
      </c>
      <c r="F1750" s="10" t="s">
        <v>5179</v>
      </c>
      <c r="G1750" s="18">
        <v>44595</v>
      </c>
      <c r="H1750" s="18" t="s">
        <v>6300</v>
      </c>
      <c r="I1750" s="134">
        <v>71227</v>
      </c>
      <c r="J1750" s="18" t="s">
        <v>6301</v>
      </c>
      <c r="K1750" s="18" t="s">
        <v>6302</v>
      </c>
      <c r="L1750" s="18" t="s">
        <v>364</v>
      </c>
      <c r="M1750" s="18" t="s">
        <v>364</v>
      </c>
      <c r="N1750" s="18" t="s">
        <v>364</v>
      </c>
      <c r="O1750" s="18" t="s">
        <v>364</v>
      </c>
      <c r="P1750" s="466" t="s">
        <v>6303</v>
      </c>
      <c r="Q1750" s="134"/>
      <c r="R1750" s="134"/>
      <c r="S1750" s="344"/>
      <c r="T1750" s="512" t="e">
        <f>_xlfn.XLOOKUP(H1750,#REF!,#REF!,0,0)</f>
        <v>#REF!</v>
      </c>
    </row>
    <row r="1751" spans="1:20" s="507" customFormat="1" x14ac:dyDescent="0.4">
      <c r="A1751" s="25" t="s">
        <v>6304</v>
      </c>
      <c r="B1751" s="25" t="s">
        <v>6305</v>
      </c>
      <c r="C1751" s="25"/>
      <c r="D1751" s="25" t="s">
        <v>693</v>
      </c>
      <c r="E1751" s="25" t="s">
        <v>10</v>
      </c>
      <c r="F1751" s="24" t="s">
        <v>5179</v>
      </c>
      <c r="G1751" s="25">
        <v>44595</v>
      </c>
      <c r="H1751" s="25" t="s">
        <v>6306</v>
      </c>
      <c r="I1751" s="264">
        <v>71225</v>
      </c>
      <c r="J1751" s="25" t="s">
        <v>6307</v>
      </c>
      <c r="K1751" s="25">
        <v>44652</v>
      </c>
      <c r="L1751" s="25" t="s">
        <v>570</v>
      </c>
      <c r="M1751" s="25" t="s">
        <v>570</v>
      </c>
      <c r="N1751" s="25" t="s">
        <v>570</v>
      </c>
      <c r="O1751" s="25" t="s">
        <v>570</v>
      </c>
      <c r="P1751" s="467" t="s">
        <v>6308</v>
      </c>
      <c r="Q1751" s="264"/>
      <c r="R1751" s="264"/>
      <c r="S1751" s="343"/>
      <c r="T1751" s="512" t="e">
        <f>_xlfn.XLOOKUP(H1751,#REF!,#REF!,0,0)</f>
        <v>#REF!</v>
      </c>
    </row>
    <row r="1752" spans="1:20" s="507" customFormat="1" x14ac:dyDescent="0.4">
      <c r="A1752" s="25" t="s">
        <v>6309</v>
      </c>
      <c r="B1752" s="25" t="s">
        <v>6310</v>
      </c>
      <c r="C1752" s="25"/>
      <c r="D1752" s="25" t="s">
        <v>693</v>
      </c>
      <c r="E1752" s="25" t="s">
        <v>10</v>
      </c>
      <c r="F1752" s="24" t="s">
        <v>5179</v>
      </c>
      <c r="G1752" s="25">
        <v>44595</v>
      </c>
      <c r="H1752" s="25" t="s">
        <v>6311</v>
      </c>
      <c r="I1752" s="264">
        <v>71226</v>
      </c>
      <c r="J1752" s="25" t="s">
        <v>6312</v>
      </c>
      <c r="K1752" s="25">
        <v>44652</v>
      </c>
      <c r="L1752" s="25" t="s">
        <v>364</v>
      </c>
      <c r="M1752" s="25" t="s">
        <v>364</v>
      </c>
      <c r="N1752" s="25" t="s">
        <v>364</v>
      </c>
      <c r="O1752" s="25" t="s">
        <v>364</v>
      </c>
      <c r="P1752" s="467" t="s">
        <v>6313</v>
      </c>
      <c r="Q1752" s="264"/>
      <c r="R1752" s="264"/>
      <c r="S1752" s="343"/>
      <c r="T1752" s="512" t="e">
        <f>_xlfn.XLOOKUP(H1752,#REF!,#REF!,0,0)</f>
        <v>#REF!</v>
      </c>
    </row>
    <row r="1753" spans="1:20" s="507" customFormat="1" x14ac:dyDescent="0.4">
      <c r="A1753" s="25" t="s">
        <v>6314</v>
      </c>
      <c r="B1753" s="25" t="s">
        <v>6315</v>
      </c>
      <c r="C1753" s="25"/>
      <c r="D1753" s="25" t="s">
        <v>693</v>
      </c>
      <c r="E1753" s="25" t="s">
        <v>10</v>
      </c>
      <c r="F1753" s="24" t="s">
        <v>3072</v>
      </c>
      <c r="G1753" s="25">
        <v>44649</v>
      </c>
      <c r="H1753" s="25" t="s">
        <v>302</v>
      </c>
      <c r="I1753" s="264">
        <v>72241</v>
      </c>
      <c r="J1753" s="25" t="s">
        <v>6316</v>
      </c>
      <c r="K1753" s="25">
        <v>44652</v>
      </c>
      <c r="L1753" s="25" t="s">
        <v>570</v>
      </c>
      <c r="M1753" s="25" t="s">
        <v>570</v>
      </c>
      <c r="N1753" s="25" t="s">
        <v>570</v>
      </c>
      <c r="O1753" s="25" t="s">
        <v>570</v>
      </c>
      <c r="P1753" s="467" t="s">
        <v>6313</v>
      </c>
      <c r="Q1753" s="264"/>
      <c r="R1753" s="264"/>
      <c r="S1753" s="343"/>
      <c r="T1753" s="512" t="e">
        <f>_xlfn.XLOOKUP(H1753,#REF!,#REF!,0,0)</f>
        <v>#REF!</v>
      </c>
    </row>
    <row r="1754" spans="1:20" s="507" customFormat="1" x14ac:dyDescent="0.4">
      <c r="A1754" s="25" t="s">
        <v>6317</v>
      </c>
      <c r="B1754" s="25" t="s">
        <v>6318</v>
      </c>
      <c r="C1754" s="25"/>
      <c r="D1754" s="25" t="s">
        <v>693</v>
      </c>
      <c r="E1754" s="25" t="s">
        <v>10</v>
      </c>
      <c r="F1754" s="24" t="s">
        <v>3072</v>
      </c>
      <c r="G1754" s="25">
        <v>44649</v>
      </c>
      <c r="H1754" s="25" t="s">
        <v>6319</v>
      </c>
      <c r="I1754" s="264">
        <v>72242</v>
      </c>
      <c r="J1754" s="25" t="s">
        <v>6320</v>
      </c>
      <c r="K1754" s="25">
        <v>44652</v>
      </c>
      <c r="L1754" s="25" t="s">
        <v>570</v>
      </c>
      <c r="M1754" s="25" t="s">
        <v>570</v>
      </c>
      <c r="N1754" s="25" t="s">
        <v>570</v>
      </c>
      <c r="O1754" s="25" t="s">
        <v>570</v>
      </c>
      <c r="P1754" s="467" t="s">
        <v>6321</v>
      </c>
      <c r="Q1754" s="264"/>
      <c r="R1754" s="264"/>
      <c r="S1754" s="343"/>
      <c r="T1754" s="512" t="e">
        <f>_xlfn.XLOOKUP(H1754,#REF!,#REF!,0,0)</f>
        <v>#REF!</v>
      </c>
    </row>
    <row r="1755" spans="1:20" s="507" customFormat="1" x14ac:dyDescent="0.4">
      <c r="A1755" s="25" t="s">
        <v>6322</v>
      </c>
      <c r="B1755" s="25" t="s">
        <v>6323</v>
      </c>
      <c r="C1755" s="25"/>
      <c r="D1755" s="25" t="s">
        <v>693</v>
      </c>
      <c r="E1755" s="25" t="s">
        <v>10</v>
      </c>
      <c r="F1755" s="24" t="s">
        <v>3072</v>
      </c>
      <c r="G1755" s="25">
        <v>44649</v>
      </c>
      <c r="H1755" s="25" t="s">
        <v>6324</v>
      </c>
      <c r="I1755" s="264">
        <v>72240</v>
      </c>
      <c r="J1755" s="25" t="s">
        <v>6325</v>
      </c>
      <c r="K1755" s="25">
        <v>44662</v>
      </c>
      <c r="L1755" s="25" t="s">
        <v>570</v>
      </c>
      <c r="M1755" s="25" t="s">
        <v>570</v>
      </c>
      <c r="N1755" s="25" t="s">
        <v>570</v>
      </c>
      <c r="O1755" s="25" t="s">
        <v>570</v>
      </c>
      <c r="P1755" s="467" t="s">
        <v>6326</v>
      </c>
      <c r="Q1755" s="264"/>
      <c r="R1755" s="264"/>
      <c r="S1755" s="343"/>
      <c r="T1755" s="512" t="e">
        <f>_xlfn.XLOOKUP(H1755,#REF!,#REF!,0,0)</f>
        <v>#REF!</v>
      </c>
    </row>
    <row r="1756" spans="1:20" s="507" customFormat="1" x14ac:dyDescent="0.4">
      <c r="A1756" s="25" t="s">
        <v>6327</v>
      </c>
      <c r="B1756" s="25" t="s">
        <v>6328</v>
      </c>
      <c r="C1756" s="25"/>
      <c r="D1756" s="25" t="s">
        <v>693</v>
      </c>
      <c r="E1756" s="25" t="s">
        <v>10</v>
      </c>
      <c r="F1756" s="24" t="s">
        <v>5179</v>
      </c>
      <c r="G1756" s="25">
        <v>44595</v>
      </c>
      <c r="H1756" s="25" t="s">
        <v>6329</v>
      </c>
      <c r="I1756" s="264">
        <v>71224</v>
      </c>
      <c r="J1756" s="25" t="s">
        <v>6330</v>
      </c>
      <c r="K1756" s="25">
        <v>44652</v>
      </c>
      <c r="L1756" s="25" t="s">
        <v>570</v>
      </c>
      <c r="M1756" s="25" t="s">
        <v>570</v>
      </c>
      <c r="N1756" s="25" t="s">
        <v>570</v>
      </c>
      <c r="O1756" s="25" t="s">
        <v>570</v>
      </c>
      <c r="P1756" s="467" t="s">
        <v>5589</v>
      </c>
      <c r="Q1756" s="264"/>
      <c r="R1756" s="264"/>
      <c r="S1756" s="343"/>
      <c r="T1756" s="512" t="e">
        <f>_xlfn.XLOOKUP(H1756,#REF!,#REF!,0,0)</f>
        <v>#REF!</v>
      </c>
    </row>
    <row r="1757" spans="1:20" s="506" customFormat="1" x14ac:dyDescent="0.4">
      <c r="A1757" s="21" t="s">
        <v>6331</v>
      </c>
      <c r="B1757" s="21" t="s">
        <v>6332</v>
      </c>
      <c r="C1757" s="21"/>
      <c r="D1757" s="21" t="s">
        <v>693</v>
      </c>
      <c r="E1757" s="21" t="s">
        <v>10</v>
      </c>
      <c r="F1757" s="22" t="s">
        <v>3072</v>
      </c>
      <c r="G1757" s="21"/>
      <c r="H1757" s="21" t="s">
        <v>6333</v>
      </c>
      <c r="I1757" s="353">
        <v>70940</v>
      </c>
      <c r="J1757" s="21" t="s">
        <v>6334</v>
      </c>
      <c r="K1757" s="21">
        <v>44655</v>
      </c>
      <c r="L1757" s="21" t="s">
        <v>570</v>
      </c>
      <c r="M1757" s="21" t="s">
        <v>570</v>
      </c>
      <c r="N1757" s="21" t="s">
        <v>570</v>
      </c>
      <c r="O1757" s="21" t="s">
        <v>570</v>
      </c>
      <c r="P1757" s="465" t="s">
        <v>5255</v>
      </c>
      <c r="Q1757" s="353"/>
      <c r="R1757" s="353"/>
      <c r="S1757" s="345"/>
      <c r="T1757" s="512" t="e">
        <f>_xlfn.XLOOKUP(H1757,#REF!,#REF!,0,0)</f>
        <v>#REF!</v>
      </c>
    </row>
    <row r="1758" spans="1:20" s="299" customFormat="1" ht="18" customHeight="1" x14ac:dyDescent="0.4">
      <c r="A1758" s="18" t="s">
        <v>6335</v>
      </c>
      <c r="B1758" s="18" t="s">
        <v>6336</v>
      </c>
      <c r="C1758" s="19" t="s">
        <v>433</v>
      </c>
      <c r="D1758" s="18" t="s">
        <v>693</v>
      </c>
      <c r="E1758" s="18" t="s">
        <v>10</v>
      </c>
      <c r="F1758" s="10" t="s">
        <v>5179</v>
      </c>
      <c r="G1758" s="18">
        <v>44595</v>
      </c>
      <c r="H1758" s="18" t="s">
        <v>6337</v>
      </c>
      <c r="I1758" s="134">
        <v>71228</v>
      </c>
      <c r="J1758" s="18" t="s">
        <v>6338</v>
      </c>
      <c r="K1758" s="18">
        <v>44656</v>
      </c>
      <c r="L1758" s="18" t="s">
        <v>570</v>
      </c>
      <c r="M1758" s="18" t="s">
        <v>570</v>
      </c>
      <c r="N1758" s="18" t="s">
        <v>570</v>
      </c>
      <c r="O1758" s="18" t="s">
        <v>570</v>
      </c>
      <c r="P1758" s="466"/>
      <c r="Q1758" s="134"/>
      <c r="R1758" s="134"/>
      <c r="S1758" s="344"/>
      <c r="T1758" s="512" t="e">
        <f>_xlfn.XLOOKUP(H1758,#REF!,#REF!,0,0)</f>
        <v>#REF!</v>
      </c>
    </row>
    <row r="1759" spans="1:20" s="299" customFormat="1" ht="18" customHeight="1" x14ac:dyDescent="0.4">
      <c r="A1759" s="18" t="s">
        <v>6339</v>
      </c>
      <c r="B1759" s="18" t="s">
        <v>6340</v>
      </c>
      <c r="C1759" s="19" t="s">
        <v>433</v>
      </c>
      <c r="D1759" s="18" t="s">
        <v>693</v>
      </c>
      <c r="E1759" s="18" t="s">
        <v>10</v>
      </c>
      <c r="F1759" s="10" t="s">
        <v>3072</v>
      </c>
      <c r="G1759" s="18">
        <v>44649</v>
      </c>
      <c r="H1759" s="18" t="s">
        <v>6341</v>
      </c>
      <c r="I1759" s="134">
        <v>72244</v>
      </c>
      <c r="J1759" s="18" t="s">
        <v>6342</v>
      </c>
      <c r="K1759" s="18" t="s">
        <v>6343</v>
      </c>
      <c r="L1759" s="18" t="s">
        <v>570</v>
      </c>
      <c r="M1759" s="18" t="s">
        <v>570</v>
      </c>
      <c r="N1759" s="18" t="s">
        <v>570</v>
      </c>
      <c r="O1759" s="18" t="s">
        <v>570</v>
      </c>
      <c r="P1759" s="466" t="s">
        <v>6344</v>
      </c>
      <c r="Q1759" s="134"/>
      <c r="R1759" s="134"/>
      <c r="S1759" s="344"/>
      <c r="T1759" s="512" t="e">
        <f>_xlfn.XLOOKUP(H1759,#REF!,#REF!,0,0)</f>
        <v>#REF!</v>
      </c>
    </row>
    <row r="1760" spans="1:20" s="299" customFormat="1" ht="18" customHeight="1" x14ac:dyDescent="0.4">
      <c r="A1760" s="18" t="s">
        <v>6345</v>
      </c>
      <c r="B1760" s="18" t="s">
        <v>6346</v>
      </c>
      <c r="C1760" s="19" t="s">
        <v>433</v>
      </c>
      <c r="D1760" s="18" t="s">
        <v>693</v>
      </c>
      <c r="E1760" s="18" t="s">
        <v>10</v>
      </c>
      <c r="F1760" s="10" t="s">
        <v>3072</v>
      </c>
      <c r="G1760" s="18">
        <v>44649</v>
      </c>
      <c r="H1760" s="18" t="s">
        <v>6347</v>
      </c>
      <c r="I1760" s="134">
        <v>72246</v>
      </c>
      <c r="J1760" s="18" t="s">
        <v>6348</v>
      </c>
      <c r="K1760" s="18" t="s">
        <v>6349</v>
      </c>
      <c r="L1760" s="18" t="s">
        <v>570</v>
      </c>
      <c r="M1760" s="18" t="s">
        <v>570</v>
      </c>
      <c r="N1760" s="18" t="s">
        <v>570</v>
      </c>
      <c r="O1760" s="18" t="s">
        <v>570</v>
      </c>
      <c r="P1760" s="466" t="s">
        <v>6350</v>
      </c>
      <c r="Q1760" s="134"/>
      <c r="R1760" s="134"/>
      <c r="S1760" s="344"/>
      <c r="T1760" s="512" t="e">
        <f>_xlfn.XLOOKUP(H1760,#REF!,#REF!,0,0)</f>
        <v>#REF!</v>
      </c>
    </row>
    <row r="1761" spans="1:20" s="299" customFormat="1" ht="18" customHeight="1" x14ac:dyDescent="0.4">
      <c r="A1761" s="18" t="s">
        <v>6351</v>
      </c>
      <c r="B1761" s="18" t="s">
        <v>6352</v>
      </c>
      <c r="C1761" s="19" t="s">
        <v>433</v>
      </c>
      <c r="D1761" s="18" t="s">
        <v>693</v>
      </c>
      <c r="E1761" s="18" t="s">
        <v>10</v>
      </c>
      <c r="F1761" s="10" t="s">
        <v>3072</v>
      </c>
      <c r="G1761" s="18">
        <v>44649</v>
      </c>
      <c r="H1761" s="18" t="s">
        <v>6353</v>
      </c>
      <c r="I1761" s="134">
        <v>72245</v>
      </c>
      <c r="J1761" s="18" t="s">
        <v>6354</v>
      </c>
      <c r="K1761" s="18" t="s">
        <v>6355</v>
      </c>
      <c r="L1761" s="18" t="s">
        <v>570</v>
      </c>
      <c r="M1761" s="18" t="s">
        <v>570</v>
      </c>
      <c r="N1761" s="18" t="s">
        <v>570</v>
      </c>
      <c r="O1761" s="18" t="s">
        <v>570</v>
      </c>
      <c r="P1761" s="466"/>
      <c r="Q1761" s="134"/>
      <c r="R1761" s="134"/>
      <c r="S1761" s="344"/>
      <c r="T1761" s="512" t="e">
        <f>_xlfn.XLOOKUP(H1761,#REF!,#REF!,0,0)</f>
        <v>#REF!</v>
      </c>
    </row>
    <row r="1762" spans="1:20" s="299" customFormat="1" ht="18" customHeight="1" x14ac:dyDescent="0.4">
      <c r="A1762" s="18" t="s">
        <v>6356</v>
      </c>
      <c r="B1762" s="18" t="s">
        <v>6357</v>
      </c>
      <c r="C1762" s="19" t="s">
        <v>433</v>
      </c>
      <c r="D1762" s="18" t="s">
        <v>693</v>
      </c>
      <c r="E1762" s="18" t="s">
        <v>10</v>
      </c>
      <c r="F1762" s="10" t="s">
        <v>5179</v>
      </c>
      <c r="G1762" s="18"/>
      <c r="H1762" s="18" t="s">
        <v>6358</v>
      </c>
      <c r="I1762" s="134">
        <v>70634</v>
      </c>
      <c r="J1762" s="18"/>
      <c r="K1762" s="18">
        <v>44657.4375</v>
      </c>
      <c r="L1762" s="18" t="s">
        <v>364</v>
      </c>
      <c r="M1762" s="18" t="s">
        <v>364</v>
      </c>
      <c r="N1762" s="18" t="s">
        <v>364</v>
      </c>
      <c r="O1762" s="18" t="s">
        <v>364</v>
      </c>
      <c r="P1762" s="466" t="s">
        <v>6359</v>
      </c>
      <c r="Q1762" s="134"/>
      <c r="R1762" s="134"/>
      <c r="S1762" s="344"/>
      <c r="T1762" s="512" t="e">
        <f>_xlfn.XLOOKUP(H1762,#REF!,#REF!,0,0)</f>
        <v>#REF!</v>
      </c>
    </row>
    <row r="1763" spans="1:20" s="299" customFormat="1" ht="18" customHeight="1" x14ac:dyDescent="0.4">
      <c r="A1763" s="18" t="s">
        <v>6360</v>
      </c>
      <c r="B1763" s="18" t="s">
        <v>6361</v>
      </c>
      <c r="C1763" s="19" t="s">
        <v>433</v>
      </c>
      <c r="D1763" s="18" t="s">
        <v>6362</v>
      </c>
      <c r="E1763" s="18" t="s">
        <v>10</v>
      </c>
      <c r="F1763" s="10" t="s">
        <v>3072</v>
      </c>
      <c r="G1763" s="18">
        <v>44649</v>
      </c>
      <c r="H1763" s="18" t="s">
        <v>6363</v>
      </c>
      <c r="I1763" s="134">
        <v>72247</v>
      </c>
      <c r="J1763" s="18" t="s">
        <v>6364</v>
      </c>
      <c r="K1763" s="18" t="s">
        <v>6365</v>
      </c>
      <c r="L1763" s="18" t="s">
        <v>570</v>
      </c>
      <c r="M1763" s="18" t="s">
        <v>570</v>
      </c>
      <c r="N1763" s="18" t="s">
        <v>570</v>
      </c>
      <c r="O1763" s="18" t="s">
        <v>570</v>
      </c>
      <c r="P1763" s="466"/>
      <c r="Q1763" s="134"/>
      <c r="R1763" s="134"/>
      <c r="S1763" s="344"/>
      <c r="T1763" s="512" t="e">
        <f>_xlfn.XLOOKUP(H1763,#REF!,#REF!,0,0)</f>
        <v>#REF!</v>
      </c>
    </row>
    <row r="1764" spans="1:20" s="299" customFormat="1" ht="18" customHeight="1" x14ac:dyDescent="0.4">
      <c r="A1764" s="18" t="s">
        <v>6366</v>
      </c>
      <c r="B1764" s="18" t="s">
        <v>6367</v>
      </c>
      <c r="C1764" s="19" t="s">
        <v>433</v>
      </c>
      <c r="D1764" s="18" t="s">
        <v>693</v>
      </c>
      <c r="E1764" s="18" t="s">
        <v>10</v>
      </c>
      <c r="F1764" s="10" t="s">
        <v>3072</v>
      </c>
      <c r="G1764" s="18">
        <v>44649</v>
      </c>
      <c r="H1764" s="18" t="s">
        <v>6368</v>
      </c>
      <c r="I1764" s="134">
        <v>72248</v>
      </c>
      <c r="J1764" s="18" t="s">
        <v>6369</v>
      </c>
      <c r="K1764" s="18" t="s">
        <v>6370</v>
      </c>
      <c r="L1764" s="18" t="s">
        <v>570</v>
      </c>
      <c r="M1764" s="18" t="s">
        <v>570</v>
      </c>
      <c r="N1764" s="18" t="s">
        <v>570</v>
      </c>
      <c r="O1764" s="18" t="s">
        <v>570</v>
      </c>
      <c r="P1764" s="466"/>
      <c r="Q1764" s="134"/>
      <c r="R1764" s="134"/>
      <c r="S1764" s="344"/>
      <c r="T1764" s="512" t="e">
        <f>_xlfn.XLOOKUP(H1764,#REF!,#REF!,0,0)</f>
        <v>#REF!</v>
      </c>
    </row>
    <row r="1765" spans="1:20" s="506" customFormat="1" x14ac:dyDescent="0.4">
      <c r="A1765" s="21" t="s">
        <v>6371</v>
      </c>
      <c r="B1765" s="21" t="s">
        <v>6372</v>
      </c>
      <c r="C1765" s="21"/>
      <c r="D1765" s="21" t="s">
        <v>6373</v>
      </c>
      <c r="E1765" s="21" t="s">
        <v>10</v>
      </c>
      <c r="F1765" s="22" t="s">
        <v>5909</v>
      </c>
      <c r="G1765" s="21"/>
      <c r="H1765" s="21" t="s">
        <v>211</v>
      </c>
      <c r="I1765" s="353">
        <v>69441</v>
      </c>
      <c r="J1765" s="21"/>
      <c r="K1765" s="21">
        <v>44662</v>
      </c>
      <c r="L1765" s="21" t="s">
        <v>570</v>
      </c>
      <c r="M1765" s="21" t="s">
        <v>570</v>
      </c>
      <c r="N1765" s="21" t="s">
        <v>570</v>
      </c>
      <c r="O1765" s="21" t="s">
        <v>570</v>
      </c>
      <c r="P1765" s="465"/>
      <c r="Q1765" s="353"/>
      <c r="R1765" s="353"/>
      <c r="S1765" s="345"/>
      <c r="T1765" s="512" t="e">
        <f>_xlfn.XLOOKUP(H1765,#REF!,#REF!,0,0)</f>
        <v>#REF!</v>
      </c>
    </row>
    <row r="1766" spans="1:20" s="299" customFormat="1" ht="18" customHeight="1" x14ac:dyDescent="0.4">
      <c r="A1766" s="18" t="s">
        <v>6374</v>
      </c>
      <c r="B1766" s="18" t="s">
        <v>6375</v>
      </c>
      <c r="C1766" s="19" t="s">
        <v>433</v>
      </c>
      <c r="D1766" s="18" t="s">
        <v>693</v>
      </c>
      <c r="E1766" s="18" t="s">
        <v>10</v>
      </c>
      <c r="F1766" s="10" t="s">
        <v>3072</v>
      </c>
      <c r="G1766" s="18">
        <v>44649</v>
      </c>
      <c r="H1766" s="18" t="s">
        <v>6376</v>
      </c>
      <c r="I1766" s="134">
        <v>72249</v>
      </c>
      <c r="J1766" s="18" t="s">
        <v>6377</v>
      </c>
      <c r="K1766" s="18" t="s">
        <v>6378</v>
      </c>
      <c r="L1766" s="18" t="s">
        <v>570</v>
      </c>
      <c r="M1766" s="18" t="s">
        <v>570</v>
      </c>
      <c r="N1766" s="18" t="s">
        <v>570</v>
      </c>
      <c r="O1766" s="18" t="s">
        <v>570</v>
      </c>
      <c r="P1766" s="466" t="s">
        <v>6379</v>
      </c>
      <c r="Q1766" s="134"/>
      <c r="R1766" s="134"/>
      <c r="S1766" s="344"/>
      <c r="T1766" s="512" t="e">
        <f>_xlfn.XLOOKUP(H1766,#REF!,#REF!,0,0)</f>
        <v>#REF!</v>
      </c>
    </row>
    <row r="1767" spans="1:20" s="299" customFormat="1" ht="18" customHeight="1" x14ac:dyDescent="0.4">
      <c r="A1767" s="18" t="s">
        <v>6380</v>
      </c>
      <c r="B1767" s="18" t="s">
        <v>6381</v>
      </c>
      <c r="C1767" s="19" t="s">
        <v>433</v>
      </c>
      <c r="D1767" s="18" t="s">
        <v>693</v>
      </c>
      <c r="E1767" s="18" t="s">
        <v>10</v>
      </c>
      <c r="F1767" s="10" t="s">
        <v>3072</v>
      </c>
      <c r="G1767" s="18">
        <v>44649</v>
      </c>
      <c r="H1767" s="18" t="s">
        <v>6382</v>
      </c>
      <c r="I1767" s="134">
        <v>72250</v>
      </c>
      <c r="J1767" s="18" t="s">
        <v>6383</v>
      </c>
      <c r="K1767" s="18" t="s">
        <v>6384</v>
      </c>
      <c r="L1767" s="18" t="s">
        <v>570</v>
      </c>
      <c r="M1767" s="18" t="s">
        <v>570</v>
      </c>
      <c r="N1767" s="18" t="s">
        <v>570</v>
      </c>
      <c r="O1767" s="18" t="s">
        <v>570</v>
      </c>
      <c r="P1767" s="466" t="s">
        <v>6385</v>
      </c>
      <c r="Q1767" s="134"/>
      <c r="R1767" s="134"/>
      <c r="S1767" s="344"/>
      <c r="T1767" s="512" t="e">
        <f>_xlfn.XLOOKUP(H1767,#REF!,#REF!,0,0)</f>
        <v>#REF!</v>
      </c>
    </row>
    <row r="1768" spans="1:20" s="299" customFormat="1" ht="18" customHeight="1" x14ac:dyDescent="0.4">
      <c r="A1768" s="18" t="s">
        <v>6386</v>
      </c>
      <c r="B1768" s="18" t="s">
        <v>6387</v>
      </c>
      <c r="C1768" s="19" t="s">
        <v>433</v>
      </c>
      <c r="D1768" s="18" t="s">
        <v>693</v>
      </c>
      <c r="E1768" s="18" t="s">
        <v>10</v>
      </c>
      <c r="F1768" s="10" t="s">
        <v>5179</v>
      </c>
      <c r="G1768" s="18">
        <v>44595</v>
      </c>
      <c r="H1768" s="18" t="s">
        <v>6388</v>
      </c>
      <c r="I1768" s="134">
        <v>71230</v>
      </c>
      <c r="J1768" s="18" t="s">
        <v>6389</v>
      </c>
      <c r="K1768" s="18" t="s">
        <v>6390</v>
      </c>
      <c r="L1768" s="18" t="s">
        <v>570</v>
      </c>
      <c r="M1768" s="18" t="s">
        <v>570</v>
      </c>
      <c r="N1768" s="18" t="s">
        <v>570</v>
      </c>
      <c r="O1768" s="18" t="s">
        <v>570</v>
      </c>
      <c r="P1768" s="466" t="s">
        <v>6262</v>
      </c>
      <c r="Q1768" s="134"/>
      <c r="R1768" s="134"/>
      <c r="S1768" s="344"/>
      <c r="T1768" s="512" t="e">
        <f>_xlfn.XLOOKUP(H1768,#REF!,#REF!,0,0)</f>
        <v>#REF!</v>
      </c>
    </row>
    <row r="1769" spans="1:20" s="507" customFormat="1" ht="18" customHeight="1" x14ac:dyDescent="0.4">
      <c r="A1769" s="25" t="s">
        <v>6391</v>
      </c>
      <c r="B1769" s="25" t="s">
        <v>6392</v>
      </c>
      <c r="C1769" s="25"/>
      <c r="D1769" s="25" t="s">
        <v>693</v>
      </c>
      <c r="E1769" s="25" t="s">
        <v>10</v>
      </c>
      <c r="F1769" s="24" t="s">
        <v>5179</v>
      </c>
      <c r="G1769" s="25">
        <v>44595</v>
      </c>
      <c r="H1769" s="25" t="s">
        <v>6393</v>
      </c>
      <c r="I1769" s="264">
        <v>71229</v>
      </c>
      <c r="J1769" s="25" t="s">
        <v>6394</v>
      </c>
      <c r="K1769" s="25">
        <v>44670</v>
      </c>
      <c r="L1769" s="25" t="s">
        <v>364</v>
      </c>
      <c r="M1769" s="25" t="s">
        <v>364</v>
      </c>
      <c r="N1769" s="25" t="s">
        <v>364</v>
      </c>
      <c r="O1769" s="25" t="s">
        <v>364</v>
      </c>
      <c r="P1769" s="467" t="s">
        <v>6395</v>
      </c>
      <c r="Q1769" s="264"/>
      <c r="R1769" s="264"/>
      <c r="S1769" s="343"/>
      <c r="T1769" s="512" t="e">
        <f>_xlfn.XLOOKUP(H1769,#REF!,#REF!,0,0)</f>
        <v>#REF!</v>
      </c>
    </row>
    <row r="1770" spans="1:20" s="507" customFormat="1" ht="18" customHeight="1" x14ac:dyDescent="0.4">
      <c r="A1770" s="25" t="s">
        <v>6396</v>
      </c>
      <c r="B1770" s="25" t="s">
        <v>6397</v>
      </c>
      <c r="C1770" s="25"/>
      <c r="D1770" s="25" t="s">
        <v>693</v>
      </c>
      <c r="E1770" s="25" t="s">
        <v>10</v>
      </c>
      <c r="F1770" s="24" t="s">
        <v>3072</v>
      </c>
      <c r="G1770" s="25">
        <v>44649</v>
      </c>
      <c r="H1770" s="25" t="s">
        <v>6398</v>
      </c>
      <c r="I1770" s="264">
        <v>72252</v>
      </c>
      <c r="J1770" s="25" t="s">
        <v>6399</v>
      </c>
      <c r="K1770" s="25">
        <v>44670</v>
      </c>
      <c r="L1770" s="25" t="s">
        <v>570</v>
      </c>
      <c r="M1770" s="25" t="s">
        <v>570</v>
      </c>
      <c r="N1770" s="25" t="s">
        <v>570</v>
      </c>
      <c r="O1770" s="25" t="s">
        <v>570</v>
      </c>
      <c r="P1770" s="467" t="s">
        <v>6278</v>
      </c>
      <c r="Q1770" s="264"/>
      <c r="R1770" s="264"/>
      <c r="S1770" s="343"/>
      <c r="T1770" s="512" t="e">
        <f>_xlfn.XLOOKUP(H1770,#REF!,#REF!,0,0)</f>
        <v>#REF!</v>
      </c>
    </row>
    <row r="1771" spans="1:20" s="507" customFormat="1" x14ac:dyDescent="0.4">
      <c r="A1771" s="25" t="s">
        <v>6400</v>
      </c>
      <c r="B1771" s="25" t="s">
        <v>6401</v>
      </c>
      <c r="C1771" s="25"/>
      <c r="D1771" s="25" t="s">
        <v>693</v>
      </c>
      <c r="E1771" s="25" t="s">
        <v>10</v>
      </c>
      <c r="F1771" s="24" t="s">
        <v>3072</v>
      </c>
      <c r="G1771" s="25">
        <v>44649</v>
      </c>
      <c r="H1771" s="25" t="s">
        <v>6402</v>
      </c>
      <c r="I1771" s="264">
        <v>72253</v>
      </c>
      <c r="J1771" s="25" t="s">
        <v>6403</v>
      </c>
      <c r="K1771" s="25">
        <v>44670</v>
      </c>
      <c r="L1771" s="25" t="s">
        <v>570</v>
      </c>
      <c r="M1771" s="25" t="s">
        <v>570</v>
      </c>
      <c r="N1771" s="25" t="s">
        <v>570</v>
      </c>
      <c r="O1771" s="25" t="s">
        <v>570</v>
      </c>
      <c r="P1771" s="467" t="s">
        <v>6148</v>
      </c>
      <c r="Q1771" s="264"/>
      <c r="R1771" s="264"/>
      <c r="S1771" s="343"/>
      <c r="T1771" s="512" t="e">
        <f>_xlfn.XLOOKUP(H1771,#REF!,#REF!,0,0)</f>
        <v>#REF!</v>
      </c>
    </row>
    <row r="1772" spans="1:20" s="507" customFormat="1" x14ac:dyDescent="0.4">
      <c r="A1772" s="25" t="s">
        <v>6404</v>
      </c>
      <c r="B1772" s="25" t="s">
        <v>6405</v>
      </c>
      <c r="C1772" s="25"/>
      <c r="D1772" s="25" t="s">
        <v>693</v>
      </c>
      <c r="E1772" s="25" t="s">
        <v>10</v>
      </c>
      <c r="F1772" s="24" t="s">
        <v>3072</v>
      </c>
      <c r="G1772" s="25">
        <v>44649</v>
      </c>
      <c r="H1772" s="25" t="s">
        <v>303</v>
      </c>
      <c r="I1772" s="264">
        <v>72254</v>
      </c>
      <c r="J1772" s="25" t="s">
        <v>6406</v>
      </c>
      <c r="K1772" s="25">
        <v>44670</v>
      </c>
      <c r="L1772" s="25" t="s">
        <v>570</v>
      </c>
      <c r="M1772" s="25" t="s">
        <v>570</v>
      </c>
      <c r="N1772" s="25" t="s">
        <v>570</v>
      </c>
      <c r="O1772" s="25" t="s">
        <v>570</v>
      </c>
      <c r="P1772" s="467" t="s">
        <v>6407</v>
      </c>
      <c r="Q1772" s="264"/>
      <c r="R1772" s="264"/>
      <c r="S1772" s="343"/>
      <c r="T1772" s="512" t="e">
        <f>_xlfn.XLOOKUP(H1772,#REF!,#REF!,0,0)</f>
        <v>#REF!</v>
      </c>
    </row>
    <row r="1773" spans="1:20" s="299" customFormat="1" x14ac:dyDescent="0.4">
      <c r="A1773" s="18" t="s">
        <v>6408</v>
      </c>
      <c r="B1773" s="18" t="s">
        <v>6409</v>
      </c>
      <c r="C1773" s="19" t="s">
        <v>433</v>
      </c>
      <c r="D1773" s="18" t="s">
        <v>693</v>
      </c>
      <c r="E1773" s="18" t="s">
        <v>10</v>
      </c>
      <c r="F1773" s="10" t="s">
        <v>5179</v>
      </c>
      <c r="G1773" s="18">
        <v>44595</v>
      </c>
      <c r="H1773" s="18" t="s">
        <v>6410</v>
      </c>
      <c r="I1773" s="134">
        <v>71231</v>
      </c>
      <c r="J1773" s="18" t="s">
        <v>6411</v>
      </c>
      <c r="K1773" s="18"/>
      <c r="L1773" s="18" t="s">
        <v>570</v>
      </c>
      <c r="M1773" s="18" t="s">
        <v>570</v>
      </c>
      <c r="N1773" s="18" t="s">
        <v>570</v>
      </c>
      <c r="O1773" s="18" t="s">
        <v>570</v>
      </c>
      <c r="P1773" s="466"/>
      <c r="Q1773" s="134"/>
      <c r="R1773" s="134"/>
      <c r="S1773" s="344"/>
      <c r="T1773" s="512" t="e">
        <f>_xlfn.XLOOKUP(H1773,#REF!,#REF!,0,0)</f>
        <v>#REF!</v>
      </c>
    </row>
    <row r="1774" spans="1:20" s="299" customFormat="1" ht="18" customHeight="1" x14ac:dyDescent="0.4">
      <c r="A1774" s="18" t="s">
        <v>6412</v>
      </c>
      <c r="B1774" s="18" t="s">
        <v>6413</v>
      </c>
      <c r="C1774" s="19" t="s">
        <v>433</v>
      </c>
      <c r="D1774" s="18" t="s">
        <v>693</v>
      </c>
      <c r="E1774" s="18" t="s">
        <v>10</v>
      </c>
      <c r="F1774" s="10" t="s">
        <v>3072</v>
      </c>
      <c r="G1774" s="18">
        <v>44649</v>
      </c>
      <c r="H1774" s="18" t="s">
        <v>6414</v>
      </c>
      <c r="I1774" s="134">
        <v>72255</v>
      </c>
      <c r="J1774" s="18" t="s">
        <v>6415</v>
      </c>
      <c r="K1774" s="18" t="s">
        <v>6416</v>
      </c>
      <c r="L1774" s="18" t="s">
        <v>570</v>
      </c>
      <c r="M1774" s="18" t="s">
        <v>570</v>
      </c>
      <c r="N1774" s="18" t="s">
        <v>570</v>
      </c>
      <c r="O1774" s="18" t="s">
        <v>570</v>
      </c>
      <c r="P1774" s="466" t="s">
        <v>6417</v>
      </c>
      <c r="Q1774" s="134"/>
      <c r="R1774" s="134"/>
      <c r="S1774" s="344"/>
      <c r="T1774" s="512" t="e">
        <f>_xlfn.XLOOKUP(H1774,#REF!,#REF!,0,0)</f>
        <v>#REF!</v>
      </c>
    </row>
    <row r="1775" spans="1:20" s="299" customFormat="1" ht="18" customHeight="1" x14ac:dyDescent="0.4">
      <c r="A1775" s="18" t="s">
        <v>6418</v>
      </c>
      <c r="B1775" s="18" t="s">
        <v>6419</v>
      </c>
      <c r="C1775" s="19" t="s">
        <v>433</v>
      </c>
      <c r="D1775" s="18" t="s">
        <v>693</v>
      </c>
      <c r="E1775" s="18" t="s">
        <v>10</v>
      </c>
      <c r="F1775" s="10" t="s">
        <v>3072</v>
      </c>
      <c r="G1775" s="18">
        <v>44649</v>
      </c>
      <c r="H1775" s="18" t="s">
        <v>6420</v>
      </c>
      <c r="I1775" s="134">
        <v>72256</v>
      </c>
      <c r="J1775" s="18" t="s">
        <v>6421</v>
      </c>
      <c r="K1775" s="18" t="s">
        <v>6422</v>
      </c>
      <c r="L1775" s="18" t="s">
        <v>570</v>
      </c>
      <c r="M1775" s="18" t="s">
        <v>570</v>
      </c>
      <c r="N1775" s="18" t="s">
        <v>570</v>
      </c>
      <c r="O1775" s="18" t="s">
        <v>570</v>
      </c>
      <c r="P1775" s="466" t="s">
        <v>6423</v>
      </c>
      <c r="Q1775" s="134"/>
      <c r="R1775" s="134"/>
      <c r="S1775" s="344"/>
      <c r="T1775" s="512" t="e">
        <f>_xlfn.XLOOKUP(H1775,#REF!,#REF!,0,0)</f>
        <v>#REF!</v>
      </c>
    </row>
    <row r="1776" spans="1:20" s="507" customFormat="1" x14ac:dyDescent="0.4">
      <c r="A1776" s="24" t="s">
        <v>6424</v>
      </c>
      <c r="B1776" s="24" t="s">
        <v>6425</v>
      </c>
      <c r="C1776" s="24"/>
      <c r="D1776" s="24" t="s">
        <v>693</v>
      </c>
      <c r="E1776" s="25" t="s">
        <v>10</v>
      </c>
      <c r="F1776" s="24" t="s">
        <v>5179</v>
      </c>
      <c r="G1776" s="25">
        <v>44595</v>
      </c>
      <c r="H1776" s="25" t="s">
        <v>289</v>
      </c>
      <c r="I1776" s="264">
        <v>71233</v>
      </c>
      <c r="J1776" s="24" t="s">
        <v>6426</v>
      </c>
      <c r="K1776" s="25">
        <v>44683</v>
      </c>
      <c r="L1776" s="24" t="s">
        <v>570</v>
      </c>
      <c r="M1776" s="24" t="s">
        <v>570</v>
      </c>
      <c r="N1776" s="24" t="s">
        <v>570</v>
      </c>
      <c r="O1776" s="24" t="s">
        <v>570</v>
      </c>
      <c r="P1776" s="468"/>
      <c r="Q1776" s="264"/>
      <c r="R1776" s="264"/>
      <c r="S1776" s="343"/>
      <c r="T1776" s="512" t="e">
        <f>_xlfn.XLOOKUP(H1776,#REF!,#REF!,0,0)</f>
        <v>#REF!</v>
      </c>
    </row>
    <row r="1777" spans="1:20" s="507" customFormat="1" x14ac:dyDescent="0.4">
      <c r="A1777" s="24" t="s">
        <v>6427</v>
      </c>
      <c r="B1777" s="24" t="s">
        <v>6428</v>
      </c>
      <c r="C1777" s="24"/>
      <c r="D1777" s="24" t="s">
        <v>693</v>
      </c>
      <c r="E1777" s="25" t="s">
        <v>10</v>
      </c>
      <c r="F1777" s="24" t="s">
        <v>5179</v>
      </c>
      <c r="G1777" s="25">
        <v>44595</v>
      </c>
      <c r="H1777" s="25" t="s">
        <v>6429</v>
      </c>
      <c r="I1777" s="264">
        <v>71234</v>
      </c>
      <c r="J1777" s="24" t="s">
        <v>6430</v>
      </c>
      <c r="K1777" s="25">
        <v>44683</v>
      </c>
      <c r="L1777" s="24" t="s">
        <v>570</v>
      </c>
      <c r="M1777" s="24" t="s">
        <v>570</v>
      </c>
      <c r="N1777" s="24" t="s">
        <v>570</v>
      </c>
      <c r="O1777" s="24" t="s">
        <v>570</v>
      </c>
      <c r="P1777" s="468"/>
      <c r="Q1777" s="264"/>
      <c r="R1777" s="264"/>
      <c r="S1777" s="343"/>
      <c r="T1777" s="512" t="e">
        <f>_xlfn.XLOOKUP(H1777,#REF!,#REF!,0,0)</f>
        <v>#REF!</v>
      </c>
    </row>
    <row r="1778" spans="1:20" s="507" customFormat="1" x14ac:dyDescent="0.4">
      <c r="A1778" s="24" t="s">
        <v>6431</v>
      </c>
      <c r="B1778" s="24" t="s">
        <v>6432</v>
      </c>
      <c r="C1778" s="24"/>
      <c r="D1778" s="24" t="s">
        <v>693</v>
      </c>
      <c r="E1778" s="25" t="s">
        <v>10</v>
      </c>
      <c r="F1778" s="24" t="s">
        <v>3072</v>
      </c>
      <c r="G1778" s="25">
        <v>44649</v>
      </c>
      <c r="H1778" s="25" t="s">
        <v>6433</v>
      </c>
      <c r="I1778" s="264">
        <v>72257</v>
      </c>
      <c r="J1778" s="24" t="s">
        <v>6434</v>
      </c>
      <c r="K1778" s="25">
        <v>44683</v>
      </c>
      <c r="L1778" s="24" t="s">
        <v>570</v>
      </c>
      <c r="M1778" s="24" t="s">
        <v>570</v>
      </c>
      <c r="N1778" s="24" t="s">
        <v>570</v>
      </c>
      <c r="O1778" s="24" t="s">
        <v>570</v>
      </c>
      <c r="P1778" s="468" t="s">
        <v>6423</v>
      </c>
      <c r="Q1778" s="264"/>
      <c r="R1778" s="264"/>
      <c r="S1778" s="343"/>
      <c r="T1778" s="512" t="e">
        <f>_xlfn.XLOOKUP(H1778,#REF!,#REF!,0,0)</f>
        <v>#REF!</v>
      </c>
    </row>
    <row r="1779" spans="1:20" s="506" customFormat="1" x14ac:dyDescent="0.4">
      <c r="A1779" s="22" t="s">
        <v>6435</v>
      </c>
      <c r="B1779" s="22" t="s">
        <v>6436</v>
      </c>
      <c r="C1779" s="22"/>
      <c r="D1779" s="22" t="s">
        <v>693</v>
      </c>
      <c r="E1779" s="21" t="s">
        <v>10</v>
      </c>
      <c r="F1779" s="22" t="s">
        <v>5909</v>
      </c>
      <c r="G1779" s="21"/>
      <c r="H1779" s="21" t="s">
        <v>262</v>
      </c>
      <c r="I1779" s="353">
        <v>70682</v>
      </c>
      <c r="J1779" s="22"/>
      <c r="K1779" s="21">
        <v>44683</v>
      </c>
      <c r="L1779" s="22" t="s">
        <v>570</v>
      </c>
      <c r="M1779" s="22" t="s">
        <v>570</v>
      </c>
      <c r="N1779" s="22" t="s">
        <v>570</v>
      </c>
      <c r="O1779" s="22" t="s">
        <v>570</v>
      </c>
      <c r="P1779" s="469"/>
      <c r="Q1779" s="353"/>
      <c r="R1779" s="353"/>
      <c r="S1779" s="345"/>
      <c r="T1779" s="512" t="e">
        <f>_xlfn.XLOOKUP(H1779,#REF!,#REF!,0,0)</f>
        <v>#REF!</v>
      </c>
    </row>
    <row r="1780" spans="1:20" s="299" customFormat="1" ht="18" customHeight="1" x14ac:dyDescent="0.4">
      <c r="A1780" s="18" t="s">
        <v>6437</v>
      </c>
      <c r="B1780" s="18" t="s">
        <v>6438</v>
      </c>
      <c r="C1780" s="19" t="s">
        <v>433</v>
      </c>
      <c r="D1780" s="18" t="s">
        <v>693</v>
      </c>
      <c r="E1780" s="18" t="s">
        <v>10</v>
      </c>
      <c r="F1780" s="10" t="s">
        <v>5179</v>
      </c>
      <c r="G1780" s="18">
        <v>44595</v>
      </c>
      <c r="H1780" s="18" t="s">
        <v>6439</v>
      </c>
      <c r="I1780" s="134">
        <v>71238</v>
      </c>
      <c r="J1780" s="18" t="s">
        <v>6440</v>
      </c>
      <c r="K1780" s="18" t="s">
        <v>6441</v>
      </c>
      <c r="L1780" s="18" t="s">
        <v>570</v>
      </c>
      <c r="M1780" s="18" t="s">
        <v>570</v>
      </c>
      <c r="N1780" s="18" t="s">
        <v>570</v>
      </c>
      <c r="O1780" s="18" t="s">
        <v>570</v>
      </c>
      <c r="P1780" s="466"/>
      <c r="Q1780" s="134"/>
      <c r="R1780" s="134"/>
      <c r="S1780" s="344"/>
      <c r="T1780" s="512" t="e">
        <f>_xlfn.XLOOKUP(H1780,#REF!,#REF!,0,0)</f>
        <v>#REF!</v>
      </c>
    </row>
    <row r="1781" spans="1:20" s="299" customFormat="1" ht="18" customHeight="1" x14ac:dyDescent="0.4">
      <c r="A1781" s="18" t="s">
        <v>6442</v>
      </c>
      <c r="B1781" s="18" t="s">
        <v>6443</v>
      </c>
      <c r="C1781" s="19" t="s">
        <v>433</v>
      </c>
      <c r="D1781" s="18" t="s">
        <v>693</v>
      </c>
      <c r="E1781" s="18" t="s">
        <v>10</v>
      </c>
      <c r="F1781" s="10" t="s">
        <v>3072</v>
      </c>
      <c r="G1781" s="18">
        <v>44649</v>
      </c>
      <c r="H1781" s="18" t="s">
        <v>327</v>
      </c>
      <c r="I1781" s="134">
        <v>72251</v>
      </c>
      <c r="J1781" s="18" t="s">
        <v>6444</v>
      </c>
      <c r="K1781" s="18" t="s">
        <v>6445</v>
      </c>
      <c r="L1781" s="18" t="s">
        <v>570</v>
      </c>
      <c r="M1781" s="18" t="s">
        <v>570</v>
      </c>
      <c r="N1781" s="18" t="s">
        <v>570</v>
      </c>
      <c r="O1781" s="18" t="s">
        <v>570</v>
      </c>
      <c r="P1781" s="466" t="s">
        <v>6446</v>
      </c>
      <c r="Q1781" s="134"/>
      <c r="R1781" s="134"/>
      <c r="S1781" s="344"/>
      <c r="T1781" s="512" t="e">
        <f>_xlfn.XLOOKUP(H1781,#REF!,#REF!,0,0)</f>
        <v>#REF!</v>
      </c>
    </row>
    <row r="1782" spans="1:20" s="299" customFormat="1" ht="18" customHeight="1" x14ac:dyDescent="0.4">
      <c r="A1782" s="18" t="s">
        <v>6447</v>
      </c>
      <c r="B1782" s="18" t="s">
        <v>6448</v>
      </c>
      <c r="C1782" s="19" t="s">
        <v>433</v>
      </c>
      <c r="D1782" s="18" t="s">
        <v>693</v>
      </c>
      <c r="E1782" s="18" t="s">
        <v>10</v>
      </c>
      <c r="F1782" s="10" t="s">
        <v>5179</v>
      </c>
      <c r="G1782" s="18"/>
      <c r="H1782" s="18" t="s">
        <v>6449</v>
      </c>
      <c r="I1782" s="134">
        <v>70607</v>
      </c>
      <c r="J1782" s="18"/>
      <c r="K1782" s="18">
        <v>44685</v>
      </c>
      <c r="L1782" s="18" t="s">
        <v>570</v>
      </c>
      <c r="M1782" s="18" t="s">
        <v>570</v>
      </c>
      <c r="N1782" s="18" t="s">
        <v>570</v>
      </c>
      <c r="O1782" s="18" t="s">
        <v>570</v>
      </c>
      <c r="P1782" s="466" t="s">
        <v>6450</v>
      </c>
      <c r="Q1782" s="134"/>
      <c r="R1782" s="134"/>
      <c r="S1782" s="344"/>
      <c r="T1782" s="512" t="e">
        <f>_xlfn.XLOOKUP(H1782,#REF!,#REF!,0,0)</f>
        <v>#REF!</v>
      </c>
    </row>
    <row r="1783" spans="1:20" s="299" customFormat="1" ht="18" customHeight="1" x14ac:dyDescent="0.4">
      <c r="A1783" s="18" t="s">
        <v>6451</v>
      </c>
      <c r="B1783" s="18" t="s">
        <v>6452</v>
      </c>
      <c r="C1783" s="19" t="s">
        <v>433</v>
      </c>
      <c r="D1783" s="18" t="s">
        <v>681</v>
      </c>
      <c r="E1783" s="18" t="s">
        <v>10</v>
      </c>
      <c r="F1783" s="10" t="s">
        <v>5179</v>
      </c>
      <c r="G1783" s="18">
        <v>44595</v>
      </c>
      <c r="H1783" s="18" t="s">
        <v>6453</v>
      </c>
      <c r="I1783" s="134">
        <v>71236</v>
      </c>
      <c r="J1783" s="18" t="s">
        <v>6454</v>
      </c>
      <c r="K1783" s="18"/>
      <c r="L1783" s="18" t="s">
        <v>570</v>
      </c>
      <c r="M1783" s="18" t="s">
        <v>570</v>
      </c>
      <c r="N1783" s="18" t="s">
        <v>570</v>
      </c>
      <c r="O1783" s="18" t="s">
        <v>570</v>
      </c>
      <c r="P1783" s="466"/>
      <c r="Q1783" s="134"/>
      <c r="R1783" s="134"/>
      <c r="S1783" s="344"/>
      <c r="T1783" s="512" t="e">
        <f>_xlfn.XLOOKUP(H1783,#REF!,#REF!,0,0)</f>
        <v>#REF!</v>
      </c>
    </row>
    <row r="1784" spans="1:20" s="507" customFormat="1" x14ac:dyDescent="0.4">
      <c r="A1784" s="24" t="s">
        <v>6455</v>
      </c>
      <c r="B1784" s="24" t="s">
        <v>6456</v>
      </c>
      <c r="C1784" s="24"/>
      <c r="D1784" s="24" t="s">
        <v>693</v>
      </c>
      <c r="E1784" s="25" t="s">
        <v>10</v>
      </c>
      <c r="F1784" s="24" t="s">
        <v>3072</v>
      </c>
      <c r="G1784" s="25">
        <v>44649</v>
      </c>
      <c r="H1784" s="25" t="s">
        <v>6457</v>
      </c>
      <c r="I1784" s="264">
        <v>72258</v>
      </c>
      <c r="J1784" s="24" t="s">
        <v>6458</v>
      </c>
      <c r="K1784" s="25">
        <v>44685</v>
      </c>
      <c r="L1784" s="24" t="s">
        <v>364</v>
      </c>
      <c r="M1784" s="24" t="s">
        <v>364</v>
      </c>
      <c r="N1784" s="24" t="s">
        <v>364</v>
      </c>
      <c r="O1784" s="24" t="s">
        <v>364</v>
      </c>
      <c r="P1784" s="468" t="s">
        <v>6459</v>
      </c>
      <c r="Q1784" s="264"/>
      <c r="R1784" s="264"/>
      <c r="S1784" s="343"/>
      <c r="T1784" s="512" t="e">
        <f>_xlfn.XLOOKUP(H1784,#REF!,#REF!,0,0)</f>
        <v>#REF!</v>
      </c>
    </row>
    <row r="1785" spans="1:20" s="507" customFormat="1" x14ac:dyDescent="0.4">
      <c r="A1785" s="24" t="s">
        <v>6460</v>
      </c>
      <c r="B1785" s="24" t="s">
        <v>6461</v>
      </c>
      <c r="C1785" s="24"/>
      <c r="D1785" s="24" t="s">
        <v>693</v>
      </c>
      <c r="E1785" s="25" t="s">
        <v>10</v>
      </c>
      <c r="F1785" s="24" t="s">
        <v>3072</v>
      </c>
      <c r="G1785" s="25">
        <v>44649</v>
      </c>
      <c r="H1785" s="25" t="s">
        <v>6462</v>
      </c>
      <c r="I1785" s="264">
        <v>72259</v>
      </c>
      <c r="J1785" s="24" t="s">
        <v>6463</v>
      </c>
      <c r="K1785" s="25">
        <v>44685</v>
      </c>
      <c r="L1785" s="24" t="s">
        <v>364</v>
      </c>
      <c r="M1785" s="24" t="s">
        <v>364</v>
      </c>
      <c r="N1785" s="24" t="s">
        <v>364</v>
      </c>
      <c r="O1785" s="24" t="s">
        <v>364</v>
      </c>
      <c r="P1785" s="468" t="s">
        <v>6464</v>
      </c>
      <c r="Q1785" s="264"/>
      <c r="R1785" s="264"/>
      <c r="S1785" s="343"/>
      <c r="T1785" s="512" t="e">
        <f>_xlfn.XLOOKUP(H1785,#REF!,#REF!,0,0)</f>
        <v>#REF!</v>
      </c>
    </row>
    <row r="1786" spans="1:20" s="299" customFormat="1" ht="18" customHeight="1" x14ac:dyDescent="0.4">
      <c r="A1786" s="18" t="s">
        <v>6465</v>
      </c>
      <c r="B1786" s="18" t="s">
        <v>6466</v>
      </c>
      <c r="C1786" s="19" t="s">
        <v>433</v>
      </c>
      <c r="D1786" s="18" t="s">
        <v>681</v>
      </c>
      <c r="E1786" s="18" t="s">
        <v>10</v>
      </c>
      <c r="F1786" s="10" t="s">
        <v>5179</v>
      </c>
      <c r="G1786" s="18">
        <v>44595</v>
      </c>
      <c r="H1786" s="18" t="s">
        <v>6467</v>
      </c>
      <c r="I1786" s="134">
        <v>71232</v>
      </c>
      <c r="J1786" s="18" t="s">
        <v>6468</v>
      </c>
      <c r="K1786" s="18">
        <v>44683</v>
      </c>
      <c r="L1786" s="18" t="s">
        <v>364</v>
      </c>
      <c r="M1786" s="18" t="s">
        <v>364</v>
      </c>
      <c r="N1786" s="18" t="s">
        <v>364</v>
      </c>
      <c r="O1786" s="18" t="s">
        <v>364</v>
      </c>
      <c r="P1786" s="466"/>
      <c r="Q1786" s="134"/>
      <c r="R1786" s="134"/>
      <c r="S1786" s="344"/>
      <c r="T1786" s="512" t="e">
        <f>_xlfn.XLOOKUP(H1786,#REF!,#REF!,0,0)</f>
        <v>#REF!</v>
      </c>
    </row>
    <row r="1787" spans="1:20" s="507" customFormat="1" x14ac:dyDescent="0.4">
      <c r="A1787" s="24" t="s">
        <v>6469</v>
      </c>
      <c r="B1787" s="24" t="s">
        <v>6470</v>
      </c>
      <c r="C1787" s="24"/>
      <c r="D1787" s="24" t="s">
        <v>693</v>
      </c>
      <c r="E1787" s="25" t="s">
        <v>10</v>
      </c>
      <c r="F1787" s="24" t="s">
        <v>5179</v>
      </c>
      <c r="G1787" s="25">
        <v>44595</v>
      </c>
      <c r="H1787" s="25" t="s">
        <v>6471</v>
      </c>
      <c r="I1787" s="264">
        <v>71235</v>
      </c>
      <c r="J1787" s="24" t="s">
        <v>6472</v>
      </c>
      <c r="K1787" s="25">
        <v>44683</v>
      </c>
      <c r="L1787" s="24" t="s">
        <v>364</v>
      </c>
      <c r="M1787" s="24" t="s">
        <v>364</v>
      </c>
      <c r="N1787" s="24" t="s">
        <v>364</v>
      </c>
      <c r="O1787" s="24" t="s">
        <v>364</v>
      </c>
      <c r="P1787" s="468"/>
      <c r="Q1787" s="264"/>
      <c r="R1787" s="264"/>
      <c r="S1787" s="343"/>
      <c r="T1787" s="512" t="e">
        <f>_xlfn.XLOOKUP(H1787,#REF!,#REF!,0,0)</f>
        <v>#REF!</v>
      </c>
    </row>
    <row r="1788" spans="1:20" s="299" customFormat="1" ht="18" customHeight="1" x14ac:dyDescent="0.4">
      <c r="A1788" s="18" t="s">
        <v>6473</v>
      </c>
      <c r="B1788" s="18" t="s">
        <v>6474</v>
      </c>
      <c r="C1788" s="19" t="s">
        <v>433</v>
      </c>
      <c r="D1788" s="18" t="s">
        <v>693</v>
      </c>
      <c r="E1788" s="18" t="s">
        <v>10</v>
      </c>
      <c r="F1788" s="10" t="s">
        <v>3072</v>
      </c>
      <c r="G1788" s="18">
        <v>44649</v>
      </c>
      <c r="H1788" s="18" t="s">
        <v>6475</v>
      </c>
      <c r="I1788" s="134">
        <v>72260</v>
      </c>
      <c r="J1788" s="18" t="s">
        <v>6476</v>
      </c>
      <c r="K1788" s="18">
        <v>44687</v>
      </c>
      <c r="L1788" s="18" t="s">
        <v>364</v>
      </c>
      <c r="M1788" s="18" t="s">
        <v>364</v>
      </c>
      <c r="N1788" s="18" t="s">
        <v>364</v>
      </c>
      <c r="O1788" s="18" t="s">
        <v>364</v>
      </c>
      <c r="P1788" s="466" t="s">
        <v>6477</v>
      </c>
      <c r="Q1788" s="134"/>
      <c r="R1788" s="134"/>
      <c r="S1788" s="344"/>
      <c r="T1788" s="512" t="e">
        <f>_xlfn.XLOOKUP(H1788,#REF!,#REF!,0,0)</f>
        <v>#REF!</v>
      </c>
    </row>
    <row r="1789" spans="1:20" s="507" customFormat="1" x14ac:dyDescent="0.4">
      <c r="A1789" s="24" t="s">
        <v>6478</v>
      </c>
      <c r="B1789" s="24" t="s">
        <v>6479</v>
      </c>
      <c r="C1789" s="24"/>
      <c r="D1789" s="24" t="s">
        <v>1097</v>
      </c>
      <c r="E1789" s="25" t="s">
        <v>10</v>
      </c>
      <c r="F1789" s="24" t="s">
        <v>5179</v>
      </c>
      <c r="G1789" s="25">
        <v>44595</v>
      </c>
      <c r="H1789" s="25" t="s">
        <v>6480</v>
      </c>
      <c r="I1789" s="264">
        <v>71237</v>
      </c>
      <c r="J1789" s="24" t="s">
        <v>6481</v>
      </c>
      <c r="K1789" s="25">
        <v>44690</v>
      </c>
      <c r="L1789" s="24" t="s">
        <v>364</v>
      </c>
      <c r="M1789" s="24" t="s">
        <v>364</v>
      </c>
      <c r="N1789" s="24" t="s">
        <v>364</v>
      </c>
      <c r="O1789" s="24" t="s">
        <v>364</v>
      </c>
      <c r="P1789" s="468"/>
      <c r="Q1789" s="264"/>
      <c r="R1789" s="264"/>
      <c r="S1789" s="343"/>
      <c r="T1789" s="512" t="e">
        <f>_xlfn.XLOOKUP(H1789,#REF!,#REF!,0,0)</f>
        <v>#REF!</v>
      </c>
    </row>
    <row r="1790" spans="1:20" s="506" customFormat="1" x14ac:dyDescent="0.4">
      <c r="A1790" s="21" t="s">
        <v>6482</v>
      </c>
      <c r="B1790" s="21" t="s">
        <v>6483</v>
      </c>
      <c r="C1790" s="21"/>
      <c r="D1790" s="21" t="s">
        <v>1097</v>
      </c>
      <c r="E1790" s="21" t="s">
        <v>10</v>
      </c>
      <c r="F1790" s="22" t="s">
        <v>6484</v>
      </c>
      <c r="G1790" s="21"/>
      <c r="H1790" s="21" t="s">
        <v>6485</v>
      </c>
      <c r="I1790" s="353">
        <v>70530</v>
      </c>
      <c r="J1790" s="21"/>
      <c r="K1790" s="21">
        <v>44690</v>
      </c>
      <c r="L1790" s="21" t="s">
        <v>570</v>
      </c>
      <c r="M1790" s="21" t="s">
        <v>570</v>
      </c>
      <c r="N1790" s="21" t="s">
        <v>570</v>
      </c>
      <c r="O1790" s="21" t="s">
        <v>570</v>
      </c>
      <c r="P1790" s="465" t="s">
        <v>6486</v>
      </c>
      <c r="Q1790" s="353"/>
      <c r="R1790" s="353"/>
      <c r="S1790" s="345"/>
      <c r="T1790" s="512" t="e">
        <f>_xlfn.XLOOKUP(H1790,#REF!,#REF!,0,0)</f>
        <v>#REF!</v>
      </c>
    </row>
    <row r="1791" spans="1:20" s="506" customFormat="1" x14ac:dyDescent="0.4">
      <c r="A1791" s="21" t="s">
        <v>6487</v>
      </c>
      <c r="B1791" s="21" t="s">
        <v>6488</v>
      </c>
      <c r="C1791" s="21"/>
      <c r="D1791" s="21" t="s">
        <v>5991</v>
      </c>
      <c r="E1791" s="21" t="s">
        <v>10</v>
      </c>
      <c r="F1791" s="22">
        <v>840</v>
      </c>
      <c r="G1791" s="21"/>
      <c r="H1791" s="21" t="s">
        <v>248</v>
      </c>
      <c r="I1791" s="353">
        <v>69866</v>
      </c>
      <c r="J1791" s="21"/>
      <c r="K1791" s="21">
        <v>44690</v>
      </c>
      <c r="L1791" s="21" t="s">
        <v>570</v>
      </c>
      <c r="M1791" s="21" t="s">
        <v>570</v>
      </c>
      <c r="N1791" s="21" t="s">
        <v>570</v>
      </c>
      <c r="O1791" s="21" t="s">
        <v>570</v>
      </c>
      <c r="P1791" s="465" t="s">
        <v>6489</v>
      </c>
      <c r="Q1791" s="353"/>
      <c r="R1791" s="353"/>
      <c r="S1791" s="345"/>
      <c r="T1791" s="512" t="e">
        <f>_xlfn.XLOOKUP(H1791,#REF!,#REF!,0,0)</f>
        <v>#REF!</v>
      </c>
    </row>
    <row r="1792" spans="1:20" s="506" customFormat="1" x14ac:dyDescent="0.4">
      <c r="A1792" s="21" t="s">
        <v>6490</v>
      </c>
      <c r="B1792" s="21" t="s">
        <v>6491</v>
      </c>
      <c r="C1792" s="21"/>
      <c r="D1792" s="21" t="s">
        <v>693</v>
      </c>
      <c r="E1792" s="21" t="s">
        <v>10</v>
      </c>
      <c r="F1792" s="22">
        <v>840</v>
      </c>
      <c r="G1792" s="21"/>
      <c r="H1792" s="21" t="s">
        <v>6492</v>
      </c>
      <c r="I1792" s="353">
        <v>70454</v>
      </c>
      <c r="J1792" s="21"/>
      <c r="K1792" s="21">
        <v>44697</v>
      </c>
      <c r="L1792" s="21" t="s">
        <v>570</v>
      </c>
      <c r="M1792" s="21" t="s">
        <v>570</v>
      </c>
      <c r="N1792" s="21" t="s">
        <v>570</v>
      </c>
      <c r="O1792" s="21" t="s">
        <v>570</v>
      </c>
      <c r="P1792" s="465" t="s">
        <v>6493</v>
      </c>
      <c r="Q1792" s="353"/>
      <c r="R1792" s="353"/>
      <c r="S1792" s="345"/>
      <c r="T1792" s="512" t="e">
        <f>_xlfn.XLOOKUP(H1792,#REF!,#REF!,0,0)</f>
        <v>#REF!</v>
      </c>
    </row>
    <row r="1793" spans="1:20" s="507" customFormat="1" x14ac:dyDescent="0.4">
      <c r="A1793" s="24" t="s">
        <v>6494</v>
      </c>
      <c r="B1793" s="24" t="s">
        <v>6495</v>
      </c>
      <c r="C1793" s="24"/>
      <c r="D1793" s="24" t="s">
        <v>693</v>
      </c>
      <c r="E1793" s="25" t="s">
        <v>10</v>
      </c>
      <c r="F1793" s="24" t="s">
        <v>5179</v>
      </c>
      <c r="G1793" s="25">
        <v>44595</v>
      </c>
      <c r="H1793" s="25" t="s">
        <v>6496</v>
      </c>
      <c r="I1793" s="264">
        <v>71239</v>
      </c>
      <c r="J1793" s="24" t="s">
        <v>6497</v>
      </c>
      <c r="K1793" s="25">
        <v>44697</v>
      </c>
      <c r="L1793" s="24" t="s">
        <v>570</v>
      </c>
      <c r="M1793" s="24" t="s">
        <v>570</v>
      </c>
      <c r="N1793" s="24" t="s">
        <v>570</v>
      </c>
      <c r="O1793" s="24" t="s">
        <v>570</v>
      </c>
      <c r="P1793" s="468"/>
      <c r="Q1793" s="264"/>
      <c r="R1793" s="264"/>
      <c r="S1793" s="343"/>
      <c r="T1793" s="512" t="e">
        <f>_xlfn.XLOOKUP(H1793,#REF!,#REF!,0,0)</f>
        <v>#REF!</v>
      </c>
    </row>
    <row r="1794" spans="1:20" s="507" customFormat="1" x14ac:dyDescent="0.4">
      <c r="A1794" s="24" t="s">
        <v>6498</v>
      </c>
      <c r="B1794" s="24" t="s">
        <v>6499</v>
      </c>
      <c r="C1794" s="24"/>
      <c r="D1794" s="24" t="s">
        <v>693</v>
      </c>
      <c r="E1794" s="25" t="s">
        <v>10</v>
      </c>
      <c r="F1794" s="24" t="s">
        <v>5179</v>
      </c>
      <c r="G1794" s="25"/>
      <c r="H1794" s="25" t="s">
        <v>3787</v>
      </c>
      <c r="I1794" s="264">
        <v>70627</v>
      </c>
      <c r="J1794" s="24"/>
      <c r="K1794" s="25">
        <v>44697</v>
      </c>
      <c r="L1794" s="24" t="s">
        <v>570</v>
      </c>
      <c r="M1794" s="24" t="s">
        <v>570</v>
      </c>
      <c r="N1794" s="24" t="s">
        <v>570</v>
      </c>
      <c r="O1794" s="24" t="s">
        <v>570</v>
      </c>
      <c r="P1794" s="468"/>
      <c r="Q1794" s="264"/>
      <c r="R1794" s="264"/>
      <c r="S1794" s="343"/>
      <c r="T1794" s="512" t="e">
        <f>_xlfn.XLOOKUP(H1794,#REF!,#REF!,0,0)</f>
        <v>#REF!</v>
      </c>
    </row>
    <row r="1795" spans="1:20" s="299" customFormat="1" ht="18" customHeight="1" x14ac:dyDescent="0.4">
      <c r="A1795" s="18" t="s">
        <v>6500</v>
      </c>
      <c r="B1795" s="18" t="s">
        <v>6501</v>
      </c>
      <c r="C1795" s="19" t="s">
        <v>433</v>
      </c>
      <c r="D1795" s="18" t="s">
        <v>693</v>
      </c>
      <c r="E1795" s="18" t="s">
        <v>10</v>
      </c>
      <c r="F1795" s="10" t="s">
        <v>3072</v>
      </c>
      <c r="G1795" s="18">
        <v>44649</v>
      </c>
      <c r="H1795" s="18" t="s">
        <v>6502</v>
      </c>
      <c r="I1795" s="134">
        <v>72262</v>
      </c>
      <c r="J1795" s="18" t="s">
        <v>6503</v>
      </c>
      <c r="K1795" s="18" t="s">
        <v>6504</v>
      </c>
      <c r="L1795" s="18" t="s">
        <v>570</v>
      </c>
      <c r="M1795" s="18" t="s">
        <v>570</v>
      </c>
      <c r="N1795" s="18" t="s">
        <v>570</v>
      </c>
      <c r="O1795" s="18" t="s">
        <v>570</v>
      </c>
      <c r="P1795" s="466"/>
      <c r="Q1795" s="134"/>
      <c r="R1795" s="134"/>
      <c r="S1795" s="344"/>
      <c r="T1795" s="512" t="e">
        <f>_xlfn.XLOOKUP(H1795,#REF!,#REF!,0,0)</f>
        <v>#REF!</v>
      </c>
    </row>
    <row r="1796" spans="1:20" s="506" customFormat="1" x14ac:dyDescent="0.4">
      <c r="A1796" s="21" t="s">
        <v>6505</v>
      </c>
      <c r="B1796" s="21" t="s">
        <v>6506</v>
      </c>
      <c r="C1796" s="21"/>
      <c r="D1796" s="21" t="s">
        <v>693</v>
      </c>
      <c r="E1796" s="21" t="s">
        <v>10</v>
      </c>
      <c r="F1796" s="22" t="s">
        <v>6484</v>
      </c>
      <c r="G1796" s="21"/>
      <c r="H1796" s="21" t="s">
        <v>634</v>
      </c>
      <c r="I1796" s="353">
        <v>69317</v>
      </c>
      <c r="J1796" s="21"/>
      <c r="K1796" s="21">
        <v>44699</v>
      </c>
      <c r="L1796" s="21" t="s">
        <v>364</v>
      </c>
      <c r="M1796" s="21" t="s">
        <v>364</v>
      </c>
      <c r="N1796" s="21" t="s">
        <v>364</v>
      </c>
      <c r="O1796" s="21" t="s">
        <v>364</v>
      </c>
      <c r="P1796" s="465" t="s">
        <v>6507</v>
      </c>
      <c r="Q1796" s="353"/>
      <c r="R1796" s="353"/>
      <c r="S1796" s="345"/>
      <c r="T1796" s="512" t="e">
        <f>_xlfn.XLOOKUP(H1796,#REF!,#REF!,0,0)</f>
        <v>#REF!</v>
      </c>
    </row>
    <row r="1797" spans="1:20" s="299" customFormat="1" ht="18" customHeight="1" x14ac:dyDescent="0.4">
      <c r="A1797" s="18" t="s">
        <v>6508</v>
      </c>
      <c r="B1797" s="18" t="s">
        <v>6509</v>
      </c>
      <c r="C1797" s="19" t="s">
        <v>433</v>
      </c>
      <c r="D1797" s="18" t="s">
        <v>3778</v>
      </c>
      <c r="E1797" s="18" t="s">
        <v>10</v>
      </c>
      <c r="F1797" s="10" t="s">
        <v>5179</v>
      </c>
      <c r="G1797" s="18">
        <v>44595</v>
      </c>
      <c r="H1797" s="18" t="s">
        <v>290</v>
      </c>
      <c r="I1797" s="134">
        <v>71241</v>
      </c>
      <c r="J1797" s="18" t="s">
        <v>6510</v>
      </c>
      <c r="K1797" s="18"/>
      <c r="L1797" s="18" t="s">
        <v>570</v>
      </c>
      <c r="M1797" s="18" t="s">
        <v>570</v>
      </c>
      <c r="N1797" s="18" t="s">
        <v>570</v>
      </c>
      <c r="O1797" s="18" t="s">
        <v>570</v>
      </c>
      <c r="P1797" s="466"/>
      <c r="Q1797" s="134"/>
      <c r="R1797" s="134"/>
      <c r="S1797" s="344"/>
      <c r="T1797" s="512" t="e">
        <f>_xlfn.XLOOKUP(H1797,#REF!,#REF!,0,0)</f>
        <v>#REF!</v>
      </c>
    </row>
    <row r="1798" spans="1:20" s="507" customFormat="1" x14ac:dyDescent="0.4">
      <c r="A1798" s="25" t="s">
        <v>6511</v>
      </c>
      <c r="B1798" s="25" t="s">
        <v>6512</v>
      </c>
      <c r="C1798" s="25"/>
      <c r="D1798" s="25" t="s">
        <v>693</v>
      </c>
      <c r="E1798" s="25" t="s">
        <v>10</v>
      </c>
      <c r="F1798" s="24" t="s">
        <v>5179</v>
      </c>
      <c r="G1798" s="25">
        <v>44595</v>
      </c>
      <c r="H1798" s="25" t="s">
        <v>6513</v>
      </c>
      <c r="I1798" s="264">
        <v>71242</v>
      </c>
      <c r="J1798" s="25" t="s">
        <v>6514</v>
      </c>
      <c r="K1798" s="25">
        <v>44704</v>
      </c>
      <c r="L1798" s="25" t="s">
        <v>364</v>
      </c>
      <c r="M1798" s="25" t="s">
        <v>364</v>
      </c>
      <c r="N1798" s="25" t="s">
        <v>364</v>
      </c>
      <c r="O1798" s="25" t="s">
        <v>364</v>
      </c>
      <c r="P1798" s="467"/>
      <c r="Q1798" s="264"/>
      <c r="R1798" s="264"/>
      <c r="S1798" s="343"/>
      <c r="T1798" s="512" t="e">
        <f>_xlfn.XLOOKUP(H1798,#REF!,#REF!,0,0)</f>
        <v>#REF!</v>
      </c>
    </row>
    <row r="1799" spans="1:20" s="299" customFormat="1" ht="18" customHeight="1" x14ac:dyDescent="0.4">
      <c r="A1799" s="18" t="s">
        <v>6515</v>
      </c>
      <c r="B1799" s="18" t="s">
        <v>6516</v>
      </c>
      <c r="C1799" s="19" t="s">
        <v>433</v>
      </c>
      <c r="D1799" s="18" t="s">
        <v>693</v>
      </c>
      <c r="E1799" s="18" t="s">
        <v>10</v>
      </c>
      <c r="F1799" s="10" t="s">
        <v>3072</v>
      </c>
      <c r="G1799" s="18">
        <v>44649</v>
      </c>
      <c r="H1799" s="18" t="s">
        <v>6517</v>
      </c>
      <c r="I1799" s="134">
        <v>72243</v>
      </c>
      <c r="J1799" s="18" t="s">
        <v>6518</v>
      </c>
      <c r="K1799" s="18" t="s">
        <v>6519</v>
      </c>
      <c r="L1799" s="18" t="s">
        <v>570</v>
      </c>
      <c r="M1799" s="18" t="s">
        <v>570</v>
      </c>
      <c r="N1799" s="18" t="s">
        <v>570</v>
      </c>
      <c r="O1799" s="18" t="s">
        <v>570</v>
      </c>
      <c r="P1799" s="466" t="s">
        <v>6520</v>
      </c>
      <c r="Q1799" s="134"/>
      <c r="R1799" s="134"/>
      <c r="S1799" s="344"/>
      <c r="T1799" s="512" t="e">
        <f>_xlfn.XLOOKUP(H1799,#REF!,#REF!,0,0)</f>
        <v>#REF!</v>
      </c>
    </row>
    <row r="1800" spans="1:20" s="299" customFormat="1" ht="18" customHeight="1" x14ac:dyDescent="0.4">
      <c r="A1800" s="18" t="s">
        <v>6521</v>
      </c>
      <c r="B1800" s="18" t="s">
        <v>6522</v>
      </c>
      <c r="C1800" s="19" t="s">
        <v>433</v>
      </c>
      <c r="D1800" s="18" t="s">
        <v>704</v>
      </c>
      <c r="E1800" s="18" t="s">
        <v>10</v>
      </c>
      <c r="F1800" s="10" t="s">
        <v>5179</v>
      </c>
      <c r="G1800" s="18">
        <v>44595</v>
      </c>
      <c r="H1800" s="18" t="s">
        <v>6523</v>
      </c>
      <c r="I1800" s="134">
        <v>71240</v>
      </c>
      <c r="J1800" s="18" t="s">
        <v>6524</v>
      </c>
      <c r="K1800" s="18">
        <v>44708</v>
      </c>
      <c r="L1800" s="18" t="s">
        <v>570</v>
      </c>
      <c r="M1800" s="18" t="s">
        <v>570</v>
      </c>
      <c r="N1800" s="18" t="s">
        <v>570</v>
      </c>
      <c r="O1800" s="18" t="s">
        <v>570</v>
      </c>
      <c r="P1800" s="466"/>
      <c r="Q1800" s="134"/>
      <c r="R1800" s="134"/>
      <c r="S1800" s="344"/>
      <c r="T1800" s="512" t="e">
        <f>_xlfn.XLOOKUP(H1800,#REF!,#REF!,0,0)</f>
        <v>#REF!</v>
      </c>
    </row>
    <row r="1801" spans="1:20" s="507" customFormat="1" x14ac:dyDescent="0.4">
      <c r="A1801" s="25" t="s">
        <v>6525</v>
      </c>
      <c r="B1801" s="25" t="s">
        <v>6526</v>
      </c>
      <c r="C1801" s="25"/>
      <c r="D1801" s="25" t="s">
        <v>693</v>
      </c>
      <c r="E1801" s="25" t="s">
        <v>10</v>
      </c>
      <c r="F1801" s="24" t="s">
        <v>3072</v>
      </c>
      <c r="G1801" s="25">
        <v>44649</v>
      </c>
      <c r="H1801" s="25" t="s">
        <v>6527</v>
      </c>
      <c r="I1801" s="264">
        <v>72261</v>
      </c>
      <c r="J1801" s="25" t="s">
        <v>6528</v>
      </c>
      <c r="K1801" s="25">
        <v>44713</v>
      </c>
      <c r="L1801" s="25" t="s">
        <v>570</v>
      </c>
      <c r="M1801" s="25" t="s">
        <v>570</v>
      </c>
      <c r="N1801" s="25" t="s">
        <v>570</v>
      </c>
      <c r="O1801" s="25" t="s">
        <v>570</v>
      </c>
      <c r="P1801" s="467" t="s">
        <v>6529</v>
      </c>
      <c r="Q1801" s="264"/>
      <c r="R1801" s="264"/>
      <c r="S1801" s="343"/>
      <c r="T1801" s="512" t="e">
        <f>_xlfn.XLOOKUP(H1801,#REF!,#REF!,0,0)</f>
        <v>#REF!</v>
      </c>
    </row>
    <row r="1802" spans="1:20" s="507" customFormat="1" x14ac:dyDescent="0.4">
      <c r="A1802" s="25" t="s">
        <v>6530</v>
      </c>
      <c r="B1802" s="25" t="s">
        <v>6531</v>
      </c>
      <c r="C1802" s="25"/>
      <c r="D1802" s="25" t="s">
        <v>3778</v>
      </c>
      <c r="E1802" s="25" t="s">
        <v>10</v>
      </c>
      <c r="F1802" s="24" t="s">
        <v>3072</v>
      </c>
      <c r="G1802" s="25">
        <v>44649</v>
      </c>
      <c r="H1802" s="25" t="s">
        <v>6532</v>
      </c>
      <c r="I1802" s="264">
        <v>72263</v>
      </c>
      <c r="J1802" s="25" t="s">
        <v>6533</v>
      </c>
      <c r="K1802" s="25">
        <v>44713</v>
      </c>
      <c r="L1802" s="25" t="s">
        <v>570</v>
      </c>
      <c r="M1802" s="25" t="s">
        <v>570</v>
      </c>
      <c r="N1802" s="25" t="s">
        <v>570</v>
      </c>
      <c r="O1802" s="25" t="s">
        <v>570</v>
      </c>
      <c r="P1802" s="467" t="s">
        <v>6534</v>
      </c>
      <c r="Q1802" s="264"/>
      <c r="R1802" s="264"/>
      <c r="S1802" s="343"/>
      <c r="T1802" s="512" t="e">
        <f>_xlfn.XLOOKUP(H1802,#REF!,#REF!,0,0)</f>
        <v>#REF!</v>
      </c>
    </row>
    <row r="1803" spans="1:20" s="507" customFormat="1" x14ac:dyDescent="0.4">
      <c r="A1803" s="25" t="s">
        <v>6535</v>
      </c>
      <c r="B1803" s="25" t="s">
        <v>6536</v>
      </c>
      <c r="C1803" s="25"/>
      <c r="D1803" s="25" t="s">
        <v>3778</v>
      </c>
      <c r="E1803" s="25" t="s">
        <v>10</v>
      </c>
      <c r="F1803" s="24" t="s">
        <v>5179</v>
      </c>
      <c r="G1803" s="25">
        <v>44595</v>
      </c>
      <c r="H1803" s="25" t="s">
        <v>6537</v>
      </c>
      <c r="I1803" s="264">
        <v>71243</v>
      </c>
      <c r="J1803" s="25" t="s">
        <v>6538</v>
      </c>
      <c r="K1803" s="25">
        <v>44713</v>
      </c>
      <c r="L1803" s="25" t="s">
        <v>570</v>
      </c>
      <c r="M1803" s="25" t="s">
        <v>570</v>
      </c>
      <c r="N1803" s="25" t="s">
        <v>570</v>
      </c>
      <c r="O1803" s="25" t="s">
        <v>570</v>
      </c>
      <c r="P1803" s="467"/>
      <c r="Q1803" s="264"/>
      <c r="R1803" s="264"/>
      <c r="S1803" s="343"/>
      <c r="T1803" s="512" t="e">
        <f>_xlfn.XLOOKUP(H1803,#REF!,#REF!,0,0)</f>
        <v>#REF!</v>
      </c>
    </row>
    <row r="1804" spans="1:20" s="507" customFormat="1" x14ac:dyDescent="0.4">
      <c r="A1804" s="25" t="s">
        <v>6539</v>
      </c>
      <c r="B1804" s="25" t="s">
        <v>6540</v>
      </c>
      <c r="C1804" s="25"/>
      <c r="D1804" s="25" t="s">
        <v>1097</v>
      </c>
      <c r="E1804" s="25" t="s">
        <v>10</v>
      </c>
      <c r="F1804" s="24" t="s">
        <v>5179</v>
      </c>
      <c r="G1804" s="25">
        <v>44595</v>
      </c>
      <c r="H1804" s="25" t="s">
        <v>6541</v>
      </c>
      <c r="I1804" s="264">
        <v>71244</v>
      </c>
      <c r="J1804" s="25" t="s">
        <v>6542</v>
      </c>
      <c r="K1804" s="25">
        <v>44718</v>
      </c>
      <c r="L1804" s="25" t="s">
        <v>570</v>
      </c>
      <c r="M1804" s="25" t="s">
        <v>570</v>
      </c>
      <c r="N1804" s="25" t="s">
        <v>570</v>
      </c>
      <c r="O1804" s="25" t="s">
        <v>570</v>
      </c>
      <c r="P1804" s="467"/>
      <c r="Q1804" s="264"/>
      <c r="R1804" s="264"/>
      <c r="S1804" s="343"/>
      <c r="T1804" s="512" t="e">
        <f>_xlfn.XLOOKUP(H1804,#REF!,#REF!,0,0)</f>
        <v>#REF!</v>
      </c>
    </row>
    <row r="1805" spans="1:20" s="506" customFormat="1" x14ac:dyDescent="0.4">
      <c r="A1805" s="21" t="s">
        <v>6543</v>
      </c>
      <c r="B1805" s="21" t="s">
        <v>6544</v>
      </c>
      <c r="C1805" s="21"/>
      <c r="D1805" s="21" t="s">
        <v>693</v>
      </c>
      <c r="E1805" s="21" t="s">
        <v>10</v>
      </c>
      <c r="F1805" s="22" t="s">
        <v>3072</v>
      </c>
      <c r="G1805" s="21"/>
      <c r="H1805" s="21" t="s">
        <v>6545</v>
      </c>
      <c r="I1805" s="353">
        <v>69460</v>
      </c>
      <c r="J1805" s="21"/>
      <c r="K1805" s="21">
        <v>44718</v>
      </c>
      <c r="L1805" s="21" t="s">
        <v>570</v>
      </c>
      <c r="M1805" s="21" t="s">
        <v>570</v>
      </c>
      <c r="N1805" s="21" t="s">
        <v>570</v>
      </c>
      <c r="O1805" s="21" t="s">
        <v>570</v>
      </c>
      <c r="P1805" s="465" t="s">
        <v>6148</v>
      </c>
      <c r="Q1805" s="353"/>
      <c r="R1805" s="353"/>
      <c r="S1805" s="345"/>
      <c r="T1805" s="512" t="e">
        <f>_xlfn.XLOOKUP(H1805,#REF!,#REF!,0,0)</f>
        <v>#REF!</v>
      </c>
    </row>
    <row r="1806" spans="1:20" s="507" customFormat="1" x14ac:dyDescent="0.4">
      <c r="A1806" s="25" t="s">
        <v>6546</v>
      </c>
      <c r="B1806" s="25" t="s">
        <v>6547</v>
      </c>
      <c r="C1806" s="25"/>
      <c r="D1806" s="25" t="s">
        <v>693</v>
      </c>
      <c r="E1806" s="25" t="s">
        <v>10</v>
      </c>
      <c r="F1806" s="24" t="s">
        <v>3072</v>
      </c>
      <c r="G1806" s="25">
        <v>44649</v>
      </c>
      <c r="H1806" s="25" t="s">
        <v>6548</v>
      </c>
      <c r="I1806" s="264">
        <v>72264</v>
      </c>
      <c r="J1806" s="25" t="s">
        <v>6549</v>
      </c>
      <c r="K1806" s="25">
        <v>44725</v>
      </c>
      <c r="L1806" s="25" t="s">
        <v>570</v>
      </c>
      <c r="M1806" s="25" t="s">
        <v>570</v>
      </c>
      <c r="N1806" s="25" t="s">
        <v>570</v>
      </c>
      <c r="O1806" s="25" t="s">
        <v>570</v>
      </c>
      <c r="P1806" s="467" t="s">
        <v>6148</v>
      </c>
      <c r="Q1806" s="264"/>
      <c r="R1806" s="264"/>
      <c r="S1806" s="343"/>
      <c r="T1806" s="512" t="e">
        <f>_xlfn.XLOOKUP(H1806,#REF!,#REF!,0,0)</f>
        <v>#REF!</v>
      </c>
    </row>
    <row r="1807" spans="1:20" s="299" customFormat="1" ht="18" customHeight="1" x14ac:dyDescent="0.4">
      <c r="A1807" s="18" t="s">
        <v>6550</v>
      </c>
      <c r="B1807" s="18" t="s">
        <v>6551</v>
      </c>
      <c r="C1807" s="19" t="s">
        <v>433</v>
      </c>
      <c r="D1807" s="18" t="s">
        <v>3778</v>
      </c>
      <c r="E1807" s="18" t="s">
        <v>10</v>
      </c>
      <c r="F1807" s="10" t="s">
        <v>5179</v>
      </c>
      <c r="G1807" s="18"/>
      <c r="H1807" s="18" t="s">
        <v>6190</v>
      </c>
      <c r="I1807" s="134">
        <v>71210</v>
      </c>
      <c r="J1807" s="18"/>
      <c r="K1807" s="18"/>
      <c r="L1807" s="18" t="s">
        <v>570</v>
      </c>
      <c r="M1807" s="18" t="s">
        <v>570</v>
      </c>
      <c r="N1807" s="18" t="s">
        <v>570</v>
      </c>
      <c r="O1807" s="18" t="s">
        <v>570</v>
      </c>
      <c r="P1807" s="466"/>
      <c r="Q1807" s="134"/>
      <c r="R1807" s="134"/>
      <c r="S1807" s="344"/>
      <c r="T1807" s="512" t="e">
        <f>_xlfn.XLOOKUP(H1807,#REF!,#REF!,0,0)</f>
        <v>#REF!</v>
      </c>
    </row>
    <row r="1808" spans="1:20" s="507" customFormat="1" x14ac:dyDescent="0.4">
      <c r="A1808" s="25" t="s">
        <v>6552</v>
      </c>
      <c r="B1808" s="25" t="s">
        <v>6553</v>
      </c>
      <c r="C1808" s="25"/>
      <c r="D1808" s="25" t="s">
        <v>693</v>
      </c>
      <c r="E1808" s="25" t="s">
        <v>10</v>
      </c>
      <c r="F1808" s="24" t="s">
        <v>3072</v>
      </c>
      <c r="G1808" s="25">
        <v>44649</v>
      </c>
      <c r="H1808" s="25" t="s">
        <v>6554</v>
      </c>
      <c r="I1808" s="264">
        <v>72266</v>
      </c>
      <c r="J1808" s="25" t="s">
        <v>6555</v>
      </c>
      <c r="K1808" s="25">
        <v>44725</v>
      </c>
      <c r="L1808" s="25" t="s">
        <v>570</v>
      </c>
      <c r="M1808" s="25" t="s">
        <v>570</v>
      </c>
      <c r="N1808" s="25" t="s">
        <v>570</v>
      </c>
      <c r="O1808" s="25" t="s">
        <v>570</v>
      </c>
      <c r="P1808" s="467" t="s">
        <v>6556</v>
      </c>
      <c r="Q1808" s="264"/>
      <c r="R1808" s="264"/>
      <c r="S1808" s="343"/>
      <c r="T1808" s="512" t="e">
        <f>_xlfn.XLOOKUP(H1808,#REF!,#REF!,0,0)</f>
        <v>#REF!</v>
      </c>
    </row>
    <row r="1809" spans="1:20" s="299" customFormat="1" ht="18" customHeight="1" x14ac:dyDescent="0.4">
      <c r="A1809" s="18" t="s">
        <v>6557</v>
      </c>
      <c r="B1809" s="18" t="s">
        <v>6558</v>
      </c>
      <c r="C1809" s="19" t="s">
        <v>433</v>
      </c>
      <c r="D1809" s="18" t="s">
        <v>6559</v>
      </c>
      <c r="E1809" s="18" t="s">
        <v>10</v>
      </c>
      <c r="F1809" s="10" t="s">
        <v>5179</v>
      </c>
      <c r="G1809" s="18">
        <v>44671</v>
      </c>
      <c r="H1809" s="18" t="s">
        <v>6560</v>
      </c>
      <c r="I1809" s="134">
        <v>71516</v>
      </c>
      <c r="J1809" s="18" t="s">
        <v>6561</v>
      </c>
      <c r="K1809" s="18">
        <v>44725</v>
      </c>
      <c r="L1809" s="18" t="s">
        <v>570</v>
      </c>
      <c r="M1809" s="18" t="s">
        <v>570</v>
      </c>
      <c r="N1809" s="18" t="s">
        <v>570</v>
      </c>
      <c r="O1809" s="18" t="s">
        <v>570</v>
      </c>
      <c r="P1809" s="466" t="s">
        <v>523</v>
      </c>
      <c r="Q1809" s="134"/>
      <c r="R1809" s="134"/>
      <c r="S1809" s="344"/>
      <c r="T1809" s="512" t="e">
        <f>_xlfn.XLOOKUP(H1809,#REF!,#REF!,0,0)</f>
        <v>#REF!</v>
      </c>
    </row>
    <row r="1810" spans="1:20" s="507" customFormat="1" x14ac:dyDescent="0.4">
      <c r="A1810" s="25" t="s">
        <v>6562</v>
      </c>
      <c r="B1810" s="25" t="s">
        <v>6563</v>
      </c>
      <c r="C1810" s="25"/>
      <c r="D1810" s="25" t="s">
        <v>693</v>
      </c>
      <c r="E1810" s="25" t="s">
        <v>10</v>
      </c>
      <c r="F1810" s="24" t="s">
        <v>3072</v>
      </c>
      <c r="G1810" s="25">
        <v>44649</v>
      </c>
      <c r="H1810" s="25" t="s">
        <v>6564</v>
      </c>
      <c r="I1810" s="264">
        <v>72265</v>
      </c>
      <c r="J1810" s="25" t="s">
        <v>6565</v>
      </c>
      <c r="K1810" s="25">
        <v>44725</v>
      </c>
      <c r="L1810" s="25" t="s">
        <v>364</v>
      </c>
      <c r="M1810" s="25" t="s">
        <v>364</v>
      </c>
      <c r="N1810" s="25" t="s">
        <v>364</v>
      </c>
      <c r="O1810" s="25" t="s">
        <v>364</v>
      </c>
      <c r="P1810" s="467"/>
      <c r="Q1810" s="264"/>
      <c r="R1810" s="264"/>
      <c r="S1810" s="343"/>
      <c r="T1810" s="512" t="e">
        <f>_xlfn.XLOOKUP(H1810,#REF!,#REF!,0,0)</f>
        <v>#REF!</v>
      </c>
    </row>
    <row r="1811" spans="1:20" s="299" customFormat="1" ht="18" customHeight="1" x14ac:dyDescent="0.4">
      <c r="A1811" s="18" t="s">
        <v>6566</v>
      </c>
      <c r="B1811" s="18" t="s">
        <v>6567</v>
      </c>
      <c r="C1811" s="19" t="s">
        <v>433</v>
      </c>
      <c r="D1811" s="18" t="s">
        <v>693</v>
      </c>
      <c r="E1811" s="18" t="s">
        <v>10</v>
      </c>
      <c r="F1811" s="10" t="s">
        <v>5179</v>
      </c>
      <c r="G1811" s="18">
        <v>44595</v>
      </c>
      <c r="H1811" s="18" t="s">
        <v>292</v>
      </c>
      <c r="I1811" s="134">
        <v>71253</v>
      </c>
      <c r="J1811" s="18" t="s">
        <v>6568</v>
      </c>
      <c r="K1811" s="18">
        <v>44726</v>
      </c>
      <c r="L1811" s="18" t="s">
        <v>364</v>
      </c>
      <c r="M1811" s="18" t="s">
        <v>364</v>
      </c>
      <c r="N1811" s="18" t="s">
        <v>364</v>
      </c>
      <c r="O1811" s="18" t="s">
        <v>364</v>
      </c>
      <c r="P1811" s="466" t="s">
        <v>6569</v>
      </c>
      <c r="Q1811" s="134"/>
      <c r="R1811" s="134"/>
      <c r="S1811" s="344"/>
      <c r="T1811" s="512" t="e">
        <f>_xlfn.XLOOKUP(H1811,#REF!,#REF!,0,0)</f>
        <v>#REF!</v>
      </c>
    </row>
    <row r="1812" spans="1:20" s="506" customFormat="1" x14ac:dyDescent="0.4">
      <c r="A1812" s="21" t="s">
        <v>6570</v>
      </c>
      <c r="B1812" s="21" t="s">
        <v>6571</v>
      </c>
      <c r="C1812" s="21"/>
      <c r="D1812" s="21" t="s">
        <v>693</v>
      </c>
      <c r="E1812" s="21" t="s">
        <v>10</v>
      </c>
      <c r="F1812" s="22" t="s">
        <v>3072</v>
      </c>
      <c r="G1812" s="21"/>
      <c r="H1812" s="21" t="s">
        <v>5759</v>
      </c>
      <c r="I1812" s="353">
        <v>70768</v>
      </c>
      <c r="J1812" s="21"/>
      <c r="K1812" s="21">
        <v>44725</v>
      </c>
      <c r="L1812" s="21" t="s">
        <v>364</v>
      </c>
      <c r="M1812" s="21" t="s">
        <v>364</v>
      </c>
      <c r="N1812" s="21" t="s">
        <v>364</v>
      </c>
      <c r="O1812" s="21" t="s">
        <v>364</v>
      </c>
      <c r="P1812" s="465" t="s">
        <v>6572</v>
      </c>
      <c r="Q1812" s="353"/>
      <c r="R1812" s="353"/>
      <c r="S1812" s="345"/>
      <c r="T1812" s="512" t="e">
        <f>_xlfn.XLOOKUP(H1812,#REF!,#REF!,0,0)</f>
        <v>#REF!</v>
      </c>
    </row>
    <row r="1813" spans="1:20" s="508" customFormat="1" x14ac:dyDescent="0.4">
      <c r="A1813" s="260" t="s">
        <v>6573</v>
      </c>
      <c r="B1813" s="260" t="s">
        <v>6574</v>
      </c>
      <c r="C1813" s="260"/>
      <c r="D1813" s="260" t="s">
        <v>3758</v>
      </c>
      <c r="E1813" s="260" t="s">
        <v>10</v>
      </c>
      <c r="F1813" s="261" t="s">
        <v>5179</v>
      </c>
      <c r="G1813" s="260">
        <v>44595</v>
      </c>
      <c r="H1813" s="260" t="s">
        <v>6575</v>
      </c>
      <c r="I1813" s="352">
        <v>71247</v>
      </c>
      <c r="J1813" s="260" t="s">
        <v>6576</v>
      </c>
      <c r="K1813" s="260">
        <v>44732</v>
      </c>
      <c r="L1813" s="260" t="s">
        <v>364</v>
      </c>
      <c r="M1813" s="260" t="s">
        <v>364</v>
      </c>
      <c r="N1813" s="260" t="s">
        <v>364</v>
      </c>
      <c r="O1813" s="260" t="s">
        <v>364</v>
      </c>
      <c r="P1813" s="470" t="s">
        <v>6577</v>
      </c>
      <c r="Q1813" s="352"/>
      <c r="R1813" s="352"/>
      <c r="S1813" s="342"/>
      <c r="T1813" s="512" t="e">
        <f>_xlfn.XLOOKUP(H1813,#REF!,#REF!,0,0)</f>
        <v>#REF!</v>
      </c>
    </row>
    <row r="1814" spans="1:20" s="507" customFormat="1" x14ac:dyDescent="0.4">
      <c r="A1814" s="25" t="s">
        <v>6578</v>
      </c>
      <c r="B1814" s="25" t="s">
        <v>6579</v>
      </c>
      <c r="C1814" s="25"/>
      <c r="D1814" s="25" t="s">
        <v>693</v>
      </c>
      <c r="E1814" s="25" t="s">
        <v>10</v>
      </c>
      <c r="F1814" s="24" t="s">
        <v>3072</v>
      </c>
      <c r="G1814" s="25">
        <v>44649</v>
      </c>
      <c r="H1814" s="25" t="s">
        <v>304</v>
      </c>
      <c r="I1814" s="264">
        <v>72269</v>
      </c>
      <c r="J1814" s="25" t="s">
        <v>6580</v>
      </c>
      <c r="K1814" s="25">
        <v>44733</v>
      </c>
      <c r="L1814" s="25" t="s">
        <v>570</v>
      </c>
      <c r="M1814" s="25" t="s">
        <v>570</v>
      </c>
      <c r="N1814" s="25" t="s">
        <v>570</v>
      </c>
      <c r="O1814" s="25" t="s">
        <v>570</v>
      </c>
      <c r="P1814" s="467" t="s">
        <v>6581</v>
      </c>
      <c r="Q1814" s="264"/>
      <c r="R1814" s="264"/>
      <c r="S1814" s="343"/>
      <c r="T1814" s="512" t="e">
        <f>_xlfn.XLOOKUP(H1814,#REF!,#REF!,0,0)</f>
        <v>#REF!</v>
      </c>
    </row>
    <row r="1815" spans="1:20" s="508" customFormat="1" x14ac:dyDescent="0.4">
      <c r="A1815" s="260" t="s">
        <v>6582</v>
      </c>
      <c r="B1815" s="260" t="s">
        <v>6583</v>
      </c>
      <c r="C1815" s="260"/>
      <c r="D1815" s="260" t="s">
        <v>693</v>
      </c>
      <c r="E1815" s="260" t="s">
        <v>10</v>
      </c>
      <c r="F1815" s="261" t="s">
        <v>5179</v>
      </c>
      <c r="G1815" s="260">
        <v>44595</v>
      </c>
      <c r="H1815" s="260" t="s">
        <v>6584</v>
      </c>
      <c r="I1815" s="352">
        <v>71245</v>
      </c>
      <c r="J1815" s="260" t="s">
        <v>6585</v>
      </c>
      <c r="K1815" s="260">
        <v>44743</v>
      </c>
      <c r="L1815" s="260" t="s">
        <v>364</v>
      </c>
      <c r="M1815" s="260" t="s">
        <v>364</v>
      </c>
      <c r="N1815" s="260" t="s">
        <v>364</v>
      </c>
      <c r="O1815" s="260" t="s">
        <v>364</v>
      </c>
      <c r="P1815" s="470"/>
      <c r="Q1815" s="352"/>
      <c r="R1815" s="352"/>
      <c r="S1815" s="342"/>
      <c r="T1815" s="512" t="e">
        <f>_xlfn.XLOOKUP(H1815,#REF!,#REF!,0,0)</f>
        <v>#REF!</v>
      </c>
    </row>
    <row r="1816" spans="1:20" s="508" customFormat="1" x14ac:dyDescent="0.4">
      <c r="A1816" s="260" t="s">
        <v>6586</v>
      </c>
      <c r="B1816" s="260" t="s">
        <v>6587</v>
      </c>
      <c r="C1816" s="260"/>
      <c r="D1816" s="260" t="s">
        <v>693</v>
      </c>
      <c r="E1816" s="260" t="s">
        <v>10</v>
      </c>
      <c r="F1816" s="261" t="s">
        <v>5179</v>
      </c>
      <c r="G1816" s="260">
        <v>44595</v>
      </c>
      <c r="H1816" s="260" t="s">
        <v>6588</v>
      </c>
      <c r="I1816" s="352">
        <v>71246</v>
      </c>
      <c r="J1816" s="260" t="s">
        <v>6589</v>
      </c>
      <c r="K1816" s="260">
        <v>44743</v>
      </c>
      <c r="L1816" s="260" t="s">
        <v>364</v>
      </c>
      <c r="M1816" s="260" t="s">
        <v>364</v>
      </c>
      <c r="N1816" s="260" t="s">
        <v>364</v>
      </c>
      <c r="O1816" s="260" t="s">
        <v>364</v>
      </c>
      <c r="P1816" s="470"/>
      <c r="Q1816" s="352"/>
      <c r="R1816" s="352"/>
      <c r="S1816" s="342"/>
      <c r="T1816" s="512" t="e">
        <f>_xlfn.XLOOKUP(H1816,#REF!,#REF!,0,0)</f>
        <v>#REF!</v>
      </c>
    </row>
    <row r="1817" spans="1:20" s="507" customFormat="1" x14ac:dyDescent="0.4">
      <c r="A1817" s="25" t="s">
        <v>6590</v>
      </c>
      <c r="B1817" s="25" t="s">
        <v>6591</v>
      </c>
      <c r="C1817" s="25"/>
      <c r="D1817" s="25" t="s">
        <v>693</v>
      </c>
      <c r="E1817" s="25" t="s">
        <v>10</v>
      </c>
      <c r="F1817" s="24" t="s">
        <v>3072</v>
      </c>
      <c r="G1817" s="25">
        <v>44649</v>
      </c>
      <c r="H1817" s="25" t="s">
        <v>6592</v>
      </c>
      <c r="I1817" s="264">
        <v>72267</v>
      </c>
      <c r="J1817" s="25" t="s">
        <v>6593</v>
      </c>
      <c r="K1817" s="25">
        <v>44743</v>
      </c>
      <c r="L1817" s="25" t="s">
        <v>364</v>
      </c>
      <c r="M1817" s="25" t="s">
        <v>364</v>
      </c>
      <c r="N1817" s="25" t="s">
        <v>364</v>
      </c>
      <c r="O1817" s="25" t="s">
        <v>364</v>
      </c>
      <c r="P1817" s="467" t="s">
        <v>6278</v>
      </c>
      <c r="Q1817" s="264"/>
      <c r="R1817" s="264"/>
      <c r="S1817" s="343"/>
      <c r="T1817" s="512" t="e">
        <f>_xlfn.XLOOKUP(H1817,#REF!,#REF!,0,0)</f>
        <v>#REF!</v>
      </c>
    </row>
    <row r="1818" spans="1:20" s="299" customFormat="1" ht="18" customHeight="1" x14ac:dyDescent="0.4">
      <c r="A1818" s="18" t="s">
        <v>6594</v>
      </c>
      <c r="B1818" s="18" t="s">
        <v>6595</v>
      </c>
      <c r="C1818" s="19" t="s">
        <v>433</v>
      </c>
      <c r="D1818" s="18" t="s">
        <v>693</v>
      </c>
      <c r="E1818" s="18" t="s">
        <v>10</v>
      </c>
      <c r="F1818" s="10" t="s">
        <v>5179</v>
      </c>
      <c r="G1818" s="18">
        <v>44595</v>
      </c>
      <c r="H1818" s="18" t="s">
        <v>6596</v>
      </c>
      <c r="I1818" s="134">
        <v>71251</v>
      </c>
      <c r="J1818" s="18" t="s">
        <v>6597</v>
      </c>
      <c r="K1818" s="18" t="s">
        <v>6598</v>
      </c>
      <c r="L1818" s="18" t="s">
        <v>364</v>
      </c>
      <c r="M1818" s="18" t="s">
        <v>364</v>
      </c>
      <c r="N1818" s="18" t="s">
        <v>364</v>
      </c>
      <c r="O1818" s="18" t="s">
        <v>364</v>
      </c>
      <c r="P1818" s="466"/>
      <c r="Q1818" s="134"/>
      <c r="R1818" s="134"/>
      <c r="S1818" s="344"/>
      <c r="T1818" s="512" t="e">
        <f>_xlfn.XLOOKUP(H1818,#REF!,#REF!,0,0)</f>
        <v>#REF!</v>
      </c>
    </row>
    <row r="1819" spans="1:20" s="507" customFormat="1" x14ac:dyDescent="0.4">
      <c r="A1819" s="25" t="s">
        <v>6599</v>
      </c>
      <c r="B1819" s="25" t="s">
        <v>6600</v>
      </c>
      <c r="C1819" s="25"/>
      <c r="D1819" s="25" t="s">
        <v>693</v>
      </c>
      <c r="E1819" s="25" t="s">
        <v>10</v>
      </c>
      <c r="F1819" s="24" t="s">
        <v>5179</v>
      </c>
      <c r="G1819" s="25">
        <v>44595</v>
      </c>
      <c r="H1819" s="25" t="s">
        <v>6601</v>
      </c>
      <c r="I1819" s="264">
        <v>71252</v>
      </c>
      <c r="J1819" s="25" t="s">
        <v>6602</v>
      </c>
      <c r="K1819" s="25">
        <v>44743</v>
      </c>
      <c r="L1819" s="25" t="s">
        <v>364</v>
      </c>
      <c r="M1819" s="25" t="s">
        <v>364</v>
      </c>
      <c r="N1819" s="25" t="s">
        <v>364</v>
      </c>
      <c r="O1819" s="25" t="s">
        <v>364</v>
      </c>
      <c r="P1819" s="467"/>
      <c r="Q1819" s="264"/>
      <c r="R1819" s="264"/>
      <c r="S1819" s="343"/>
      <c r="T1819" s="512" t="e">
        <f>_xlfn.XLOOKUP(H1819,#REF!,#REF!,0,0)</f>
        <v>#REF!</v>
      </c>
    </row>
    <row r="1820" spans="1:20" s="507" customFormat="1" x14ac:dyDescent="0.4">
      <c r="A1820" s="25" t="s">
        <v>6603</v>
      </c>
      <c r="B1820" s="25" t="s">
        <v>6604</v>
      </c>
      <c r="C1820" s="25"/>
      <c r="D1820" s="25" t="s">
        <v>693</v>
      </c>
      <c r="E1820" s="25" t="s">
        <v>10</v>
      </c>
      <c r="F1820" s="24" t="s">
        <v>5179</v>
      </c>
      <c r="G1820" s="25">
        <v>44671</v>
      </c>
      <c r="H1820" s="25" t="s">
        <v>6605</v>
      </c>
      <c r="I1820" s="264">
        <v>71517</v>
      </c>
      <c r="J1820" s="25" t="s">
        <v>6606</v>
      </c>
      <c r="K1820" s="25">
        <v>44743</v>
      </c>
      <c r="L1820" s="25" t="s">
        <v>364</v>
      </c>
      <c r="M1820" s="25" t="s">
        <v>364</v>
      </c>
      <c r="N1820" s="25" t="s">
        <v>364</v>
      </c>
      <c r="O1820" s="25" t="s">
        <v>364</v>
      </c>
      <c r="P1820" s="467"/>
      <c r="Q1820" s="264"/>
      <c r="R1820" s="264"/>
      <c r="S1820" s="343"/>
      <c r="T1820" s="512" t="e">
        <f>_xlfn.XLOOKUP(H1820,#REF!,#REF!,0,0)</f>
        <v>#REF!</v>
      </c>
    </row>
    <row r="1821" spans="1:20" s="507" customFormat="1" x14ac:dyDescent="0.4">
      <c r="A1821" s="25" t="s">
        <v>6607</v>
      </c>
      <c r="B1821" s="25" t="s">
        <v>6608</v>
      </c>
      <c r="C1821" s="25"/>
      <c r="D1821" s="25" t="s">
        <v>693</v>
      </c>
      <c r="E1821" s="25" t="s">
        <v>10</v>
      </c>
      <c r="F1821" s="24" t="s">
        <v>5179</v>
      </c>
      <c r="G1821" s="25">
        <v>44595</v>
      </c>
      <c r="H1821" s="25" t="s">
        <v>291</v>
      </c>
      <c r="I1821" s="264">
        <v>71250</v>
      </c>
      <c r="J1821" s="25" t="s">
        <v>6609</v>
      </c>
      <c r="K1821" s="25">
        <v>44743</v>
      </c>
      <c r="L1821" s="25" t="s">
        <v>364</v>
      </c>
      <c r="M1821" s="25" t="s">
        <v>364</v>
      </c>
      <c r="N1821" s="25" t="s">
        <v>364</v>
      </c>
      <c r="O1821" s="25" t="s">
        <v>364</v>
      </c>
      <c r="P1821" s="467"/>
      <c r="Q1821" s="264"/>
      <c r="R1821" s="264"/>
      <c r="S1821" s="343"/>
      <c r="T1821" s="512" t="e">
        <f>_xlfn.XLOOKUP(H1821,#REF!,#REF!,0,0)</f>
        <v>#REF!</v>
      </c>
    </row>
    <row r="1822" spans="1:20" s="507" customFormat="1" x14ac:dyDescent="0.4">
      <c r="A1822" s="25" t="s">
        <v>6610</v>
      </c>
      <c r="B1822" s="25" t="s">
        <v>6611</v>
      </c>
      <c r="C1822" s="25"/>
      <c r="D1822" s="25" t="s">
        <v>693</v>
      </c>
      <c r="E1822" s="25" t="s">
        <v>10</v>
      </c>
      <c r="F1822" s="24" t="s">
        <v>3072</v>
      </c>
      <c r="G1822" s="25">
        <v>44649</v>
      </c>
      <c r="H1822" s="25" t="s">
        <v>6612</v>
      </c>
      <c r="I1822" s="264">
        <v>72270</v>
      </c>
      <c r="J1822" s="25" t="s">
        <v>6613</v>
      </c>
      <c r="K1822" s="25">
        <v>44743</v>
      </c>
      <c r="L1822" s="25" t="s">
        <v>570</v>
      </c>
      <c r="M1822" s="25" t="s">
        <v>570</v>
      </c>
      <c r="N1822" s="25" t="s">
        <v>570</v>
      </c>
      <c r="O1822" s="25" t="s">
        <v>570</v>
      </c>
      <c r="P1822" s="467" t="s">
        <v>6614</v>
      </c>
      <c r="Q1822" s="264"/>
      <c r="R1822" s="264"/>
      <c r="S1822" s="343"/>
      <c r="T1822" s="512" t="e">
        <f>_xlfn.XLOOKUP(H1822,#REF!,#REF!,0,0)</f>
        <v>#REF!</v>
      </c>
    </row>
    <row r="1823" spans="1:20" s="507" customFormat="1" x14ac:dyDescent="0.4">
      <c r="A1823" s="25" t="s">
        <v>6615</v>
      </c>
      <c r="B1823" s="25" t="s">
        <v>6616</v>
      </c>
      <c r="C1823" s="25"/>
      <c r="D1823" s="25" t="s">
        <v>693</v>
      </c>
      <c r="E1823" s="25" t="s">
        <v>10</v>
      </c>
      <c r="F1823" s="24" t="s">
        <v>3072</v>
      </c>
      <c r="G1823" s="25">
        <v>44649</v>
      </c>
      <c r="H1823" s="25" t="s">
        <v>6617</v>
      </c>
      <c r="I1823" s="264">
        <v>72271</v>
      </c>
      <c r="J1823" s="25" t="s">
        <v>541</v>
      </c>
      <c r="K1823" s="25">
        <v>44743</v>
      </c>
      <c r="L1823" s="25" t="s">
        <v>570</v>
      </c>
      <c r="M1823" s="25" t="s">
        <v>570</v>
      </c>
      <c r="N1823" s="25" t="s">
        <v>570</v>
      </c>
      <c r="O1823" s="25" t="s">
        <v>570</v>
      </c>
      <c r="P1823" s="467" t="s">
        <v>6278</v>
      </c>
      <c r="Q1823" s="264"/>
      <c r="R1823" s="264"/>
      <c r="S1823" s="343"/>
      <c r="T1823" s="512" t="e">
        <f>_xlfn.XLOOKUP(H1823,#REF!,#REF!,0,0)</f>
        <v>#REF!</v>
      </c>
    </row>
    <row r="1824" spans="1:20" s="507" customFormat="1" x14ac:dyDescent="0.4">
      <c r="A1824" s="25" t="s">
        <v>6618</v>
      </c>
      <c r="B1824" s="25" t="s">
        <v>6619</v>
      </c>
      <c r="C1824" s="25"/>
      <c r="D1824" s="25" t="s">
        <v>693</v>
      </c>
      <c r="E1824" s="25" t="s">
        <v>10</v>
      </c>
      <c r="F1824" s="24" t="s">
        <v>3072</v>
      </c>
      <c r="G1824" s="25">
        <v>44649</v>
      </c>
      <c r="H1824" s="25" t="s">
        <v>6620</v>
      </c>
      <c r="I1824" s="264">
        <v>72273</v>
      </c>
      <c r="J1824" s="25" t="s">
        <v>6621</v>
      </c>
      <c r="K1824" s="25">
        <v>44743</v>
      </c>
      <c r="L1824" s="25" t="s">
        <v>570</v>
      </c>
      <c r="M1824" s="25" t="s">
        <v>570</v>
      </c>
      <c r="N1824" s="25" t="s">
        <v>570</v>
      </c>
      <c r="O1824" s="25" t="s">
        <v>570</v>
      </c>
      <c r="P1824" s="467" t="s">
        <v>6278</v>
      </c>
      <c r="Q1824" s="264"/>
      <c r="R1824" s="264"/>
      <c r="S1824" s="343"/>
      <c r="T1824" s="512" t="e">
        <f>_xlfn.XLOOKUP(H1824,#REF!,#REF!,0,0)</f>
        <v>#REF!</v>
      </c>
    </row>
    <row r="1825" spans="1:20" s="507" customFormat="1" x14ac:dyDescent="0.4">
      <c r="A1825" s="25" t="s">
        <v>6622</v>
      </c>
      <c r="B1825" s="25" t="s">
        <v>6623</v>
      </c>
      <c r="C1825" s="25"/>
      <c r="D1825" s="25" t="s">
        <v>693</v>
      </c>
      <c r="E1825" s="25" t="s">
        <v>10</v>
      </c>
      <c r="F1825" s="24" t="s">
        <v>5179</v>
      </c>
      <c r="G1825" s="25">
        <v>44595</v>
      </c>
      <c r="H1825" s="25" t="s">
        <v>6513</v>
      </c>
      <c r="I1825" s="264">
        <v>71242</v>
      </c>
      <c r="J1825" s="25" t="s">
        <v>6514</v>
      </c>
      <c r="K1825" s="25">
        <v>44743</v>
      </c>
      <c r="L1825" s="25" t="s">
        <v>570</v>
      </c>
      <c r="M1825" s="25" t="s">
        <v>570</v>
      </c>
      <c r="N1825" s="25" t="s">
        <v>570</v>
      </c>
      <c r="O1825" s="25" t="s">
        <v>570</v>
      </c>
      <c r="P1825" s="467" t="s">
        <v>6624</v>
      </c>
      <c r="Q1825" s="264"/>
      <c r="R1825" s="264"/>
      <c r="S1825" s="343"/>
      <c r="T1825" s="512" t="e">
        <f>_xlfn.XLOOKUP(H1825,#REF!,#REF!,0,0)</f>
        <v>#REF!</v>
      </c>
    </row>
    <row r="1826" spans="1:20" s="507" customFormat="1" x14ac:dyDescent="0.4">
      <c r="A1826" s="25" t="s">
        <v>6625</v>
      </c>
      <c r="B1826" s="25" t="s">
        <v>6626</v>
      </c>
      <c r="C1826" s="25"/>
      <c r="D1826" s="25" t="s">
        <v>5984</v>
      </c>
      <c r="E1826" s="25" t="s">
        <v>10</v>
      </c>
      <c r="F1826" s="24" t="s">
        <v>5179</v>
      </c>
      <c r="G1826" s="25">
        <v>44671</v>
      </c>
      <c r="H1826" s="25" t="s">
        <v>6627</v>
      </c>
      <c r="I1826" s="264">
        <v>71518</v>
      </c>
      <c r="J1826" s="25" t="s">
        <v>6628</v>
      </c>
      <c r="K1826" s="25">
        <v>44753</v>
      </c>
      <c r="L1826" s="25" t="s">
        <v>364</v>
      </c>
      <c r="M1826" s="25" t="s">
        <v>364</v>
      </c>
      <c r="N1826" s="25" t="s">
        <v>364</v>
      </c>
      <c r="O1826" s="25" t="s">
        <v>364</v>
      </c>
      <c r="P1826" s="467" t="s">
        <v>6629</v>
      </c>
      <c r="Q1826" s="264"/>
      <c r="R1826" s="264"/>
      <c r="S1826" s="343"/>
      <c r="T1826" s="512" t="e">
        <f>_xlfn.XLOOKUP(H1826,#REF!,#REF!,0,0)</f>
        <v>#REF!</v>
      </c>
    </row>
    <row r="1827" spans="1:20" s="507" customFormat="1" x14ac:dyDescent="0.4">
      <c r="A1827" s="25" t="s">
        <v>6630</v>
      </c>
      <c r="B1827" s="25" t="s">
        <v>6631</v>
      </c>
      <c r="C1827" s="25"/>
      <c r="D1827" s="25" t="s">
        <v>5984</v>
      </c>
      <c r="E1827" s="25" t="s">
        <v>10</v>
      </c>
      <c r="F1827" s="24" t="s">
        <v>5179</v>
      </c>
      <c r="G1827" s="25">
        <v>44595</v>
      </c>
      <c r="H1827" s="25" t="s">
        <v>6632</v>
      </c>
      <c r="I1827" s="264">
        <v>71249</v>
      </c>
      <c r="J1827" s="25" t="s">
        <v>6633</v>
      </c>
      <c r="K1827" s="25">
        <v>44753</v>
      </c>
      <c r="L1827" s="25" t="s">
        <v>364</v>
      </c>
      <c r="M1827" s="25" t="s">
        <v>364</v>
      </c>
      <c r="N1827" s="25" t="s">
        <v>364</v>
      </c>
      <c r="O1827" s="25" t="s">
        <v>364</v>
      </c>
      <c r="P1827" s="467" t="s">
        <v>523</v>
      </c>
      <c r="Q1827" s="264"/>
      <c r="R1827" s="264"/>
      <c r="S1827" s="343"/>
      <c r="T1827" s="512" t="e">
        <f>_xlfn.XLOOKUP(H1827,#REF!,#REF!,0,0)</f>
        <v>#REF!</v>
      </c>
    </row>
    <row r="1828" spans="1:20" s="299" customFormat="1" ht="18" customHeight="1" x14ac:dyDescent="0.4">
      <c r="A1828" s="18" t="s">
        <v>6634</v>
      </c>
      <c r="B1828" s="18" t="s">
        <v>6635</v>
      </c>
      <c r="C1828" s="19" t="s">
        <v>433</v>
      </c>
      <c r="D1828" s="18" t="s">
        <v>693</v>
      </c>
      <c r="E1828" s="18" t="s">
        <v>10</v>
      </c>
      <c r="F1828" s="10" t="s">
        <v>5179</v>
      </c>
      <c r="G1828" s="18">
        <v>44595</v>
      </c>
      <c r="H1828" s="18" t="s">
        <v>6636</v>
      </c>
      <c r="I1828" s="134">
        <v>71248</v>
      </c>
      <c r="J1828" s="18" t="s">
        <v>6637</v>
      </c>
      <c r="K1828" s="18" t="s">
        <v>6638</v>
      </c>
      <c r="L1828" s="18" t="s">
        <v>364</v>
      </c>
      <c r="M1828" s="18" t="s">
        <v>364</v>
      </c>
      <c r="N1828" s="18" t="s">
        <v>364</v>
      </c>
      <c r="O1828" s="18" t="s">
        <v>364</v>
      </c>
      <c r="P1828" s="466" t="s">
        <v>523</v>
      </c>
      <c r="Q1828" s="134"/>
      <c r="R1828" s="134"/>
      <c r="S1828" s="344"/>
      <c r="T1828" s="512" t="e">
        <f>_xlfn.XLOOKUP(H1828,#REF!,#REF!,0,0)</f>
        <v>#REF!</v>
      </c>
    </row>
    <row r="1829" spans="1:20" s="507" customFormat="1" x14ac:dyDescent="0.4">
      <c r="A1829" s="25" t="s">
        <v>6639</v>
      </c>
      <c r="B1829" s="25" t="s">
        <v>6640</v>
      </c>
      <c r="C1829" s="25"/>
      <c r="D1829" s="25" t="s">
        <v>693</v>
      </c>
      <c r="E1829" s="25" t="s">
        <v>10</v>
      </c>
      <c r="F1829" s="24" t="s">
        <v>3072</v>
      </c>
      <c r="G1829" s="25">
        <v>44649</v>
      </c>
      <c r="H1829" s="25" t="s">
        <v>6641</v>
      </c>
      <c r="I1829" s="264">
        <v>72272</v>
      </c>
      <c r="J1829" s="25" t="s">
        <v>6642</v>
      </c>
      <c r="K1829" s="25">
        <v>44743</v>
      </c>
      <c r="L1829" s="25" t="s">
        <v>570</v>
      </c>
      <c r="M1829" s="25" t="s">
        <v>570</v>
      </c>
      <c r="N1829" s="25" t="s">
        <v>570</v>
      </c>
      <c r="O1829" s="25" t="s">
        <v>570</v>
      </c>
      <c r="P1829" s="467" t="s">
        <v>6643</v>
      </c>
      <c r="Q1829" s="264"/>
      <c r="R1829" s="264"/>
      <c r="S1829" s="343"/>
      <c r="T1829" s="512" t="e">
        <f>_xlfn.XLOOKUP(H1829,#REF!,#REF!,0,0)</f>
        <v>#REF!</v>
      </c>
    </row>
    <row r="1830" spans="1:20" s="299" customFormat="1" ht="18" customHeight="1" x14ac:dyDescent="0.4">
      <c r="A1830" s="18" t="s">
        <v>6644</v>
      </c>
      <c r="B1830" s="18" t="s">
        <v>6645</v>
      </c>
      <c r="C1830" s="19" t="s">
        <v>433</v>
      </c>
      <c r="D1830" s="18" t="s">
        <v>693</v>
      </c>
      <c r="E1830" s="18" t="s">
        <v>10</v>
      </c>
      <c r="F1830" s="10" t="s">
        <v>5909</v>
      </c>
      <c r="G1830" s="18"/>
      <c r="H1830" s="18" t="s">
        <v>6646</v>
      </c>
      <c r="I1830" s="134">
        <v>70484</v>
      </c>
      <c r="J1830" s="18"/>
      <c r="K1830" s="18">
        <v>44761</v>
      </c>
      <c r="L1830" s="18" t="s">
        <v>364</v>
      </c>
      <c r="M1830" s="18" t="s">
        <v>364</v>
      </c>
      <c r="N1830" s="18" t="s">
        <v>364</v>
      </c>
      <c r="O1830" s="18" t="s">
        <v>364</v>
      </c>
      <c r="P1830" s="466" t="s">
        <v>3718</v>
      </c>
      <c r="Q1830" s="134"/>
      <c r="R1830" s="134"/>
      <c r="S1830" s="344"/>
      <c r="T1830" s="512" t="e">
        <f>_xlfn.XLOOKUP(H1830,#REF!,#REF!,0,0)</f>
        <v>#REF!</v>
      </c>
    </row>
    <row r="1831" spans="1:20" s="507" customFormat="1" x14ac:dyDescent="0.4">
      <c r="A1831" s="25" t="s">
        <v>6647</v>
      </c>
      <c r="B1831" s="25" t="s">
        <v>6648</v>
      </c>
      <c r="C1831" s="25"/>
      <c r="D1831" s="25" t="s">
        <v>693</v>
      </c>
      <c r="E1831" s="25" t="s">
        <v>10</v>
      </c>
      <c r="F1831" s="24" t="s">
        <v>3072</v>
      </c>
      <c r="G1831" s="25">
        <v>44649</v>
      </c>
      <c r="H1831" s="25" t="s">
        <v>6649</v>
      </c>
      <c r="I1831" s="264">
        <v>72276</v>
      </c>
      <c r="J1831" s="25" t="s">
        <v>6650</v>
      </c>
      <c r="K1831" s="25">
        <v>44761</v>
      </c>
      <c r="L1831" s="25" t="s">
        <v>364</v>
      </c>
      <c r="M1831" s="25" t="s">
        <v>364</v>
      </c>
      <c r="N1831" s="25" t="s">
        <v>364</v>
      </c>
      <c r="O1831" s="25" t="s">
        <v>364</v>
      </c>
      <c r="P1831" s="467" t="s">
        <v>6651</v>
      </c>
      <c r="Q1831" s="264"/>
      <c r="R1831" s="264"/>
      <c r="S1831" s="343"/>
      <c r="T1831" s="512" t="e">
        <f>_xlfn.XLOOKUP(H1831,#REF!,#REF!,0,0)</f>
        <v>#REF!</v>
      </c>
    </row>
    <row r="1832" spans="1:20" s="507" customFormat="1" x14ac:dyDescent="0.4">
      <c r="A1832" s="25" t="s">
        <v>6652</v>
      </c>
      <c r="B1832" s="25" t="s">
        <v>6653</v>
      </c>
      <c r="C1832" s="25"/>
      <c r="D1832" s="25" t="s">
        <v>693</v>
      </c>
      <c r="E1832" s="25" t="s">
        <v>10</v>
      </c>
      <c r="F1832" s="24" t="s">
        <v>5179</v>
      </c>
      <c r="G1832" s="25">
        <v>44671</v>
      </c>
      <c r="H1832" s="25" t="s">
        <v>6654</v>
      </c>
      <c r="I1832" s="264">
        <v>71519</v>
      </c>
      <c r="J1832" s="25" t="s">
        <v>6655</v>
      </c>
      <c r="K1832" s="25">
        <v>44760</v>
      </c>
      <c r="L1832" s="25" t="s">
        <v>364</v>
      </c>
      <c r="M1832" s="25" t="s">
        <v>364</v>
      </c>
      <c r="N1832" s="25" t="s">
        <v>364</v>
      </c>
      <c r="O1832" s="25" t="s">
        <v>364</v>
      </c>
      <c r="P1832" s="467"/>
      <c r="Q1832" s="264"/>
      <c r="R1832" s="264"/>
      <c r="S1832" s="343"/>
      <c r="T1832" s="512" t="e">
        <f>_xlfn.XLOOKUP(H1832,#REF!,#REF!,0,0)</f>
        <v>#REF!</v>
      </c>
    </row>
    <row r="1833" spans="1:20" s="507" customFormat="1" x14ac:dyDescent="0.4">
      <c r="A1833" s="25" t="s">
        <v>6656</v>
      </c>
      <c r="B1833" s="25" t="s">
        <v>6657</v>
      </c>
      <c r="C1833" s="25"/>
      <c r="D1833" s="25" t="s">
        <v>693</v>
      </c>
      <c r="E1833" s="25" t="s">
        <v>10</v>
      </c>
      <c r="F1833" s="24" t="s">
        <v>3072</v>
      </c>
      <c r="G1833" s="25">
        <v>44649</v>
      </c>
      <c r="H1833" s="25" t="s">
        <v>305</v>
      </c>
      <c r="I1833" s="264">
        <v>72274</v>
      </c>
      <c r="J1833" s="25" t="s">
        <v>6658</v>
      </c>
      <c r="K1833" s="25">
        <v>44760</v>
      </c>
      <c r="L1833" s="25" t="s">
        <v>570</v>
      </c>
      <c r="M1833" s="25" t="s">
        <v>570</v>
      </c>
      <c r="N1833" s="25" t="s">
        <v>570</v>
      </c>
      <c r="O1833" s="25" t="s">
        <v>570</v>
      </c>
      <c r="P1833" s="467" t="s">
        <v>6278</v>
      </c>
      <c r="Q1833" s="264"/>
      <c r="R1833" s="264"/>
      <c r="S1833" s="343"/>
      <c r="T1833" s="512" t="e">
        <f>_xlfn.XLOOKUP(H1833,#REF!,#REF!,0,0)</f>
        <v>#REF!</v>
      </c>
    </row>
    <row r="1834" spans="1:20" s="299" customFormat="1" ht="18" customHeight="1" x14ac:dyDescent="0.4">
      <c r="A1834" s="18" t="s">
        <v>6659</v>
      </c>
      <c r="B1834" s="18" t="s">
        <v>6660</v>
      </c>
      <c r="C1834" s="19" t="s">
        <v>433</v>
      </c>
      <c r="D1834" s="18" t="s">
        <v>693</v>
      </c>
      <c r="E1834" s="18" t="s">
        <v>3785</v>
      </c>
      <c r="F1834" s="10" t="s">
        <v>3072</v>
      </c>
      <c r="G1834" s="18" t="s">
        <v>3718</v>
      </c>
      <c r="H1834" s="18" t="s">
        <v>6661</v>
      </c>
      <c r="I1834" s="134" t="s">
        <v>3718</v>
      </c>
      <c r="J1834" s="18" t="s">
        <v>3718</v>
      </c>
      <c r="K1834" s="18">
        <v>44762</v>
      </c>
      <c r="L1834" s="18" t="s">
        <v>364</v>
      </c>
      <c r="M1834" s="18" t="s">
        <v>364</v>
      </c>
      <c r="N1834" s="18" t="s">
        <v>364</v>
      </c>
      <c r="O1834" s="18" t="s">
        <v>364</v>
      </c>
      <c r="P1834" s="466" t="s">
        <v>6662</v>
      </c>
      <c r="Q1834" s="134"/>
      <c r="R1834" s="134"/>
      <c r="S1834" s="344"/>
      <c r="T1834" s="512" t="e">
        <f>_xlfn.XLOOKUP(H1834,#REF!,#REF!,0,0)</f>
        <v>#REF!</v>
      </c>
    </row>
    <row r="1835" spans="1:20" s="299" customFormat="1" ht="18" customHeight="1" x14ac:dyDescent="0.4">
      <c r="A1835" s="18" t="s">
        <v>6663</v>
      </c>
      <c r="B1835" s="18" t="s">
        <v>6509</v>
      </c>
      <c r="C1835" s="19" t="s">
        <v>433</v>
      </c>
      <c r="D1835" s="18" t="s">
        <v>693</v>
      </c>
      <c r="E1835" s="18" t="s">
        <v>3785</v>
      </c>
      <c r="F1835" s="10" t="s">
        <v>3072</v>
      </c>
      <c r="G1835" s="18" t="s">
        <v>3718</v>
      </c>
      <c r="H1835" s="18" t="s">
        <v>3775</v>
      </c>
      <c r="I1835" s="134" t="s">
        <v>3718</v>
      </c>
      <c r="J1835" s="18" t="s">
        <v>3718</v>
      </c>
      <c r="K1835" s="18">
        <v>44762</v>
      </c>
      <c r="L1835" s="18" t="s">
        <v>364</v>
      </c>
      <c r="M1835" s="18" t="s">
        <v>364</v>
      </c>
      <c r="N1835" s="18" t="s">
        <v>364</v>
      </c>
      <c r="O1835" s="18" t="s">
        <v>364</v>
      </c>
      <c r="P1835" s="466" t="s">
        <v>6662</v>
      </c>
      <c r="Q1835" s="134"/>
      <c r="R1835" s="134"/>
      <c r="S1835" s="344"/>
      <c r="T1835" s="512" t="e">
        <f>_xlfn.XLOOKUP(H1835,#REF!,#REF!,0,0)</f>
        <v>#REF!</v>
      </c>
    </row>
    <row r="1836" spans="1:20" s="299" customFormat="1" ht="18" customHeight="1" x14ac:dyDescent="0.4">
      <c r="A1836" s="18" t="s">
        <v>6664</v>
      </c>
      <c r="B1836" s="18" t="s">
        <v>6660</v>
      </c>
      <c r="C1836" s="19" t="s">
        <v>433</v>
      </c>
      <c r="D1836" s="18" t="s">
        <v>693</v>
      </c>
      <c r="E1836" s="18" t="s">
        <v>3785</v>
      </c>
      <c r="F1836" s="10" t="s">
        <v>5909</v>
      </c>
      <c r="G1836" s="18" t="s">
        <v>3718</v>
      </c>
      <c r="H1836" s="18" t="s">
        <v>5478</v>
      </c>
      <c r="I1836" s="134" t="s">
        <v>3718</v>
      </c>
      <c r="J1836" s="18" t="s">
        <v>3718</v>
      </c>
      <c r="K1836" s="18">
        <v>44762</v>
      </c>
      <c r="L1836" s="18" t="s">
        <v>364</v>
      </c>
      <c r="M1836" s="18" t="s">
        <v>364</v>
      </c>
      <c r="N1836" s="18" t="s">
        <v>364</v>
      </c>
      <c r="O1836" s="18" t="s">
        <v>364</v>
      </c>
      <c r="P1836" s="466" t="s">
        <v>6662</v>
      </c>
      <c r="Q1836" s="134"/>
      <c r="R1836" s="134"/>
      <c r="S1836" s="344"/>
      <c r="T1836" s="512" t="e">
        <f>_xlfn.XLOOKUP(H1836,#REF!,#REF!,0,0)</f>
        <v>#REF!</v>
      </c>
    </row>
    <row r="1837" spans="1:20" s="299" customFormat="1" ht="18" customHeight="1" x14ac:dyDescent="0.4">
      <c r="A1837" s="18" t="s">
        <v>6665</v>
      </c>
      <c r="B1837" s="18" t="s">
        <v>6509</v>
      </c>
      <c r="C1837" s="19" t="s">
        <v>433</v>
      </c>
      <c r="D1837" s="18" t="s">
        <v>693</v>
      </c>
      <c r="E1837" s="18" t="s">
        <v>3785</v>
      </c>
      <c r="F1837" s="10" t="s">
        <v>5909</v>
      </c>
      <c r="G1837" s="18" t="s">
        <v>3718</v>
      </c>
      <c r="H1837" s="18" t="s">
        <v>186</v>
      </c>
      <c r="I1837" s="134" t="s">
        <v>3718</v>
      </c>
      <c r="J1837" s="18" t="s">
        <v>3718</v>
      </c>
      <c r="K1837" s="18">
        <v>44762</v>
      </c>
      <c r="L1837" s="18" t="s">
        <v>364</v>
      </c>
      <c r="M1837" s="18" t="s">
        <v>364</v>
      </c>
      <c r="N1837" s="18" t="s">
        <v>364</v>
      </c>
      <c r="O1837" s="18" t="s">
        <v>364</v>
      </c>
      <c r="P1837" s="466" t="s">
        <v>6662</v>
      </c>
      <c r="Q1837" s="134"/>
      <c r="R1837" s="134"/>
      <c r="S1837" s="344"/>
      <c r="T1837" s="512" t="e">
        <f>_xlfn.XLOOKUP(H1837,#REF!,#REF!,0,0)</f>
        <v>#REF!</v>
      </c>
    </row>
    <row r="1838" spans="1:20" s="299" customFormat="1" ht="18" customHeight="1" x14ac:dyDescent="0.4">
      <c r="A1838" s="18" t="s">
        <v>6666</v>
      </c>
      <c r="B1838" s="18" t="s">
        <v>6667</v>
      </c>
      <c r="C1838" s="19" t="s">
        <v>433</v>
      </c>
      <c r="D1838" s="18" t="s">
        <v>693</v>
      </c>
      <c r="E1838" s="18" t="s">
        <v>3785</v>
      </c>
      <c r="F1838" s="10" t="s">
        <v>5909</v>
      </c>
      <c r="G1838" s="18" t="s">
        <v>3718</v>
      </c>
      <c r="H1838" s="18" t="s">
        <v>6237</v>
      </c>
      <c r="I1838" s="134" t="s">
        <v>3718</v>
      </c>
      <c r="J1838" s="18" t="s">
        <v>3718</v>
      </c>
      <c r="K1838" s="18">
        <v>44763</v>
      </c>
      <c r="L1838" s="18" t="s">
        <v>364</v>
      </c>
      <c r="M1838" s="18" t="s">
        <v>364</v>
      </c>
      <c r="N1838" s="18" t="s">
        <v>364</v>
      </c>
      <c r="O1838" s="18" t="s">
        <v>364</v>
      </c>
      <c r="P1838" s="466"/>
      <c r="Q1838" s="134"/>
      <c r="R1838" s="134"/>
      <c r="S1838" s="344"/>
      <c r="T1838" s="512" t="e">
        <f>_xlfn.XLOOKUP(H1838,#REF!,#REF!,0,0)</f>
        <v>#REF!</v>
      </c>
    </row>
    <row r="1839" spans="1:20" s="507" customFormat="1" ht="18" customHeight="1" x14ac:dyDescent="0.4">
      <c r="A1839" s="262" t="s">
        <v>6668</v>
      </c>
      <c r="B1839" s="262" t="s">
        <v>6669</v>
      </c>
      <c r="C1839" s="19" t="s">
        <v>433</v>
      </c>
      <c r="D1839" s="262" t="s">
        <v>1097</v>
      </c>
      <c r="E1839" s="262" t="s">
        <v>10</v>
      </c>
      <c r="F1839" s="263" t="s">
        <v>5179</v>
      </c>
      <c r="G1839" s="262">
        <v>44671</v>
      </c>
      <c r="H1839" s="262" t="s">
        <v>6670</v>
      </c>
      <c r="I1839" s="351">
        <v>71520</v>
      </c>
      <c r="J1839" s="262" t="s">
        <v>6671</v>
      </c>
      <c r="K1839" s="262">
        <v>44774</v>
      </c>
      <c r="L1839" s="262" t="s">
        <v>364</v>
      </c>
      <c r="M1839" s="262" t="s">
        <v>364</v>
      </c>
      <c r="N1839" s="262" t="s">
        <v>364</v>
      </c>
      <c r="O1839" s="262" t="s">
        <v>364</v>
      </c>
      <c r="P1839" s="471" t="s">
        <v>3718</v>
      </c>
      <c r="Q1839" s="351"/>
      <c r="R1839" s="351"/>
      <c r="S1839" s="341"/>
      <c r="T1839" s="512" t="e">
        <f>_xlfn.XLOOKUP(H1839,#REF!,#REF!,0,0)</f>
        <v>#REF!</v>
      </c>
    </row>
    <row r="1840" spans="1:20" s="507" customFormat="1" x14ac:dyDescent="0.4">
      <c r="A1840" s="25" t="s">
        <v>6672</v>
      </c>
      <c r="B1840" s="25" t="s">
        <v>6673</v>
      </c>
      <c r="C1840" s="25"/>
      <c r="D1840" s="25" t="s">
        <v>4658</v>
      </c>
      <c r="E1840" s="25" t="s">
        <v>10</v>
      </c>
      <c r="F1840" s="24" t="s">
        <v>3072</v>
      </c>
      <c r="G1840" s="25">
        <v>44649</v>
      </c>
      <c r="H1840" s="25" t="s">
        <v>6674</v>
      </c>
      <c r="I1840" s="264">
        <v>72275</v>
      </c>
      <c r="J1840" s="25" t="s">
        <v>6675</v>
      </c>
      <c r="K1840" s="25">
        <v>44760</v>
      </c>
      <c r="L1840" s="25" t="s">
        <v>570</v>
      </c>
      <c r="M1840" s="25" t="s">
        <v>570</v>
      </c>
      <c r="N1840" s="25" t="s">
        <v>570</v>
      </c>
      <c r="O1840" s="25" t="s">
        <v>570</v>
      </c>
      <c r="P1840" s="467" t="s">
        <v>6676</v>
      </c>
      <c r="Q1840" s="264"/>
      <c r="R1840" s="264"/>
      <c r="S1840" s="343"/>
      <c r="T1840" s="512" t="e">
        <f>_xlfn.XLOOKUP(H1840,#REF!,#REF!,0,0)</f>
        <v>#REF!</v>
      </c>
    </row>
    <row r="1841" spans="1:20" s="299" customFormat="1" ht="18" customHeight="1" x14ac:dyDescent="0.4">
      <c r="A1841" s="18" t="s">
        <v>3718</v>
      </c>
      <c r="B1841" s="18" t="s">
        <v>681</v>
      </c>
      <c r="C1841" s="19" t="s">
        <v>433</v>
      </c>
      <c r="D1841" s="18" t="s">
        <v>4658</v>
      </c>
      <c r="E1841" s="18" t="s">
        <v>10</v>
      </c>
      <c r="F1841" s="10" t="s">
        <v>5179</v>
      </c>
      <c r="G1841" s="18">
        <v>44671</v>
      </c>
      <c r="H1841" s="18" t="s">
        <v>6677</v>
      </c>
      <c r="I1841" s="134">
        <v>71521</v>
      </c>
      <c r="J1841" s="18" t="s">
        <v>3718</v>
      </c>
      <c r="K1841" s="18"/>
      <c r="L1841" s="18" t="s">
        <v>364</v>
      </c>
      <c r="M1841" s="18" t="s">
        <v>364</v>
      </c>
      <c r="N1841" s="18" t="s">
        <v>364</v>
      </c>
      <c r="O1841" s="18" t="s">
        <v>364</v>
      </c>
      <c r="P1841" s="466" t="s">
        <v>3718</v>
      </c>
      <c r="Q1841" s="134"/>
      <c r="R1841" s="134"/>
      <c r="S1841" s="344"/>
      <c r="T1841" s="512" t="e">
        <f>_xlfn.XLOOKUP(H1841,#REF!,#REF!,0,0)</f>
        <v>#REF!</v>
      </c>
    </row>
    <row r="1842" spans="1:20" s="299" customFormat="1" ht="18" customHeight="1" x14ac:dyDescent="0.4">
      <c r="A1842" s="18" t="s">
        <v>3718</v>
      </c>
      <c r="B1842" s="18" t="s">
        <v>6678</v>
      </c>
      <c r="C1842" s="19" t="s">
        <v>433</v>
      </c>
      <c r="D1842" s="18" t="s">
        <v>4658</v>
      </c>
      <c r="E1842" s="18" t="s">
        <v>10</v>
      </c>
      <c r="F1842" s="10" t="s">
        <v>5179</v>
      </c>
      <c r="G1842" s="18">
        <v>44671</v>
      </c>
      <c r="H1842" s="18" t="s">
        <v>6679</v>
      </c>
      <c r="I1842" s="134">
        <v>71522</v>
      </c>
      <c r="J1842" s="18" t="s">
        <v>3718</v>
      </c>
      <c r="K1842" s="18"/>
      <c r="L1842" s="18" t="s">
        <v>364</v>
      </c>
      <c r="M1842" s="18" t="s">
        <v>364</v>
      </c>
      <c r="N1842" s="18" t="s">
        <v>364</v>
      </c>
      <c r="O1842" s="18" t="s">
        <v>364</v>
      </c>
      <c r="P1842" s="466" t="s">
        <v>6680</v>
      </c>
      <c r="Q1842" s="134"/>
      <c r="R1842" s="134"/>
      <c r="S1842" s="344"/>
      <c r="T1842" s="512" t="e">
        <f>_xlfn.XLOOKUP(H1842,#REF!,#REF!,0,0)</f>
        <v>#REF!</v>
      </c>
    </row>
    <row r="1843" spans="1:20" s="299" customFormat="1" ht="18" customHeight="1" x14ac:dyDescent="0.4">
      <c r="A1843" s="18" t="s">
        <v>6681</v>
      </c>
      <c r="B1843" s="18" t="s">
        <v>6682</v>
      </c>
      <c r="C1843" s="19" t="s">
        <v>433</v>
      </c>
      <c r="D1843" s="18" t="s">
        <v>693</v>
      </c>
      <c r="E1843" s="18" t="s">
        <v>10</v>
      </c>
      <c r="F1843" s="10" t="s">
        <v>5179</v>
      </c>
      <c r="G1843" s="18">
        <v>44671</v>
      </c>
      <c r="H1843" s="18" t="s">
        <v>6683</v>
      </c>
      <c r="I1843" s="134">
        <v>71526</v>
      </c>
      <c r="J1843" s="18" t="s">
        <v>6684</v>
      </c>
      <c r="K1843" s="18" t="s">
        <v>3718</v>
      </c>
      <c r="L1843" s="18" t="s">
        <v>364</v>
      </c>
      <c r="M1843" s="18" t="s">
        <v>364</v>
      </c>
      <c r="N1843" s="18" t="s">
        <v>364</v>
      </c>
      <c r="O1843" s="18" t="s">
        <v>364</v>
      </c>
      <c r="P1843" s="466" t="s">
        <v>3718</v>
      </c>
      <c r="Q1843" s="134"/>
      <c r="R1843" s="134"/>
      <c r="S1843" s="344"/>
      <c r="T1843" s="512" t="e">
        <f>_xlfn.XLOOKUP(H1843,#REF!,#REF!,0,0)</f>
        <v>#REF!</v>
      </c>
    </row>
    <row r="1844" spans="1:20" s="507" customFormat="1" x14ac:dyDescent="0.4">
      <c r="A1844" s="25" t="s">
        <v>6685</v>
      </c>
      <c r="B1844" s="25" t="s">
        <v>6686</v>
      </c>
      <c r="C1844" s="25"/>
      <c r="D1844" s="25" t="s">
        <v>693</v>
      </c>
      <c r="E1844" s="25" t="s">
        <v>10</v>
      </c>
      <c r="F1844" s="24" t="s">
        <v>3072</v>
      </c>
      <c r="G1844" s="25">
        <v>44649</v>
      </c>
      <c r="H1844" s="25" t="s">
        <v>6687</v>
      </c>
      <c r="I1844" s="264">
        <v>72268</v>
      </c>
      <c r="J1844" s="25" t="s">
        <v>6688</v>
      </c>
      <c r="K1844" s="25">
        <v>44795</v>
      </c>
      <c r="L1844" s="25" t="s">
        <v>364</v>
      </c>
      <c r="M1844" s="25" t="s">
        <v>364</v>
      </c>
      <c r="N1844" s="25" t="s">
        <v>364</v>
      </c>
      <c r="O1844" s="25" t="s">
        <v>364</v>
      </c>
      <c r="P1844" s="467" t="s">
        <v>6689</v>
      </c>
      <c r="Q1844" s="264"/>
      <c r="R1844" s="264"/>
      <c r="S1844" s="343"/>
      <c r="T1844" s="512" t="e">
        <f>_xlfn.XLOOKUP(H1844,#REF!,#REF!,0,0)</f>
        <v>#REF!</v>
      </c>
    </row>
    <row r="1845" spans="1:20" s="507" customFormat="1" x14ac:dyDescent="0.4">
      <c r="A1845" s="25" t="s">
        <v>6690</v>
      </c>
      <c r="B1845" s="25" t="s">
        <v>6691</v>
      </c>
      <c r="C1845" s="25"/>
      <c r="D1845" s="25" t="s">
        <v>693</v>
      </c>
      <c r="E1845" s="25" t="s">
        <v>10</v>
      </c>
      <c r="F1845" s="24" t="s">
        <v>5179</v>
      </c>
      <c r="G1845" s="25">
        <v>44671</v>
      </c>
      <c r="H1845" s="25" t="s">
        <v>299</v>
      </c>
      <c r="I1845" s="264">
        <v>71527</v>
      </c>
      <c r="J1845" s="25" t="s">
        <v>6692</v>
      </c>
      <c r="K1845" s="25">
        <v>44805</v>
      </c>
      <c r="L1845" s="25" t="s">
        <v>570</v>
      </c>
      <c r="M1845" s="25" t="s">
        <v>570</v>
      </c>
      <c r="N1845" s="25" t="s">
        <v>570</v>
      </c>
      <c r="O1845" s="25" t="s">
        <v>570</v>
      </c>
      <c r="P1845" s="467" t="s">
        <v>3718</v>
      </c>
      <c r="Q1845" s="264"/>
      <c r="R1845" s="264"/>
      <c r="S1845" s="343"/>
      <c r="T1845" s="512" t="e">
        <f>_xlfn.XLOOKUP(H1845,#REF!,#REF!,0,0)</f>
        <v>#REF!</v>
      </c>
    </row>
    <row r="1846" spans="1:20" s="507" customFormat="1" x14ac:dyDescent="0.4">
      <c r="A1846" s="25" t="s">
        <v>6693</v>
      </c>
      <c r="B1846" s="25" t="s">
        <v>6694</v>
      </c>
      <c r="C1846" s="25"/>
      <c r="D1846" s="25" t="s">
        <v>693</v>
      </c>
      <c r="E1846" s="25" t="s">
        <v>10</v>
      </c>
      <c r="F1846" s="24" t="s">
        <v>5179</v>
      </c>
      <c r="G1846" s="25">
        <v>44671</v>
      </c>
      <c r="H1846" s="25" t="s">
        <v>6695</v>
      </c>
      <c r="I1846" s="264">
        <v>71528</v>
      </c>
      <c r="J1846" s="25" t="s">
        <v>6696</v>
      </c>
      <c r="K1846" s="25">
        <v>44805</v>
      </c>
      <c r="L1846" s="25" t="s">
        <v>570</v>
      </c>
      <c r="M1846" s="25" t="s">
        <v>570</v>
      </c>
      <c r="N1846" s="25" t="s">
        <v>570</v>
      </c>
      <c r="O1846" s="25" t="s">
        <v>570</v>
      </c>
      <c r="P1846" s="467" t="s">
        <v>3718</v>
      </c>
      <c r="Q1846" s="264"/>
      <c r="R1846" s="264"/>
      <c r="S1846" s="343"/>
      <c r="T1846" s="512" t="e">
        <f>_xlfn.XLOOKUP(H1846,#REF!,#REF!,0,0)</f>
        <v>#REF!</v>
      </c>
    </row>
    <row r="1847" spans="1:20" s="299" customFormat="1" ht="18" customHeight="1" x14ac:dyDescent="0.4">
      <c r="A1847" s="18" t="s">
        <v>6697</v>
      </c>
      <c r="B1847" s="18" t="s">
        <v>6698</v>
      </c>
      <c r="C1847" s="19" t="s">
        <v>433</v>
      </c>
      <c r="D1847" s="18" t="s">
        <v>693</v>
      </c>
      <c r="E1847" s="18" t="s">
        <v>10</v>
      </c>
      <c r="F1847" s="10" t="s">
        <v>5179</v>
      </c>
      <c r="G1847" s="18"/>
      <c r="H1847" s="18" t="s">
        <v>5269</v>
      </c>
      <c r="I1847" s="134">
        <v>70667</v>
      </c>
      <c r="J1847" s="18"/>
      <c r="K1847" s="18">
        <v>44805</v>
      </c>
      <c r="L1847" s="18" t="s">
        <v>570</v>
      </c>
      <c r="M1847" s="18" t="s">
        <v>570</v>
      </c>
      <c r="N1847" s="18" t="s">
        <v>570</v>
      </c>
      <c r="O1847" s="18" t="s">
        <v>570</v>
      </c>
      <c r="P1847" s="466"/>
      <c r="Q1847" s="134"/>
      <c r="R1847" s="134"/>
      <c r="S1847" s="344"/>
      <c r="T1847" s="512" t="e">
        <f>_xlfn.XLOOKUP(H1847,#REF!,#REF!,0,0)</f>
        <v>#REF!</v>
      </c>
    </row>
    <row r="1848" spans="1:20" s="507" customFormat="1" x14ac:dyDescent="0.4">
      <c r="A1848" s="25" t="s">
        <v>6699</v>
      </c>
      <c r="B1848" s="25" t="s">
        <v>6700</v>
      </c>
      <c r="C1848" s="25"/>
      <c r="D1848" s="25" t="s">
        <v>693</v>
      </c>
      <c r="E1848" s="25" t="s">
        <v>10</v>
      </c>
      <c r="F1848" s="24" t="s">
        <v>5179</v>
      </c>
      <c r="G1848" s="25">
        <v>44671</v>
      </c>
      <c r="H1848" s="25" t="s">
        <v>6701</v>
      </c>
      <c r="I1848" s="264">
        <v>71524</v>
      </c>
      <c r="J1848" s="25" t="s">
        <v>6702</v>
      </c>
      <c r="K1848" s="25">
        <v>44805</v>
      </c>
      <c r="L1848" s="25" t="s">
        <v>570</v>
      </c>
      <c r="M1848" s="25" t="s">
        <v>570</v>
      </c>
      <c r="N1848" s="25" t="s">
        <v>570</v>
      </c>
      <c r="O1848" s="25" t="s">
        <v>570</v>
      </c>
      <c r="P1848" s="467" t="s">
        <v>6680</v>
      </c>
      <c r="Q1848" s="264"/>
      <c r="R1848" s="264"/>
      <c r="S1848" s="343"/>
      <c r="T1848" s="512" t="e">
        <f>_xlfn.XLOOKUP(H1848,#REF!,#REF!,0,0)</f>
        <v>#REF!</v>
      </c>
    </row>
    <row r="1849" spans="1:20" s="507" customFormat="1" x14ac:dyDescent="0.4">
      <c r="A1849" s="24" t="s">
        <v>6703</v>
      </c>
      <c r="B1849" s="24" t="s">
        <v>6704</v>
      </c>
      <c r="C1849" s="24"/>
      <c r="D1849" s="24" t="s">
        <v>693</v>
      </c>
      <c r="E1849" s="25" t="s">
        <v>10</v>
      </c>
      <c r="F1849" s="24" t="s">
        <v>3072</v>
      </c>
      <c r="G1849" s="25">
        <v>44649</v>
      </c>
      <c r="H1849" s="25" t="s">
        <v>6705</v>
      </c>
      <c r="I1849" s="264">
        <v>72277</v>
      </c>
      <c r="J1849" s="24" t="s">
        <v>6706</v>
      </c>
      <c r="K1849" s="25">
        <v>44805</v>
      </c>
      <c r="L1849" s="24" t="s">
        <v>364</v>
      </c>
      <c r="M1849" s="24" t="s">
        <v>364</v>
      </c>
      <c r="N1849" s="24" t="s">
        <v>364</v>
      </c>
      <c r="O1849" s="24" t="s">
        <v>364</v>
      </c>
      <c r="P1849" s="468" t="s">
        <v>3718</v>
      </c>
      <c r="Q1849" s="264"/>
      <c r="R1849" s="264"/>
      <c r="S1849" s="343"/>
      <c r="T1849" s="512" t="e">
        <f>_xlfn.XLOOKUP(H1849,#REF!,#REF!,0,0)</f>
        <v>#REF!</v>
      </c>
    </row>
    <row r="1850" spans="1:20" s="507" customFormat="1" x14ac:dyDescent="0.4">
      <c r="A1850" s="25" t="s">
        <v>6707</v>
      </c>
      <c r="B1850" s="25" t="s">
        <v>6708</v>
      </c>
      <c r="C1850" s="25"/>
      <c r="D1850" s="25" t="s">
        <v>693</v>
      </c>
      <c r="E1850" s="25" t="s">
        <v>10</v>
      </c>
      <c r="F1850" s="24" t="s">
        <v>5179</v>
      </c>
      <c r="G1850" s="25">
        <v>44671</v>
      </c>
      <c r="H1850" s="25" t="s">
        <v>6709</v>
      </c>
      <c r="I1850" s="264">
        <v>71525</v>
      </c>
      <c r="J1850" s="25" t="s">
        <v>6710</v>
      </c>
      <c r="K1850" s="25">
        <v>44805</v>
      </c>
      <c r="L1850" s="25" t="s">
        <v>570</v>
      </c>
      <c r="M1850" s="25" t="s">
        <v>570</v>
      </c>
      <c r="N1850" s="25" t="s">
        <v>570</v>
      </c>
      <c r="O1850" s="25" t="s">
        <v>570</v>
      </c>
      <c r="P1850" s="467" t="s">
        <v>3718</v>
      </c>
      <c r="Q1850" s="264"/>
      <c r="R1850" s="264"/>
      <c r="S1850" s="343"/>
      <c r="T1850" s="512" t="e">
        <f>_xlfn.XLOOKUP(H1850,#REF!,#REF!,0,0)</f>
        <v>#REF!</v>
      </c>
    </row>
    <row r="1851" spans="1:20" s="507" customFormat="1" x14ac:dyDescent="0.4">
      <c r="A1851" s="24" t="s">
        <v>6711</v>
      </c>
      <c r="B1851" s="24" t="s">
        <v>6712</v>
      </c>
      <c r="C1851" s="24"/>
      <c r="D1851" s="24" t="s">
        <v>693</v>
      </c>
      <c r="E1851" s="25" t="s">
        <v>10</v>
      </c>
      <c r="F1851" s="24" t="s">
        <v>3072</v>
      </c>
      <c r="G1851" s="25">
        <v>44754</v>
      </c>
      <c r="H1851" s="25" t="s">
        <v>6713</v>
      </c>
      <c r="I1851" s="264">
        <v>71391</v>
      </c>
      <c r="J1851" s="24" t="s">
        <v>6714</v>
      </c>
      <c r="K1851" s="25">
        <v>44805</v>
      </c>
      <c r="L1851" s="24" t="s">
        <v>570</v>
      </c>
      <c r="M1851" s="24" t="s">
        <v>570</v>
      </c>
      <c r="N1851" s="24" t="s">
        <v>570</v>
      </c>
      <c r="O1851" s="24" t="s">
        <v>570</v>
      </c>
      <c r="P1851" s="468" t="s">
        <v>6715</v>
      </c>
      <c r="Q1851" s="264"/>
      <c r="R1851" s="264"/>
      <c r="S1851" s="343"/>
      <c r="T1851" s="512" t="e">
        <f>_xlfn.XLOOKUP(H1851,#REF!,#REF!,0,0)</f>
        <v>#REF!</v>
      </c>
    </row>
    <row r="1852" spans="1:20" s="507" customFormat="1" x14ac:dyDescent="0.4">
      <c r="A1852" s="25" t="s">
        <v>6716</v>
      </c>
      <c r="B1852" s="25" t="s">
        <v>6717</v>
      </c>
      <c r="C1852" s="25"/>
      <c r="D1852" s="25" t="s">
        <v>693</v>
      </c>
      <c r="E1852" s="25" t="s">
        <v>10</v>
      </c>
      <c r="F1852" s="24" t="s">
        <v>5179</v>
      </c>
      <c r="G1852" s="25">
        <v>44671</v>
      </c>
      <c r="H1852" s="25" t="s">
        <v>6718</v>
      </c>
      <c r="I1852" s="264">
        <v>71523</v>
      </c>
      <c r="J1852" s="25" t="s">
        <v>6719</v>
      </c>
      <c r="K1852" s="25">
        <v>44805</v>
      </c>
      <c r="L1852" s="25" t="s">
        <v>570</v>
      </c>
      <c r="M1852" s="25" t="s">
        <v>570</v>
      </c>
      <c r="N1852" s="25" t="s">
        <v>570</v>
      </c>
      <c r="O1852" s="25" t="s">
        <v>570</v>
      </c>
      <c r="P1852" s="467" t="s">
        <v>3718</v>
      </c>
      <c r="Q1852" s="264"/>
      <c r="R1852" s="264"/>
      <c r="S1852" s="343"/>
      <c r="T1852" s="512" t="e">
        <f>_xlfn.XLOOKUP(H1852,#REF!,#REF!,0,0)</f>
        <v>#REF!</v>
      </c>
    </row>
    <row r="1853" spans="1:20" s="299" customFormat="1" ht="18" customHeight="1" x14ac:dyDescent="0.4">
      <c r="A1853" s="18" t="s">
        <v>6720</v>
      </c>
      <c r="B1853" s="18" t="s">
        <v>6721</v>
      </c>
      <c r="C1853" s="19" t="s">
        <v>433</v>
      </c>
      <c r="D1853" s="18" t="s">
        <v>693</v>
      </c>
      <c r="E1853" s="18" t="s">
        <v>10</v>
      </c>
      <c r="F1853" s="10" t="s">
        <v>3072</v>
      </c>
      <c r="G1853" s="18">
        <v>44754</v>
      </c>
      <c r="H1853" s="18" t="s">
        <v>6722</v>
      </c>
      <c r="I1853" s="134">
        <v>71368</v>
      </c>
      <c r="J1853" s="18" t="s">
        <v>6723</v>
      </c>
      <c r="K1853" s="18">
        <v>44806</v>
      </c>
      <c r="L1853" s="18" t="s">
        <v>570</v>
      </c>
      <c r="M1853" s="18" t="s">
        <v>570</v>
      </c>
      <c r="N1853" s="18" t="s">
        <v>570</v>
      </c>
      <c r="O1853" s="18" t="s">
        <v>570</v>
      </c>
      <c r="P1853" s="466" t="s">
        <v>6724</v>
      </c>
      <c r="Q1853" s="134"/>
      <c r="R1853" s="134"/>
      <c r="S1853" s="344"/>
      <c r="T1853" s="512" t="e">
        <f>_xlfn.XLOOKUP(H1853,#REF!,#REF!,0,0)</f>
        <v>#REF!</v>
      </c>
    </row>
    <row r="1854" spans="1:20" s="506" customFormat="1" x14ac:dyDescent="0.4">
      <c r="A1854" s="21" t="s">
        <v>6725</v>
      </c>
      <c r="B1854" s="21" t="s">
        <v>6726</v>
      </c>
      <c r="C1854" s="21"/>
      <c r="D1854" s="21" t="s">
        <v>693</v>
      </c>
      <c r="E1854" s="21" t="s">
        <v>10</v>
      </c>
      <c r="F1854" s="22" t="s">
        <v>6484</v>
      </c>
      <c r="G1854" s="21"/>
      <c r="H1854" s="21" t="s">
        <v>169</v>
      </c>
      <c r="I1854" s="353">
        <v>69190</v>
      </c>
      <c r="J1854" s="21"/>
      <c r="K1854" s="21">
        <v>44809</v>
      </c>
      <c r="L1854" s="21" t="s">
        <v>570</v>
      </c>
      <c r="M1854" s="21" t="s">
        <v>570</v>
      </c>
      <c r="N1854" s="21" t="s">
        <v>570</v>
      </c>
      <c r="O1854" s="21" t="s">
        <v>570</v>
      </c>
      <c r="P1854" s="465" t="s">
        <v>6727</v>
      </c>
      <c r="Q1854" s="353"/>
      <c r="R1854" s="353"/>
      <c r="S1854" s="345"/>
      <c r="T1854" s="512" t="e">
        <f>_xlfn.XLOOKUP(H1854,#REF!,#REF!,0,0)</f>
        <v>#REF!</v>
      </c>
    </row>
    <row r="1855" spans="1:20" s="507" customFormat="1" x14ac:dyDescent="0.4">
      <c r="A1855" s="25" t="s">
        <v>6728</v>
      </c>
      <c r="B1855" s="25" t="s">
        <v>6729</v>
      </c>
      <c r="C1855" s="25"/>
      <c r="D1855" s="25" t="s">
        <v>693</v>
      </c>
      <c r="E1855" s="25" t="s">
        <v>10</v>
      </c>
      <c r="F1855" s="24" t="s">
        <v>3072</v>
      </c>
      <c r="G1855" s="25">
        <v>44754</v>
      </c>
      <c r="H1855" s="25" t="s">
        <v>6730</v>
      </c>
      <c r="I1855" s="264">
        <v>71358</v>
      </c>
      <c r="J1855" s="25" t="s">
        <v>6731</v>
      </c>
      <c r="K1855" s="25">
        <v>44809</v>
      </c>
      <c r="L1855" s="25" t="s">
        <v>570</v>
      </c>
      <c r="M1855" s="25" t="s">
        <v>570</v>
      </c>
      <c r="N1855" s="25" t="s">
        <v>570</v>
      </c>
      <c r="O1855" s="25" t="s">
        <v>570</v>
      </c>
      <c r="P1855" s="467" t="s">
        <v>6732</v>
      </c>
      <c r="Q1855" s="264"/>
      <c r="R1855" s="264"/>
      <c r="S1855" s="343"/>
      <c r="T1855" s="512" t="e">
        <f>_xlfn.XLOOKUP(H1855,#REF!,#REF!,0,0)</f>
        <v>#REF!</v>
      </c>
    </row>
    <row r="1856" spans="1:20" s="507" customFormat="1" x14ac:dyDescent="0.4">
      <c r="A1856" s="25" t="s">
        <v>6733</v>
      </c>
      <c r="B1856" s="25" t="s">
        <v>6734</v>
      </c>
      <c r="C1856" s="25"/>
      <c r="D1856" s="25" t="s">
        <v>693</v>
      </c>
      <c r="E1856" s="25" t="s">
        <v>10</v>
      </c>
      <c r="F1856" s="24" t="s">
        <v>5179</v>
      </c>
      <c r="G1856" s="25">
        <v>44671</v>
      </c>
      <c r="H1856" s="25" t="s">
        <v>6735</v>
      </c>
      <c r="I1856" s="264">
        <v>71529</v>
      </c>
      <c r="J1856" s="25" t="s">
        <v>6736</v>
      </c>
      <c r="K1856" s="25">
        <v>44809</v>
      </c>
      <c r="L1856" s="25" t="s">
        <v>570</v>
      </c>
      <c r="M1856" s="25" t="s">
        <v>570</v>
      </c>
      <c r="N1856" s="25" t="s">
        <v>570</v>
      </c>
      <c r="O1856" s="25" t="s">
        <v>570</v>
      </c>
      <c r="P1856" s="467" t="s">
        <v>3718</v>
      </c>
      <c r="Q1856" s="264"/>
      <c r="R1856" s="264"/>
      <c r="S1856" s="343"/>
      <c r="T1856" s="512" t="e">
        <f>_xlfn.XLOOKUP(H1856,#REF!,#REF!,0,0)</f>
        <v>#REF!</v>
      </c>
    </row>
    <row r="1857" spans="1:20" s="506" customFormat="1" x14ac:dyDescent="0.4">
      <c r="A1857" s="21" t="s">
        <v>6737</v>
      </c>
      <c r="B1857" s="21" t="s">
        <v>6738</v>
      </c>
      <c r="C1857" s="21"/>
      <c r="D1857" s="21" t="s">
        <v>693</v>
      </c>
      <c r="E1857" s="21" t="s">
        <v>10</v>
      </c>
      <c r="F1857" s="22" t="s">
        <v>6484</v>
      </c>
      <c r="G1857" s="21"/>
      <c r="H1857" s="21" t="s">
        <v>634</v>
      </c>
      <c r="I1857" s="353">
        <v>69317</v>
      </c>
      <c r="J1857" s="21"/>
      <c r="K1857" s="21">
        <v>44809</v>
      </c>
      <c r="L1857" s="21" t="s">
        <v>570</v>
      </c>
      <c r="M1857" s="21" t="s">
        <v>570</v>
      </c>
      <c r="N1857" s="21" t="s">
        <v>570</v>
      </c>
      <c r="O1857" s="21" t="s">
        <v>570</v>
      </c>
      <c r="P1857" s="465" t="s">
        <v>6739</v>
      </c>
      <c r="Q1857" s="353"/>
      <c r="R1857" s="353"/>
      <c r="S1857" s="345"/>
      <c r="T1857" s="512" t="e">
        <f>_xlfn.XLOOKUP(H1857,#REF!,#REF!,0,0)</f>
        <v>#REF!</v>
      </c>
    </row>
    <row r="1858" spans="1:20" s="299" customFormat="1" ht="18" customHeight="1" x14ac:dyDescent="0.4">
      <c r="A1858" s="18" t="s">
        <v>6740</v>
      </c>
      <c r="B1858" s="18" t="s">
        <v>6741</v>
      </c>
      <c r="C1858" s="19" t="s">
        <v>433</v>
      </c>
      <c r="D1858" s="18" t="s">
        <v>693</v>
      </c>
      <c r="E1858" s="18" t="s">
        <v>10</v>
      </c>
      <c r="F1858" s="10" t="s">
        <v>3072</v>
      </c>
      <c r="G1858" s="18">
        <v>44754</v>
      </c>
      <c r="H1858" s="18" t="s">
        <v>6742</v>
      </c>
      <c r="I1858" s="134">
        <v>71346</v>
      </c>
      <c r="J1858" s="18" t="s">
        <v>6743</v>
      </c>
      <c r="K1858" s="18">
        <v>44812</v>
      </c>
      <c r="L1858" s="18" t="s">
        <v>364</v>
      </c>
      <c r="M1858" s="18" t="s">
        <v>364</v>
      </c>
      <c r="N1858" s="18" t="s">
        <v>364</v>
      </c>
      <c r="O1858" s="18" t="s">
        <v>364</v>
      </c>
      <c r="P1858" s="466" t="s">
        <v>6278</v>
      </c>
      <c r="Q1858" s="134"/>
      <c r="R1858" s="134"/>
      <c r="S1858" s="344"/>
      <c r="T1858" s="512" t="e">
        <f>_xlfn.XLOOKUP(H1858,#REF!,#REF!,0,0)</f>
        <v>#REF!</v>
      </c>
    </row>
    <row r="1859" spans="1:20" s="299" customFormat="1" ht="18" customHeight="1" x14ac:dyDescent="0.4">
      <c r="A1859" s="18" t="s">
        <v>6744</v>
      </c>
      <c r="B1859" s="18" t="s">
        <v>6745</v>
      </c>
      <c r="C1859" s="19" t="s">
        <v>433</v>
      </c>
      <c r="D1859" s="18" t="s">
        <v>3758</v>
      </c>
      <c r="E1859" s="18" t="s">
        <v>10</v>
      </c>
      <c r="F1859" s="10" t="s">
        <v>5179</v>
      </c>
      <c r="G1859" s="18">
        <v>44671</v>
      </c>
      <c r="H1859" s="18" t="s">
        <v>6746</v>
      </c>
      <c r="I1859" s="134">
        <v>71530</v>
      </c>
      <c r="J1859" s="18" t="s">
        <v>6747</v>
      </c>
      <c r="K1859" s="18">
        <v>44812</v>
      </c>
      <c r="L1859" s="18" t="s">
        <v>364</v>
      </c>
      <c r="M1859" s="18" t="s">
        <v>364</v>
      </c>
      <c r="N1859" s="18" t="s">
        <v>364</v>
      </c>
      <c r="O1859" s="18" t="s">
        <v>364</v>
      </c>
      <c r="P1859" s="466" t="s">
        <v>6748</v>
      </c>
      <c r="Q1859" s="134"/>
      <c r="R1859" s="134"/>
      <c r="S1859" s="344"/>
      <c r="T1859" s="512" t="e">
        <f>_xlfn.XLOOKUP(H1859,#REF!,#REF!,0,0)</f>
        <v>#REF!</v>
      </c>
    </row>
    <row r="1860" spans="1:20" s="299" customFormat="1" ht="18" customHeight="1" x14ac:dyDescent="0.4">
      <c r="A1860" s="18" t="s">
        <v>6749</v>
      </c>
      <c r="B1860" s="18" t="s">
        <v>6750</v>
      </c>
      <c r="C1860" s="19" t="s">
        <v>433</v>
      </c>
      <c r="D1860" s="18" t="s">
        <v>693</v>
      </c>
      <c r="E1860" s="18" t="s">
        <v>10</v>
      </c>
      <c r="F1860" s="10" t="s">
        <v>3072</v>
      </c>
      <c r="G1860" s="18">
        <v>44754</v>
      </c>
      <c r="H1860" s="18" t="s">
        <v>6751</v>
      </c>
      <c r="I1860" s="134">
        <v>71356</v>
      </c>
      <c r="J1860" s="18" t="s">
        <v>6752</v>
      </c>
      <c r="K1860" s="18">
        <v>44819</v>
      </c>
      <c r="L1860" s="18" t="s">
        <v>364</v>
      </c>
      <c r="M1860" s="18" t="s">
        <v>364</v>
      </c>
      <c r="N1860" s="18" t="s">
        <v>364</v>
      </c>
      <c r="O1860" s="18" t="s">
        <v>364</v>
      </c>
      <c r="P1860" s="466" t="s">
        <v>6753</v>
      </c>
      <c r="Q1860" s="134"/>
      <c r="R1860" s="134"/>
      <c r="S1860" s="344"/>
      <c r="T1860" s="512" t="e">
        <f>_xlfn.XLOOKUP(H1860,#REF!,#REF!,0,0)</f>
        <v>#REF!</v>
      </c>
    </row>
    <row r="1861" spans="1:20" s="299" customFormat="1" ht="18" customHeight="1" x14ac:dyDescent="0.4">
      <c r="A1861" s="18" t="s">
        <v>6754</v>
      </c>
      <c r="B1861" s="18" t="s">
        <v>6755</v>
      </c>
      <c r="C1861" s="19" t="s">
        <v>433</v>
      </c>
      <c r="D1861" s="18" t="s">
        <v>704</v>
      </c>
      <c r="E1861" s="18" t="s">
        <v>10</v>
      </c>
      <c r="F1861" s="10" t="s">
        <v>3072</v>
      </c>
      <c r="G1861" s="18">
        <v>44754</v>
      </c>
      <c r="H1861" s="18" t="s">
        <v>6756</v>
      </c>
      <c r="I1861" s="134">
        <v>71367</v>
      </c>
      <c r="J1861" s="18" t="s">
        <v>6757</v>
      </c>
      <c r="K1861" s="18">
        <v>44805</v>
      </c>
      <c r="L1861" s="18" t="s">
        <v>570</v>
      </c>
      <c r="M1861" s="18" t="s">
        <v>570</v>
      </c>
      <c r="N1861" s="18" t="s">
        <v>570</v>
      </c>
      <c r="O1861" s="18" t="s">
        <v>570</v>
      </c>
      <c r="P1861" s="466" t="s">
        <v>6758</v>
      </c>
      <c r="Q1861" s="134"/>
      <c r="R1861" s="134"/>
      <c r="S1861" s="344"/>
      <c r="T1861" s="512" t="e">
        <f>_xlfn.XLOOKUP(H1861,#REF!,#REF!,0,0)</f>
        <v>#REF!</v>
      </c>
    </row>
    <row r="1862" spans="1:20" s="299" customFormat="1" ht="18" customHeight="1" x14ac:dyDescent="0.4">
      <c r="A1862" s="18" t="s">
        <v>6759</v>
      </c>
      <c r="B1862" s="18" t="s">
        <v>6760</v>
      </c>
      <c r="C1862" s="19" t="s">
        <v>433</v>
      </c>
      <c r="D1862" s="18" t="s">
        <v>693</v>
      </c>
      <c r="E1862" s="18" t="s">
        <v>10</v>
      </c>
      <c r="F1862" s="10" t="s">
        <v>5179</v>
      </c>
      <c r="G1862" s="18">
        <v>44671</v>
      </c>
      <c r="H1862" s="18" t="s">
        <v>6761</v>
      </c>
      <c r="I1862" s="134">
        <v>71531</v>
      </c>
      <c r="J1862" s="18" t="s">
        <v>6762</v>
      </c>
      <c r="K1862" s="18" t="s">
        <v>3718</v>
      </c>
      <c r="L1862" s="18" t="s">
        <v>364</v>
      </c>
      <c r="M1862" s="18" t="s">
        <v>364</v>
      </c>
      <c r="N1862" s="18" t="s">
        <v>364</v>
      </c>
      <c r="O1862" s="18" t="s">
        <v>364</v>
      </c>
      <c r="P1862" s="466" t="s">
        <v>3718</v>
      </c>
      <c r="Q1862" s="134"/>
      <c r="R1862" s="134"/>
      <c r="S1862" s="344"/>
      <c r="T1862" s="512" t="e">
        <f>_xlfn.XLOOKUP(H1862,#REF!,#REF!,0,0)</f>
        <v>#REF!</v>
      </c>
    </row>
    <row r="1863" spans="1:20" s="299" customFormat="1" ht="18" customHeight="1" x14ac:dyDescent="0.4">
      <c r="A1863" s="18" t="s">
        <v>6763</v>
      </c>
      <c r="B1863" s="18" t="s">
        <v>6764</v>
      </c>
      <c r="C1863" s="19" t="s">
        <v>433</v>
      </c>
      <c r="D1863" s="18" t="s">
        <v>693</v>
      </c>
      <c r="E1863" s="18" t="s">
        <v>10</v>
      </c>
      <c r="F1863" s="10" t="s">
        <v>3072</v>
      </c>
      <c r="G1863" s="18">
        <v>44754</v>
      </c>
      <c r="H1863" s="18" t="s">
        <v>6765</v>
      </c>
      <c r="I1863" s="134">
        <v>71359</v>
      </c>
      <c r="J1863" s="18" t="s">
        <v>6766</v>
      </c>
      <c r="K1863" s="18">
        <v>44817</v>
      </c>
      <c r="L1863" s="18" t="s">
        <v>364</v>
      </c>
      <c r="M1863" s="18" t="s">
        <v>364</v>
      </c>
      <c r="N1863" s="18" t="s">
        <v>364</v>
      </c>
      <c r="O1863" s="18" t="s">
        <v>364</v>
      </c>
      <c r="P1863" s="466" t="s">
        <v>6767</v>
      </c>
      <c r="Q1863" s="134"/>
      <c r="R1863" s="134"/>
      <c r="S1863" s="344"/>
      <c r="T1863" s="512" t="e">
        <f>_xlfn.XLOOKUP(H1863,#REF!,#REF!,0,0)</f>
        <v>#REF!</v>
      </c>
    </row>
    <row r="1864" spans="1:20" s="507" customFormat="1" x14ac:dyDescent="0.4">
      <c r="A1864" s="264" t="s">
        <v>6768</v>
      </c>
      <c r="B1864" s="264" t="s">
        <v>6769</v>
      </c>
      <c r="C1864" s="264"/>
      <c r="D1864" s="264" t="s">
        <v>693</v>
      </c>
      <c r="E1864" s="25" t="s">
        <v>10</v>
      </c>
      <c r="F1864" s="24" t="s">
        <v>3072</v>
      </c>
      <c r="G1864" s="25">
        <v>44754</v>
      </c>
      <c r="H1864" s="25" t="s">
        <v>6770</v>
      </c>
      <c r="I1864" s="264">
        <v>71360</v>
      </c>
      <c r="J1864" s="264" t="s">
        <v>6771</v>
      </c>
      <c r="K1864" s="25">
        <v>44835</v>
      </c>
      <c r="L1864" s="264" t="s">
        <v>364</v>
      </c>
      <c r="M1864" s="264" t="s">
        <v>364</v>
      </c>
      <c r="N1864" s="264" t="s">
        <v>364</v>
      </c>
      <c r="O1864" s="264" t="s">
        <v>364</v>
      </c>
      <c r="P1864" s="472" t="s">
        <v>6772</v>
      </c>
      <c r="Q1864" s="264"/>
      <c r="R1864" s="264"/>
      <c r="S1864" s="343"/>
      <c r="T1864" s="512" t="e">
        <f>_xlfn.XLOOKUP(H1864,#REF!,#REF!,0,0)</f>
        <v>#REF!</v>
      </c>
    </row>
    <row r="1865" spans="1:20" s="507" customFormat="1" x14ac:dyDescent="0.4">
      <c r="A1865" s="264" t="s">
        <v>6773</v>
      </c>
      <c r="B1865" s="264" t="s">
        <v>6774</v>
      </c>
      <c r="C1865" s="264"/>
      <c r="D1865" s="264" t="s">
        <v>693</v>
      </c>
      <c r="E1865" s="25" t="s">
        <v>10</v>
      </c>
      <c r="F1865" s="24" t="s">
        <v>3072</v>
      </c>
      <c r="G1865" s="25">
        <v>44754</v>
      </c>
      <c r="H1865" s="25" t="s">
        <v>6775</v>
      </c>
      <c r="I1865" s="264">
        <v>71366</v>
      </c>
      <c r="J1865" s="264" t="s">
        <v>6776</v>
      </c>
      <c r="K1865" s="25">
        <v>44819</v>
      </c>
      <c r="L1865" s="264" t="s">
        <v>364</v>
      </c>
      <c r="M1865" s="264" t="s">
        <v>364</v>
      </c>
      <c r="N1865" s="264" t="s">
        <v>364</v>
      </c>
      <c r="O1865" s="264" t="s">
        <v>364</v>
      </c>
      <c r="P1865" s="472"/>
      <c r="Q1865" s="264"/>
      <c r="R1865" s="264"/>
      <c r="S1865" s="343"/>
      <c r="T1865" s="512" t="e">
        <f>_xlfn.XLOOKUP(H1865,#REF!,#REF!,0,0)</f>
        <v>#REF!</v>
      </c>
    </row>
    <row r="1866" spans="1:20" s="507" customFormat="1" x14ac:dyDescent="0.4">
      <c r="A1866" s="264" t="s">
        <v>6777</v>
      </c>
      <c r="B1866" s="264" t="s">
        <v>6778</v>
      </c>
      <c r="C1866" s="264"/>
      <c r="D1866" s="264" t="s">
        <v>693</v>
      </c>
      <c r="E1866" s="25" t="s">
        <v>10</v>
      </c>
      <c r="F1866" s="24" t="s">
        <v>5179</v>
      </c>
      <c r="G1866" s="25">
        <v>44671</v>
      </c>
      <c r="H1866" s="25" t="s">
        <v>6779</v>
      </c>
      <c r="I1866" s="264">
        <v>71532</v>
      </c>
      <c r="J1866" s="264" t="s">
        <v>6780</v>
      </c>
      <c r="K1866" s="25">
        <v>44823</v>
      </c>
      <c r="L1866" s="264" t="s">
        <v>364</v>
      </c>
      <c r="M1866" s="264" t="s">
        <v>364</v>
      </c>
      <c r="N1866" s="264" t="s">
        <v>364</v>
      </c>
      <c r="O1866" s="264" t="s">
        <v>364</v>
      </c>
      <c r="P1866" s="472" t="s">
        <v>6493</v>
      </c>
      <c r="Q1866" s="264"/>
      <c r="R1866" s="264"/>
      <c r="S1866" s="343"/>
      <c r="T1866" s="512" t="e">
        <f>_xlfn.XLOOKUP(H1866,#REF!,#REF!,0,0)</f>
        <v>#REF!</v>
      </c>
    </row>
    <row r="1867" spans="1:20" s="507" customFormat="1" x14ac:dyDescent="0.4">
      <c r="A1867" s="264" t="s">
        <v>6781</v>
      </c>
      <c r="B1867" s="264" t="s">
        <v>6782</v>
      </c>
      <c r="C1867" s="264"/>
      <c r="D1867" s="264" t="s">
        <v>693</v>
      </c>
      <c r="E1867" s="25" t="s">
        <v>10</v>
      </c>
      <c r="F1867" s="24" t="s">
        <v>5179</v>
      </c>
      <c r="G1867" s="25">
        <v>44671</v>
      </c>
      <c r="H1867" s="25" t="s">
        <v>6783</v>
      </c>
      <c r="I1867" s="264">
        <v>71533</v>
      </c>
      <c r="J1867" s="264" t="s">
        <v>6784</v>
      </c>
      <c r="K1867" s="25">
        <v>44823</v>
      </c>
      <c r="L1867" s="264" t="s">
        <v>364</v>
      </c>
      <c r="M1867" s="264" t="s">
        <v>364</v>
      </c>
      <c r="N1867" s="264" t="s">
        <v>364</v>
      </c>
      <c r="O1867" s="264" t="s">
        <v>364</v>
      </c>
      <c r="P1867" s="472" t="s">
        <v>523</v>
      </c>
      <c r="Q1867" s="264"/>
      <c r="R1867" s="264"/>
      <c r="S1867" s="343"/>
      <c r="T1867" s="512" t="e">
        <f>_xlfn.XLOOKUP(H1867,#REF!,#REF!,0,0)</f>
        <v>#REF!</v>
      </c>
    </row>
    <row r="1868" spans="1:20" s="507" customFormat="1" x14ac:dyDescent="0.4">
      <c r="A1868" s="24" t="s">
        <v>6785</v>
      </c>
      <c r="B1868" s="24" t="s">
        <v>6786</v>
      </c>
      <c r="C1868" s="24"/>
      <c r="D1868" s="24" t="s">
        <v>693</v>
      </c>
      <c r="E1868" s="25" t="s">
        <v>10</v>
      </c>
      <c r="F1868" s="24" t="s">
        <v>3072</v>
      </c>
      <c r="G1868" s="25">
        <v>44754</v>
      </c>
      <c r="H1868" s="25" t="s">
        <v>6787</v>
      </c>
      <c r="I1868" s="264">
        <v>71362</v>
      </c>
      <c r="J1868" s="24" t="s">
        <v>6788</v>
      </c>
      <c r="K1868" s="25" t="s">
        <v>6789</v>
      </c>
      <c r="L1868" s="24" t="s">
        <v>364</v>
      </c>
      <c r="M1868" s="24" t="s">
        <v>364</v>
      </c>
      <c r="N1868" s="24" t="s">
        <v>364</v>
      </c>
      <c r="O1868" s="24" t="s">
        <v>364</v>
      </c>
      <c r="P1868" s="468" t="s">
        <v>6790</v>
      </c>
      <c r="Q1868" s="264"/>
      <c r="R1868" s="264"/>
      <c r="S1868" s="343"/>
      <c r="T1868" s="512" t="e">
        <f>_xlfn.XLOOKUP(H1868,#REF!,#REF!,0,0)</f>
        <v>#REF!</v>
      </c>
    </row>
    <row r="1869" spans="1:20" s="299" customFormat="1" ht="18" customHeight="1" x14ac:dyDescent="0.4">
      <c r="A1869" s="18" t="s">
        <v>6791</v>
      </c>
      <c r="B1869" s="18" t="s">
        <v>6792</v>
      </c>
      <c r="C1869" s="19" t="s">
        <v>433</v>
      </c>
      <c r="D1869" s="18" t="s">
        <v>693</v>
      </c>
      <c r="E1869" s="18" t="s">
        <v>10</v>
      </c>
      <c r="F1869" s="10" t="s">
        <v>3072</v>
      </c>
      <c r="G1869" s="18">
        <v>44754</v>
      </c>
      <c r="H1869" s="18" t="s">
        <v>6793</v>
      </c>
      <c r="I1869" s="134">
        <v>71392</v>
      </c>
      <c r="J1869" s="18" t="s">
        <v>6794</v>
      </c>
      <c r="K1869" s="18" t="s">
        <v>6789</v>
      </c>
      <c r="L1869" s="18" t="s">
        <v>364</v>
      </c>
      <c r="M1869" s="18" t="s">
        <v>364</v>
      </c>
      <c r="N1869" s="18" t="s">
        <v>364</v>
      </c>
      <c r="O1869" s="18" t="s">
        <v>364</v>
      </c>
      <c r="P1869" s="466" t="s">
        <v>6278</v>
      </c>
      <c r="Q1869" s="134"/>
      <c r="R1869" s="134"/>
      <c r="S1869" s="344"/>
      <c r="T1869" s="512" t="e">
        <f>_xlfn.XLOOKUP(H1869,#REF!,#REF!,0,0)</f>
        <v>#REF!</v>
      </c>
    </row>
    <row r="1870" spans="1:20" s="507" customFormat="1" ht="18" customHeight="1" x14ac:dyDescent="0.4">
      <c r="A1870" s="18" t="s">
        <v>6795</v>
      </c>
      <c r="B1870" s="18" t="s">
        <v>6796</v>
      </c>
      <c r="C1870" s="19" t="s">
        <v>433</v>
      </c>
      <c r="D1870" s="18" t="s">
        <v>693</v>
      </c>
      <c r="E1870" s="18" t="s">
        <v>10</v>
      </c>
      <c r="F1870" s="10" t="s">
        <v>5179</v>
      </c>
      <c r="G1870" s="18">
        <v>44671</v>
      </c>
      <c r="H1870" s="18" t="s">
        <v>6797</v>
      </c>
      <c r="I1870" s="134">
        <v>71534</v>
      </c>
      <c r="J1870" s="18" t="s">
        <v>6798</v>
      </c>
      <c r="K1870" s="18">
        <v>44830</v>
      </c>
      <c r="L1870" s="18" t="s">
        <v>364</v>
      </c>
      <c r="M1870" s="18" t="s">
        <v>364</v>
      </c>
      <c r="N1870" s="18" t="s">
        <v>364</v>
      </c>
      <c r="O1870" s="18" t="s">
        <v>364</v>
      </c>
      <c r="P1870" s="473" t="s">
        <v>6493</v>
      </c>
      <c r="Q1870" s="264"/>
      <c r="R1870" s="264"/>
      <c r="S1870" s="343"/>
      <c r="T1870" s="512" t="e">
        <f>_xlfn.XLOOKUP(H1870,#REF!,#REF!,0,0)</f>
        <v>#REF!</v>
      </c>
    </row>
    <row r="1871" spans="1:20" s="507" customFormat="1" ht="18" customHeight="1" x14ac:dyDescent="0.4">
      <c r="A1871" s="18" t="s">
        <v>6799</v>
      </c>
      <c r="B1871" s="18" t="s">
        <v>6800</v>
      </c>
      <c r="C1871" s="19" t="s">
        <v>433</v>
      </c>
      <c r="D1871" s="18" t="s">
        <v>704</v>
      </c>
      <c r="E1871" s="18" t="s">
        <v>10</v>
      </c>
      <c r="F1871" s="10" t="s">
        <v>3072</v>
      </c>
      <c r="G1871" s="18">
        <v>44754</v>
      </c>
      <c r="H1871" s="18" t="s">
        <v>6801</v>
      </c>
      <c r="I1871" s="134">
        <v>71369</v>
      </c>
      <c r="J1871" s="18" t="s">
        <v>6802</v>
      </c>
      <c r="K1871" s="18">
        <v>44834</v>
      </c>
      <c r="L1871" s="18" t="s">
        <v>364</v>
      </c>
      <c r="M1871" s="18" t="s">
        <v>364</v>
      </c>
      <c r="N1871" s="18" t="s">
        <v>364</v>
      </c>
      <c r="O1871" s="18" t="s">
        <v>364</v>
      </c>
      <c r="P1871" s="466" t="s">
        <v>6803</v>
      </c>
      <c r="Q1871" s="264"/>
      <c r="R1871" s="264"/>
      <c r="S1871" s="343"/>
      <c r="T1871" s="512" t="e">
        <f>_xlfn.XLOOKUP(H1871,#REF!,#REF!,0,0)</f>
        <v>#REF!</v>
      </c>
    </row>
    <row r="1872" spans="1:20" s="507" customFormat="1" x14ac:dyDescent="0.4">
      <c r="A1872" s="264" t="s">
        <v>6804</v>
      </c>
      <c r="B1872" s="264" t="s">
        <v>6805</v>
      </c>
      <c r="C1872" s="264"/>
      <c r="D1872" s="264" t="s">
        <v>693</v>
      </c>
      <c r="E1872" s="25" t="s">
        <v>10</v>
      </c>
      <c r="F1872" s="24" t="s">
        <v>3072</v>
      </c>
      <c r="G1872" s="25">
        <v>44754</v>
      </c>
      <c r="H1872" s="25" t="s">
        <v>298</v>
      </c>
      <c r="I1872" s="264">
        <v>71389</v>
      </c>
      <c r="J1872" s="264" t="s">
        <v>6806</v>
      </c>
      <c r="K1872" s="25">
        <v>44837</v>
      </c>
      <c r="L1872" s="264" t="s">
        <v>364</v>
      </c>
      <c r="M1872" s="264" t="s">
        <v>364</v>
      </c>
      <c r="N1872" s="264" t="s">
        <v>364</v>
      </c>
      <c r="O1872" s="264" t="s">
        <v>364</v>
      </c>
      <c r="P1872" s="472"/>
      <c r="Q1872" s="264"/>
      <c r="R1872" s="264"/>
      <c r="S1872" s="343"/>
      <c r="T1872" s="512" t="e">
        <f>_xlfn.XLOOKUP(H1872,#REF!,#REF!,0,0)</f>
        <v>#REF!</v>
      </c>
    </row>
    <row r="1873" spans="1:20" s="507" customFormat="1" x14ac:dyDescent="0.4">
      <c r="A1873" s="264" t="s">
        <v>6807</v>
      </c>
      <c r="B1873" s="264" t="s">
        <v>6808</v>
      </c>
      <c r="C1873" s="264"/>
      <c r="D1873" s="264" t="s">
        <v>6809</v>
      </c>
      <c r="E1873" s="25" t="s">
        <v>10</v>
      </c>
      <c r="F1873" s="24" t="s">
        <v>5179</v>
      </c>
      <c r="G1873" s="25">
        <v>44671</v>
      </c>
      <c r="H1873" s="25" t="s">
        <v>6810</v>
      </c>
      <c r="I1873" s="264">
        <v>71535</v>
      </c>
      <c r="J1873" s="264" t="s">
        <v>6811</v>
      </c>
      <c r="K1873" s="25">
        <v>44838</v>
      </c>
      <c r="L1873" s="264" t="s">
        <v>364</v>
      </c>
      <c r="M1873" s="264" t="s">
        <v>364</v>
      </c>
      <c r="N1873" s="264" t="s">
        <v>364</v>
      </c>
      <c r="O1873" s="264" t="s">
        <v>364</v>
      </c>
      <c r="P1873" s="472"/>
      <c r="Q1873" s="264"/>
      <c r="R1873" s="264"/>
      <c r="S1873" s="343"/>
      <c r="T1873" s="512" t="e">
        <f>_xlfn.XLOOKUP(H1873,#REF!,#REF!,0,0)</f>
        <v>#REF!</v>
      </c>
    </row>
    <row r="1874" spans="1:20" s="507" customFormat="1" x14ac:dyDescent="0.4">
      <c r="A1874" s="264" t="s">
        <v>6812</v>
      </c>
      <c r="B1874" s="264" t="s">
        <v>6813</v>
      </c>
      <c r="C1874" s="264"/>
      <c r="D1874" s="264" t="s">
        <v>6809</v>
      </c>
      <c r="E1874" s="25" t="s">
        <v>10</v>
      </c>
      <c r="F1874" s="24" t="s">
        <v>3072</v>
      </c>
      <c r="G1874" s="25">
        <v>44754</v>
      </c>
      <c r="H1874" s="25" t="s">
        <v>6814</v>
      </c>
      <c r="I1874" s="264">
        <v>71390</v>
      </c>
      <c r="J1874" s="264" t="s">
        <v>6815</v>
      </c>
      <c r="K1874" s="25">
        <v>44837</v>
      </c>
      <c r="L1874" s="264" t="s">
        <v>364</v>
      </c>
      <c r="M1874" s="264" t="s">
        <v>364</v>
      </c>
      <c r="N1874" s="264" t="s">
        <v>364</v>
      </c>
      <c r="O1874" s="264" t="s">
        <v>364</v>
      </c>
      <c r="P1874" s="472"/>
      <c r="Q1874" s="264"/>
      <c r="R1874" s="264"/>
      <c r="S1874" s="343"/>
      <c r="T1874" s="512" t="e">
        <f>_xlfn.XLOOKUP(H1874,#REF!,#REF!,0,0)</f>
        <v>#REF!</v>
      </c>
    </row>
    <row r="1875" spans="1:20" s="507" customFormat="1" x14ac:dyDescent="0.4">
      <c r="A1875" s="24" t="s">
        <v>6816</v>
      </c>
      <c r="B1875" s="24" t="s">
        <v>6817</v>
      </c>
      <c r="C1875" s="24"/>
      <c r="D1875" s="24" t="s">
        <v>693</v>
      </c>
      <c r="E1875" s="25" t="s">
        <v>10</v>
      </c>
      <c r="F1875" s="24" t="s">
        <v>3072</v>
      </c>
      <c r="G1875" s="25">
        <v>44754</v>
      </c>
      <c r="H1875" s="25" t="s">
        <v>6818</v>
      </c>
      <c r="I1875" s="264">
        <v>71388</v>
      </c>
      <c r="J1875" s="24" t="s">
        <v>6819</v>
      </c>
      <c r="K1875" s="25">
        <v>44840</v>
      </c>
      <c r="L1875" s="264" t="s">
        <v>364</v>
      </c>
      <c r="M1875" s="264" t="s">
        <v>364</v>
      </c>
      <c r="N1875" s="264" t="s">
        <v>364</v>
      </c>
      <c r="O1875" s="264" t="s">
        <v>364</v>
      </c>
      <c r="P1875" s="468" t="s">
        <v>6820</v>
      </c>
      <c r="Q1875" s="264"/>
      <c r="R1875" s="264"/>
      <c r="S1875" s="343"/>
      <c r="T1875" s="512" t="e">
        <f>_xlfn.XLOOKUP(H1875,#REF!,#REF!,0,0)</f>
        <v>#REF!</v>
      </c>
    </row>
    <row r="1876" spans="1:20" s="299" customFormat="1" ht="18" customHeight="1" x14ac:dyDescent="0.4">
      <c r="A1876" s="18" t="s">
        <v>6821</v>
      </c>
      <c r="B1876" s="18" t="s">
        <v>6822</v>
      </c>
      <c r="C1876" s="19" t="s">
        <v>433</v>
      </c>
      <c r="D1876" s="18" t="s">
        <v>693</v>
      </c>
      <c r="E1876" s="18" t="s">
        <v>10</v>
      </c>
      <c r="F1876" s="10" t="s">
        <v>5179</v>
      </c>
      <c r="G1876" s="18">
        <v>44671</v>
      </c>
      <c r="H1876" s="18" t="s">
        <v>6823</v>
      </c>
      <c r="I1876" s="134">
        <v>71536</v>
      </c>
      <c r="J1876" s="18" t="s">
        <v>6824</v>
      </c>
      <c r="K1876" s="18" t="s">
        <v>6825</v>
      </c>
      <c r="L1876" s="18" t="s">
        <v>364</v>
      </c>
      <c r="M1876" s="18" t="s">
        <v>364</v>
      </c>
      <c r="N1876" s="18" t="s">
        <v>364</v>
      </c>
      <c r="O1876" s="18" t="s">
        <v>364</v>
      </c>
      <c r="P1876" s="466"/>
      <c r="Q1876" s="134"/>
      <c r="R1876" s="134"/>
      <c r="S1876" s="344"/>
      <c r="T1876" s="512" t="e">
        <f>_xlfn.XLOOKUP(H1876,#REF!,#REF!,0,0)</f>
        <v>#REF!</v>
      </c>
    </row>
    <row r="1877" spans="1:20" s="507" customFormat="1" x14ac:dyDescent="0.4">
      <c r="A1877" s="24" t="s">
        <v>6826</v>
      </c>
      <c r="B1877" s="24" t="s">
        <v>6827</v>
      </c>
      <c r="C1877" s="24"/>
      <c r="D1877" s="24" t="s">
        <v>693</v>
      </c>
      <c r="E1877" s="25" t="s">
        <v>10</v>
      </c>
      <c r="F1877" s="24" t="s">
        <v>3072</v>
      </c>
      <c r="G1877" s="25">
        <v>44754</v>
      </c>
      <c r="H1877" s="25" t="s">
        <v>6828</v>
      </c>
      <c r="I1877" s="264">
        <v>71383</v>
      </c>
      <c r="J1877" s="24" t="s">
        <v>6829</v>
      </c>
      <c r="K1877" s="25">
        <v>44840</v>
      </c>
      <c r="L1877" s="24" t="s">
        <v>364</v>
      </c>
      <c r="M1877" s="24" t="s">
        <v>364</v>
      </c>
      <c r="N1877" s="24" t="s">
        <v>364</v>
      </c>
      <c r="O1877" s="24" t="s">
        <v>364</v>
      </c>
      <c r="P1877" s="468" t="s">
        <v>6830</v>
      </c>
      <c r="Q1877" s="264"/>
      <c r="R1877" s="264"/>
      <c r="S1877" s="343"/>
      <c r="T1877" s="512" t="e">
        <f>_xlfn.XLOOKUP(H1877,#REF!,#REF!,0,0)</f>
        <v>#REF!</v>
      </c>
    </row>
    <row r="1878" spans="1:20" s="299" customFormat="1" ht="18" customHeight="1" x14ac:dyDescent="0.4">
      <c r="A1878" s="18" t="s">
        <v>6831</v>
      </c>
      <c r="B1878" s="18" t="s">
        <v>6832</v>
      </c>
      <c r="C1878" s="19" t="s">
        <v>433</v>
      </c>
      <c r="D1878" s="18" t="s">
        <v>693</v>
      </c>
      <c r="E1878" s="18" t="s">
        <v>10</v>
      </c>
      <c r="F1878" s="10" t="s">
        <v>3072</v>
      </c>
      <c r="G1878" s="18">
        <v>44754</v>
      </c>
      <c r="H1878" s="18" t="s">
        <v>6833</v>
      </c>
      <c r="I1878" s="134">
        <v>71363</v>
      </c>
      <c r="J1878" s="18" t="s">
        <v>6834</v>
      </c>
      <c r="K1878" s="18">
        <v>44845</v>
      </c>
      <c r="L1878" s="18" t="s">
        <v>364</v>
      </c>
      <c r="M1878" s="18" t="s">
        <v>364</v>
      </c>
      <c r="N1878" s="18" t="s">
        <v>364</v>
      </c>
      <c r="O1878" s="18" t="s">
        <v>364</v>
      </c>
      <c r="P1878" s="466"/>
      <c r="Q1878" s="134"/>
      <c r="R1878" s="134"/>
      <c r="S1878" s="344"/>
      <c r="T1878" s="512" t="e">
        <f>_xlfn.XLOOKUP(H1878,#REF!,#REF!,0,0)</f>
        <v>#REF!</v>
      </c>
    </row>
    <row r="1879" spans="1:20" s="507" customFormat="1" x14ac:dyDescent="0.4">
      <c r="A1879" s="24" t="s">
        <v>6835</v>
      </c>
      <c r="B1879" s="24" t="s">
        <v>6836</v>
      </c>
      <c r="C1879" s="24"/>
      <c r="D1879" s="24" t="s">
        <v>693</v>
      </c>
      <c r="E1879" s="25" t="s">
        <v>10</v>
      </c>
      <c r="F1879" s="24" t="s">
        <v>3072</v>
      </c>
      <c r="G1879" s="25">
        <v>44754</v>
      </c>
      <c r="H1879" s="25" t="s">
        <v>6837</v>
      </c>
      <c r="I1879" s="264">
        <v>71364</v>
      </c>
      <c r="J1879" s="24" t="s">
        <v>6838</v>
      </c>
      <c r="K1879" s="25">
        <v>44866</v>
      </c>
      <c r="L1879" s="24" t="s">
        <v>364</v>
      </c>
      <c r="M1879" s="24" t="s">
        <v>364</v>
      </c>
      <c r="N1879" s="24" t="s">
        <v>364</v>
      </c>
      <c r="O1879" s="24" t="s">
        <v>364</v>
      </c>
      <c r="P1879" s="468"/>
      <c r="Q1879" s="264"/>
      <c r="R1879" s="264"/>
      <c r="S1879" s="343"/>
      <c r="T1879" s="512" t="e">
        <f>_xlfn.XLOOKUP(H1879,#REF!,#REF!,0,0)</f>
        <v>#REF!</v>
      </c>
    </row>
    <row r="1880" spans="1:20" s="299" customFormat="1" ht="18" customHeight="1" x14ac:dyDescent="0.4">
      <c r="A1880" s="18" t="s">
        <v>6839</v>
      </c>
      <c r="B1880" s="18" t="s">
        <v>6840</v>
      </c>
      <c r="C1880" s="19" t="s">
        <v>433</v>
      </c>
      <c r="D1880" s="18" t="s">
        <v>6841</v>
      </c>
      <c r="E1880" s="18" t="s">
        <v>3785</v>
      </c>
      <c r="F1880" s="10" t="s">
        <v>5909</v>
      </c>
      <c r="G1880" s="18"/>
      <c r="H1880" s="18" t="s">
        <v>6842</v>
      </c>
      <c r="I1880" s="134">
        <v>69859</v>
      </c>
      <c r="J1880" s="18"/>
      <c r="K1880" s="18"/>
      <c r="L1880" s="18" t="s">
        <v>364</v>
      </c>
      <c r="M1880" s="18" t="s">
        <v>364</v>
      </c>
      <c r="N1880" s="18" t="s">
        <v>364</v>
      </c>
      <c r="O1880" s="18" t="s">
        <v>364</v>
      </c>
      <c r="P1880" s="466"/>
      <c r="Q1880" s="134"/>
      <c r="R1880" s="134"/>
      <c r="S1880" s="344"/>
      <c r="T1880" s="512" t="e">
        <f>_xlfn.XLOOKUP(H1880,#REF!,#REF!,0,0)</f>
        <v>#REF!</v>
      </c>
    </row>
    <row r="1881" spans="1:20" s="507" customFormat="1" x14ac:dyDescent="0.4">
      <c r="A1881" s="24" t="s">
        <v>6843</v>
      </c>
      <c r="B1881" s="24" t="s">
        <v>6844</v>
      </c>
      <c r="C1881" s="24"/>
      <c r="D1881" s="24" t="s">
        <v>693</v>
      </c>
      <c r="E1881" s="25" t="s">
        <v>10</v>
      </c>
      <c r="F1881" s="24" t="s">
        <v>5179</v>
      </c>
      <c r="G1881" s="25">
        <v>44671</v>
      </c>
      <c r="H1881" s="25" t="s">
        <v>6845</v>
      </c>
      <c r="I1881" s="264">
        <v>71538</v>
      </c>
      <c r="J1881" s="24" t="s">
        <v>6846</v>
      </c>
      <c r="K1881" s="25">
        <v>44851</v>
      </c>
      <c r="L1881" s="24" t="s">
        <v>364</v>
      </c>
      <c r="M1881" s="24" t="s">
        <v>364</v>
      </c>
      <c r="N1881" s="24" t="s">
        <v>364</v>
      </c>
      <c r="O1881" s="24" t="s">
        <v>364</v>
      </c>
      <c r="P1881" s="468"/>
      <c r="Q1881" s="264"/>
      <c r="R1881" s="264"/>
      <c r="S1881" s="343"/>
      <c r="T1881" s="512" t="e">
        <f>_xlfn.XLOOKUP(H1881,#REF!,#REF!,0,0)</f>
        <v>#REF!</v>
      </c>
    </row>
    <row r="1882" spans="1:20" s="299" customFormat="1" ht="18" customHeight="1" x14ac:dyDescent="0.4">
      <c r="A1882" s="18" t="s">
        <v>6847</v>
      </c>
      <c r="B1882" s="18" t="s">
        <v>6848</v>
      </c>
      <c r="C1882" s="19" t="s">
        <v>433</v>
      </c>
      <c r="D1882" s="18" t="s">
        <v>693</v>
      </c>
      <c r="E1882" s="18" t="s">
        <v>10</v>
      </c>
      <c r="F1882" s="10" t="s">
        <v>3072</v>
      </c>
      <c r="G1882" s="18">
        <v>44754</v>
      </c>
      <c r="H1882" s="18" t="s">
        <v>6849</v>
      </c>
      <c r="I1882" s="134">
        <v>71351</v>
      </c>
      <c r="J1882" s="18" t="s">
        <v>6850</v>
      </c>
      <c r="K1882" s="18" t="s">
        <v>6851</v>
      </c>
      <c r="L1882" s="18" t="s">
        <v>364</v>
      </c>
      <c r="M1882" s="18" t="s">
        <v>364</v>
      </c>
      <c r="N1882" s="18" t="s">
        <v>364</v>
      </c>
      <c r="O1882" s="18" t="s">
        <v>364</v>
      </c>
      <c r="P1882" s="466" t="s">
        <v>6852</v>
      </c>
      <c r="Q1882" s="134"/>
      <c r="R1882" s="134"/>
      <c r="S1882" s="344"/>
      <c r="T1882" s="512" t="e">
        <f>_xlfn.XLOOKUP(H1882,#REF!,#REF!,0,0)</f>
        <v>#REF!</v>
      </c>
    </row>
    <row r="1883" spans="1:20" s="507" customFormat="1" ht="18" customHeight="1" x14ac:dyDescent="0.4">
      <c r="A1883" s="264" t="s">
        <v>6853</v>
      </c>
      <c r="B1883" s="264" t="s">
        <v>6854</v>
      </c>
      <c r="C1883" s="264"/>
      <c r="D1883" s="264" t="s">
        <v>693</v>
      </c>
      <c r="E1883" s="25" t="s">
        <v>10</v>
      </c>
      <c r="F1883" s="24" t="s">
        <v>3072</v>
      </c>
      <c r="G1883" s="25">
        <v>44754</v>
      </c>
      <c r="H1883" s="25" t="s">
        <v>6855</v>
      </c>
      <c r="I1883" s="264">
        <v>71350</v>
      </c>
      <c r="J1883" s="264" t="s">
        <v>6856</v>
      </c>
      <c r="K1883" s="25"/>
      <c r="L1883" s="264" t="s">
        <v>364</v>
      </c>
      <c r="M1883" s="264" t="s">
        <v>364</v>
      </c>
      <c r="N1883" s="264" t="s">
        <v>364</v>
      </c>
      <c r="O1883" s="264" t="s">
        <v>364</v>
      </c>
      <c r="P1883" s="472" t="s">
        <v>6857</v>
      </c>
      <c r="Q1883" s="264"/>
      <c r="R1883" s="264"/>
      <c r="S1883" s="343"/>
      <c r="T1883" s="512" t="e">
        <f>_xlfn.XLOOKUP(H1883,#REF!,#REF!,0,0)</f>
        <v>#REF!</v>
      </c>
    </row>
    <row r="1884" spans="1:20" s="299" customFormat="1" x14ac:dyDescent="0.4">
      <c r="A1884" s="18" t="s">
        <v>6858</v>
      </c>
      <c r="B1884" s="18" t="s">
        <v>6859</v>
      </c>
      <c r="C1884" s="19" t="s">
        <v>433</v>
      </c>
      <c r="D1884" s="18" t="s">
        <v>693</v>
      </c>
      <c r="E1884" s="18" t="s">
        <v>10</v>
      </c>
      <c r="F1884" s="10" t="s">
        <v>3072</v>
      </c>
      <c r="G1884" s="18">
        <v>44754</v>
      </c>
      <c r="H1884" s="18" t="s">
        <v>6860</v>
      </c>
      <c r="I1884" s="134">
        <v>71361</v>
      </c>
      <c r="J1884" s="18" t="s">
        <v>6861</v>
      </c>
      <c r="K1884" s="18">
        <v>44855</v>
      </c>
      <c r="L1884" s="18" t="s">
        <v>364</v>
      </c>
      <c r="M1884" s="18" t="s">
        <v>364</v>
      </c>
      <c r="N1884" s="18" t="s">
        <v>364</v>
      </c>
      <c r="O1884" s="18" t="s">
        <v>364</v>
      </c>
      <c r="P1884" s="466" t="s">
        <v>6862</v>
      </c>
      <c r="Q1884" s="134"/>
      <c r="R1884" s="134"/>
      <c r="S1884" s="344"/>
      <c r="T1884" s="512" t="e">
        <f>_xlfn.XLOOKUP(H1884,#REF!,#REF!,0,0)</f>
        <v>#REF!</v>
      </c>
    </row>
    <row r="1885" spans="1:20" s="299" customFormat="1" x14ac:dyDescent="0.4">
      <c r="A1885" s="18" t="s">
        <v>6863</v>
      </c>
      <c r="B1885" s="18" t="s">
        <v>6864</v>
      </c>
      <c r="C1885" s="19" t="s">
        <v>433</v>
      </c>
      <c r="D1885" s="18" t="s">
        <v>693</v>
      </c>
      <c r="E1885" s="18" t="s">
        <v>10</v>
      </c>
      <c r="F1885" s="10" t="s">
        <v>5179</v>
      </c>
      <c r="G1885" s="18">
        <v>44671</v>
      </c>
      <c r="H1885" s="18" t="s">
        <v>6865</v>
      </c>
      <c r="I1885" s="134">
        <v>71539</v>
      </c>
      <c r="J1885" s="18" t="s">
        <v>6866</v>
      </c>
      <c r="K1885" s="18" t="s">
        <v>6867</v>
      </c>
      <c r="L1885" s="18" t="s">
        <v>364</v>
      </c>
      <c r="M1885" s="18" t="s">
        <v>364</v>
      </c>
      <c r="N1885" s="18" t="s">
        <v>364</v>
      </c>
      <c r="O1885" s="18" t="s">
        <v>364</v>
      </c>
      <c r="P1885" s="466"/>
      <c r="Q1885" s="134"/>
      <c r="R1885" s="134"/>
      <c r="S1885" s="344"/>
      <c r="T1885" s="512" t="e">
        <f>_xlfn.XLOOKUP(H1885,#REF!,#REF!,0,0)</f>
        <v>#REF!</v>
      </c>
    </row>
    <row r="1886" spans="1:20" s="299" customFormat="1" x14ac:dyDescent="0.4">
      <c r="A1886" s="18" t="s">
        <v>6868</v>
      </c>
      <c r="B1886" s="18" t="s">
        <v>6869</v>
      </c>
      <c r="C1886" s="19" t="s">
        <v>433</v>
      </c>
      <c r="D1886" s="18" t="s">
        <v>693</v>
      </c>
      <c r="E1886" s="18" t="s">
        <v>10</v>
      </c>
      <c r="F1886" s="10" t="s">
        <v>3072</v>
      </c>
      <c r="G1886" s="18">
        <v>44754</v>
      </c>
      <c r="H1886" s="18" t="s">
        <v>6870</v>
      </c>
      <c r="I1886" s="134">
        <v>71365</v>
      </c>
      <c r="J1886" s="18" t="s">
        <v>6871</v>
      </c>
      <c r="K1886" s="18">
        <v>44855</v>
      </c>
      <c r="L1886" s="18" t="s">
        <v>364</v>
      </c>
      <c r="M1886" s="18" t="s">
        <v>364</v>
      </c>
      <c r="N1886" s="18" t="s">
        <v>364</v>
      </c>
      <c r="O1886" s="18" t="s">
        <v>364</v>
      </c>
      <c r="P1886" s="466"/>
      <c r="Q1886" s="134"/>
      <c r="R1886" s="134"/>
      <c r="S1886" s="344"/>
      <c r="T1886" s="512" t="e">
        <f>_xlfn.XLOOKUP(H1886,#REF!,#REF!,0,0)</f>
        <v>#REF!</v>
      </c>
    </row>
    <row r="1887" spans="1:20" s="299" customFormat="1" x14ac:dyDescent="0.4">
      <c r="A1887" s="18" t="s">
        <v>6872</v>
      </c>
      <c r="B1887" s="18" t="s">
        <v>6873</v>
      </c>
      <c r="C1887" s="19" t="s">
        <v>433</v>
      </c>
      <c r="D1887" s="18" t="s">
        <v>693</v>
      </c>
      <c r="E1887" s="18" t="s">
        <v>10</v>
      </c>
      <c r="F1887" s="10" t="s">
        <v>3072</v>
      </c>
      <c r="G1887" s="18">
        <v>44754</v>
      </c>
      <c r="H1887" s="18" t="s">
        <v>6874</v>
      </c>
      <c r="I1887" s="134">
        <v>71347</v>
      </c>
      <c r="J1887" s="18" t="s">
        <v>6875</v>
      </c>
      <c r="K1887" s="18">
        <v>44858</v>
      </c>
      <c r="L1887" s="18" t="s">
        <v>364</v>
      </c>
      <c r="M1887" s="18" t="s">
        <v>364</v>
      </c>
      <c r="N1887" s="18" t="s">
        <v>364</v>
      </c>
      <c r="O1887" s="18" t="s">
        <v>364</v>
      </c>
      <c r="P1887" s="466" t="s">
        <v>6876</v>
      </c>
      <c r="Q1887" s="134"/>
      <c r="R1887" s="134"/>
      <c r="S1887" s="344"/>
      <c r="T1887" s="512" t="e">
        <f>_xlfn.XLOOKUP(H1887,#REF!,#REF!,0,0)</f>
        <v>#REF!</v>
      </c>
    </row>
    <row r="1888" spans="1:20" s="299" customFormat="1" x14ac:dyDescent="0.4">
      <c r="A1888" s="18" t="s">
        <v>6877</v>
      </c>
      <c r="B1888" s="18" t="s">
        <v>6878</v>
      </c>
      <c r="C1888" s="19" t="s">
        <v>433</v>
      </c>
      <c r="D1888" s="18" t="s">
        <v>3778</v>
      </c>
      <c r="E1888" s="18" t="s">
        <v>10</v>
      </c>
      <c r="F1888" s="10" t="s">
        <v>3072</v>
      </c>
      <c r="G1888" s="18">
        <v>44754</v>
      </c>
      <c r="H1888" s="18" t="s">
        <v>6879</v>
      </c>
      <c r="I1888" s="134">
        <v>71357</v>
      </c>
      <c r="J1888" s="18" t="s">
        <v>6880</v>
      </c>
      <c r="K1888" s="18"/>
      <c r="L1888" s="18" t="s">
        <v>364</v>
      </c>
      <c r="M1888" s="18" t="s">
        <v>364</v>
      </c>
      <c r="N1888" s="18" t="s">
        <v>364</v>
      </c>
      <c r="O1888" s="18" t="s">
        <v>364</v>
      </c>
      <c r="P1888" s="466"/>
      <c r="Q1888" s="134"/>
      <c r="R1888" s="134"/>
      <c r="S1888" s="344"/>
      <c r="T1888" s="512" t="e">
        <f>_xlfn.XLOOKUP(H1888,#REF!,#REF!,0,0)</f>
        <v>#REF!</v>
      </c>
    </row>
    <row r="1889" spans="1:20" s="507" customFormat="1" ht="18" customHeight="1" x14ac:dyDescent="0.4">
      <c r="A1889" s="24" t="s">
        <v>6881</v>
      </c>
      <c r="B1889" s="24" t="s">
        <v>6882</v>
      </c>
      <c r="C1889" s="24"/>
      <c r="D1889" s="24" t="s">
        <v>693</v>
      </c>
      <c r="E1889" s="25" t="s">
        <v>10</v>
      </c>
      <c r="F1889" s="24" t="s">
        <v>5179</v>
      </c>
      <c r="G1889" s="25">
        <v>44671</v>
      </c>
      <c r="H1889" s="25" t="s">
        <v>6883</v>
      </c>
      <c r="I1889" s="264">
        <v>71540</v>
      </c>
      <c r="J1889" s="24" t="s">
        <v>6884</v>
      </c>
      <c r="K1889" s="25">
        <v>44867</v>
      </c>
      <c r="L1889" s="24" t="s">
        <v>364</v>
      </c>
      <c r="M1889" s="24" t="s">
        <v>364</v>
      </c>
      <c r="N1889" s="24" t="s">
        <v>364</v>
      </c>
      <c r="O1889" s="24" t="s">
        <v>364</v>
      </c>
      <c r="P1889" s="468" t="s">
        <v>6308</v>
      </c>
      <c r="Q1889" s="264"/>
      <c r="R1889" s="264"/>
      <c r="S1889" s="343"/>
      <c r="T1889" s="512" t="e">
        <f>_xlfn.XLOOKUP(H1889,#REF!,#REF!,0,0)</f>
        <v>#REF!</v>
      </c>
    </row>
    <row r="1890" spans="1:20" s="507" customFormat="1" ht="18" customHeight="1" x14ac:dyDescent="0.4">
      <c r="A1890" s="24" t="s">
        <v>6885</v>
      </c>
      <c r="B1890" s="24" t="s">
        <v>6886</v>
      </c>
      <c r="C1890" s="24"/>
      <c r="D1890" s="24" t="s">
        <v>693</v>
      </c>
      <c r="E1890" s="25" t="s">
        <v>10</v>
      </c>
      <c r="F1890" s="24" t="s">
        <v>5179</v>
      </c>
      <c r="G1890" s="25">
        <v>44671</v>
      </c>
      <c r="H1890" s="25" t="s">
        <v>6887</v>
      </c>
      <c r="I1890" s="264">
        <v>71541</v>
      </c>
      <c r="J1890" s="24" t="s">
        <v>6888</v>
      </c>
      <c r="K1890" s="25">
        <v>44868</v>
      </c>
      <c r="L1890" s="24" t="s">
        <v>364</v>
      </c>
      <c r="M1890" s="24" t="s">
        <v>364</v>
      </c>
      <c r="N1890" s="24" t="s">
        <v>364</v>
      </c>
      <c r="O1890" s="24" t="s">
        <v>364</v>
      </c>
      <c r="P1890" s="468"/>
      <c r="Q1890" s="264"/>
      <c r="R1890" s="264"/>
      <c r="S1890" s="343"/>
      <c r="T1890" s="512" t="e">
        <f>_xlfn.XLOOKUP(H1890,#REF!,#REF!,0,0)</f>
        <v>#REF!</v>
      </c>
    </row>
    <row r="1891" spans="1:20" s="507" customFormat="1" ht="18" customHeight="1" x14ac:dyDescent="0.4">
      <c r="A1891" s="24" t="s">
        <v>6889</v>
      </c>
      <c r="B1891" s="24" t="s">
        <v>6890</v>
      </c>
      <c r="C1891" s="24"/>
      <c r="D1891" s="24" t="s">
        <v>693</v>
      </c>
      <c r="E1891" s="25" t="s">
        <v>10</v>
      </c>
      <c r="F1891" s="24" t="s">
        <v>5179</v>
      </c>
      <c r="G1891" s="25">
        <v>44671</v>
      </c>
      <c r="H1891" s="25" t="s">
        <v>6891</v>
      </c>
      <c r="I1891" s="264">
        <v>71542</v>
      </c>
      <c r="J1891" s="24" t="s">
        <v>6892</v>
      </c>
      <c r="K1891" s="25">
        <v>44867</v>
      </c>
      <c r="L1891" s="24" t="s">
        <v>364</v>
      </c>
      <c r="M1891" s="24" t="s">
        <v>364</v>
      </c>
      <c r="N1891" s="24" t="s">
        <v>364</v>
      </c>
      <c r="O1891" s="24" t="s">
        <v>364</v>
      </c>
      <c r="P1891" s="468" t="s">
        <v>523</v>
      </c>
      <c r="Q1891" s="264"/>
      <c r="R1891" s="264"/>
      <c r="S1891" s="343"/>
      <c r="T1891" s="512" t="e">
        <f>_xlfn.XLOOKUP(H1891,#REF!,#REF!,0,0)</f>
        <v>#REF!</v>
      </c>
    </row>
    <row r="1892" spans="1:20" s="507" customFormat="1" ht="18" customHeight="1" x14ac:dyDescent="0.4">
      <c r="A1892" s="24" t="s">
        <v>6893</v>
      </c>
      <c r="B1892" s="24" t="s">
        <v>6894</v>
      </c>
      <c r="C1892" s="24"/>
      <c r="D1892" s="24" t="s">
        <v>693</v>
      </c>
      <c r="E1892" s="25" t="s">
        <v>10</v>
      </c>
      <c r="F1892" s="24" t="s">
        <v>3072</v>
      </c>
      <c r="G1892" s="25">
        <v>44754</v>
      </c>
      <c r="H1892" s="25" t="s">
        <v>6895</v>
      </c>
      <c r="I1892" s="264">
        <v>71353</v>
      </c>
      <c r="J1892" s="24" t="s">
        <v>6896</v>
      </c>
      <c r="K1892" s="25">
        <v>44867</v>
      </c>
      <c r="L1892" s="24" t="s">
        <v>364</v>
      </c>
      <c r="M1892" s="24" t="s">
        <v>364</v>
      </c>
      <c r="N1892" s="24" t="s">
        <v>364</v>
      </c>
      <c r="O1892" s="24" t="s">
        <v>364</v>
      </c>
      <c r="P1892" s="468" t="s">
        <v>6148</v>
      </c>
      <c r="Q1892" s="264"/>
      <c r="R1892" s="264"/>
      <c r="S1892" s="343"/>
      <c r="T1892" s="512" t="e">
        <f>_xlfn.XLOOKUP(H1892,#REF!,#REF!,0,0)</f>
        <v>#REF!</v>
      </c>
    </row>
    <row r="1893" spans="1:20" s="507" customFormat="1" ht="18" customHeight="1" x14ac:dyDescent="0.4">
      <c r="A1893" s="24" t="s">
        <v>6897</v>
      </c>
      <c r="B1893" s="24" t="s">
        <v>6898</v>
      </c>
      <c r="C1893" s="24"/>
      <c r="D1893" s="24" t="s">
        <v>693</v>
      </c>
      <c r="E1893" s="25" t="s">
        <v>10</v>
      </c>
      <c r="F1893" s="24" t="s">
        <v>3072</v>
      </c>
      <c r="G1893" s="25">
        <v>44754</v>
      </c>
      <c r="H1893" s="25" t="s">
        <v>6899</v>
      </c>
      <c r="I1893" s="264">
        <v>71354</v>
      </c>
      <c r="J1893" s="24" t="s">
        <v>6900</v>
      </c>
      <c r="K1893" s="25">
        <v>44867</v>
      </c>
      <c r="L1893" s="24" t="s">
        <v>364</v>
      </c>
      <c r="M1893" s="24" t="s">
        <v>364</v>
      </c>
      <c r="N1893" s="24" t="s">
        <v>364</v>
      </c>
      <c r="O1893" s="24" t="s">
        <v>364</v>
      </c>
      <c r="P1893" s="468" t="s">
        <v>6901</v>
      </c>
      <c r="Q1893" s="264"/>
      <c r="R1893" s="264"/>
      <c r="S1893" s="343"/>
      <c r="T1893" s="512" t="e">
        <f>_xlfn.XLOOKUP(H1893,#REF!,#REF!,0,0)</f>
        <v>#REF!</v>
      </c>
    </row>
    <row r="1894" spans="1:20" s="507" customFormat="1" ht="18" customHeight="1" x14ac:dyDescent="0.4">
      <c r="A1894" s="24" t="s">
        <v>6902</v>
      </c>
      <c r="B1894" s="24" t="s">
        <v>6903</v>
      </c>
      <c r="C1894" s="24"/>
      <c r="D1894" s="24" t="s">
        <v>693</v>
      </c>
      <c r="E1894" s="25" t="s">
        <v>10</v>
      </c>
      <c r="F1894" s="24" t="s">
        <v>3072</v>
      </c>
      <c r="G1894" s="25">
        <v>44754</v>
      </c>
      <c r="H1894" s="25" t="s">
        <v>6904</v>
      </c>
      <c r="I1894" s="264">
        <v>71355</v>
      </c>
      <c r="J1894" s="24" t="s">
        <v>6905</v>
      </c>
      <c r="K1894" s="25">
        <v>44867</v>
      </c>
      <c r="L1894" s="24" t="s">
        <v>364</v>
      </c>
      <c r="M1894" s="24" t="s">
        <v>364</v>
      </c>
      <c r="N1894" s="24" t="s">
        <v>364</v>
      </c>
      <c r="O1894" s="24" t="s">
        <v>364</v>
      </c>
      <c r="P1894" s="468" t="s">
        <v>6901</v>
      </c>
      <c r="Q1894" s="264"/>
      <c r="R1894" s="264"/>
      <c r="S1894" s="343"/>
      <c r="T1894" s="512" t="e">
        <f>_xlfn.XLOOKUP(H1894,#REF!,#REF!,0,0)</f>
        <v>#REF!</v>
      </c>
    </row>
    <row r="1895" spans="1:20" s="507" customFormat="1" ht="18" customHeight="1" x14ac:dyDescent="0.4">
      <c r="A1895" s="24" t="s">
        <v>6906</v>
      </c>
      <c r="B1895" s="24" t="s">
        <v>6907</v>
      </c>
      <c r="C1895" s="24"/>
      <c r="D1895" s="24" t="s">
        <v>693</v>
      </c>
      <c r="E1895" s="25" t="s">
        <v>10</v>
      </c>
      <c r="F1895" s="24" t="s">
        <v>3072</v>
      </c>
      <c r="G1895" s="25">
        <v>44754</v>
      </c>
      <c r="H1895" s="25" t="s">
        <v>6908</v>
      </c>
      <c r="I1895" s="264">
        <v>71393</v>
      </c>
      <c r="J1895" s="24" t="s">
        <v>6909</v>
      </c>
      <c r="K1895" s="25">
        <v>44867</v>
      </c>
      <c r="L1895" s="24" t="s">
        <v>364</v>
      </c>
      <c r="M1895" s="24" t="s">
        <v>364</v>
      </c>
      <c r="N1895" s="24" t="s">
        <v>364</v>
      </c>
      <c r="O1895" s="24" t="s">
        <v>364</v>
      </c>
      <c r="P1895" s="468" t="s">
        <v>6278</v>
      </c>
      <c r="Q1895" s="264"/>
      <c r="R1895" s="264"/>
      <c r="S1895" s="343"/>
      <c r="T1895" s="512" t="e">
        <f>_xlfn.XLOOKUP(H1895,#REF!,#REF!,0,0)</f>
        <v>#REF!</v>
      </c>
    </row>
    <row r="1896" spans="1:20" s="295" customFormat="1" ht="18" customHeight="1" x14ac:dyDescent="0.4">
      <c r="A1896" s="5" t="s">
        <v>6910</v>
      </c>
      <c r="B1896" s="5" t="s">
        <v>6911</v>
      </c>
      <c r="C1896" s="5"/>
      <c r="D1896" s="5" t="s">
        <v>693</v>
      </c>
      <c r="E1896" s="4" t="s">
        <v>10</v>
      </c>
      <c r="F1896" s="5" t="s">
        <v>3072</v>
      </c>
      <c r="G1896" s="4"/>
      <c r="H1896" s="4" t="s">
        <v>247</v>
      </c>
      <c r="I1896" s="3">
        <v>69826</v>
      </c>
      <c r="J1896" s="5"/>
      <c r="K1896" s="4">
        <v>44868</v>
      </c>
      <c r="L1896" s="5" t="s">
        <v>570</v>
      </c>
      <c r="M1896" s="5" t="s">
        <v>570</v>
      </c>
      <c r="N1896" s="5" t="s">
        <v>570</v>
      </c>
      <c r="O1896" s="5" t="s">
        <v>570</v>
      </c>
      <c r="P1896" s="474" t="s">
        <v>6912</v>
      </c>
      <c r="Q1896" s="3"/>
      <c r="R1896" s="3"/>
      <c r="S1896" s="281"/>
      <c r="T1896" s="512" t="e">
        <f>_xlfn.XLOOKUP(H1896,#REF!,#REF!,0,0)</f>
        <v>#REF!</v>
      </c>
    </row>
    <row r="1897" spans="1:20" s="507" customFormat="1" ht="18" customHeight="1" x14ac:dyDescent="0.4">
      <c r="A1897" s="24" t="s">
        <v>6913</v>
      </c>
      <c r="B1897" s="24" t="s">
        <v>6914</v>
      </c>
      <c r="C1897" s="24"/>
      <c r="D1897" s="24" t="s">
        <v>6841</v>
      </c>
      <c r="E1897" s="25" t="s">
        <v>10</v>
      </c>
      <c r="F1897" s="24" t="s">
        <v>5179</v>
      </c>
      <c r="G1897" s="25">
        <v>44671</v>
      </c>
      <c r="H1897" s="25" t="s">
        <v>6915</v>
      </c>
      <c r="I1897" s="264">
        <v>71543</v>
      </c>
      <c r="J1897" s="24" t="s">
        <v>6916</v>
      </c>
      <c r="K1897" s="25">
        <v>44868</v>
      </c>
      <c r="L1897" s="24" t="s">
        <v>364</v>
      </c>
      <c r="M1897" s="24" t="s">
        <v>364</v>
      </c>
      <c r="N1897" s="24" t="s">
        <v>364</v>
      </c>
      <c r="O1897" s="24" t="s">
        <v>364</v>
      </c>
      <c r="P1897" s="468" t="s">
        <v>523</v>
      </c>
      <c r="Q1897" s="264"/>
      <c r="R1897" s="264"/>
      <c r="S1897" s="343"/>
      <c r="T1897" s="512" t="e">
        <f>_xlfn.XLOOKUP(H1897,#REF!,#REF!,0,0)</f>
        <v>#REF!</v>
      </c>
    </row>
    <row r="1898" spans="1:20" s="295" customFormat="1" ht="18" customHeight="1" x14ac:dyDescent="0.4">
      <c r="A1898" s="5" t="s">
        <v>6917</v>
      </c>
      <c r="B1898" s="5" t="s">
        <v>6918</v>
      </c>
      <c r="C1898" s="5"/>
      <c r="D1898" s="5" t="s">
        <v>693</v>
      </c>
      <c r="E1898" s="4" t="s">
        <v>10</v>
      </c>
      <c r="F1898" s="5" t="s">
        <v>5909</v>
      </c>
      <c r="G1898" s="4"/>
      <c r="H1898" s="4" t="s">
        <v>267</v>
      </c>
      <c r="I1898" s="3">
        <v>70712</v>
      </c>
      <c r="J1898" s="5"/>
      <c r="K1898" s="4"/>
      <c r="L1898" s="5" t="s">
        <v>364</v>
      </c>
      <c r="M1898" s="5" t="s">
        <v>364</v>
      </c>
      <c r="N1898" s="5" t="s">
        <v>364</v>
      </c>
      <c r="O1898" s="5" t="s">
        <v>364</v>
      </c>
      <c r="P1898" s="474"/>
      <c r="Q1898" s="3"/>
      <c r="R1898" s="3"/>
      <c r="S1898" s="281"/>
      <c r="T1898" s="512" t="e">
        <f>_xlfn.XLOOKUP(H1898,#REF!,#REF!,0,0)</f>
        <v>#REF!</v>
      </c>
    </row>
    <row r="1899" spans="1:20" s="507" customFormat="1" ht="18" customHeight="1" x14ac:dyDescent="0.4">
      <c r="A1899" s="24" t="s">
        <v>6919</v>
      </c>
      <c r="B1899" s="24" t="s">
        <v>6920</v>
      </c>
      <c r="C1899" s="24"/>
      <c r="D1899" s="24" t="s">
        <v>693</v>
      </c>
      <c r="E1899" s="25" t="s">
        <v>10</v>
      </c>
      <c r="F1899" s="24" t="s">
        <v>5179</v>
      </c>
      <c r="G1899" s="25">
        <v>44671</v>
      </c>
      <c r="H1899" s="25" t="s">
        <v>300</v>
      </c>
      <c r="I1899" s="264">
        <v>71544</v>
      </c>
      <c r="J1899" s="24" t="s">
        <v>6921</v>
      </c>
      <c r="K1899" s="25">
        <v>44872</v>
      </c>
      <c r="L1899" s="24" t="s">
        <v>364</v>
      </c>
      <c r="M1899" s="24" t="s">
        <v>364</v>
      </c>
      <c r="N1899" s="24" t="s">
        <v>364</v>
      </c>
      <c r="O1899" s="24" t="s">
        <v>364</v>
      </c>
      <c r="P1899" s="468"/>
      <c r="Q1899" s="264"/>
      <c r="R1899" s="264"/>
      <c r="S1899" s="343"/>
      <c r="T1899" s="512" t="e">
        <f>_xlfn.XLOOKUP(H1899,#REF!,#REF!,0,0)</f>
        <v>#REF!</v>
      </c>
    </row>
    <row r="1900" spans="1:20" s="299" customFormat="1" x14ac:dyDescent="0.4">
      <c r="A1900" s="18" t="s">
        <v>6922</v>
      </c>
      <c r="B1900" s="18" t="s">
        <v>6923</v>
      </c>
      <c r="C1900" s="19" t="s">
        <v>433</v>
      </c>
      <c r="D1900" s="18" t="s">
        <v>693</v>
      </c>
      <c r="E1900" s="18" t="s">
        <v>10</v>
      </c>
      <c r="F1900" s="10" t="s">
        <v>3072</v>
      </c>
      <c r="G1900" s="18">
        <v>44754</v>
      </c>
      <c r="H1900" s="18" t="s">
        <v>6924</v>
      </c>
      <c r="I1900" s="134">
        <v>71384</v>
      </c>
      <c r="J1900" s="18" t="s">
        <v>6925</v>
      </c>
      <c r="K1900" s="18">
        <v>44873</v>
      </c>
      <c r="L1900" s="18" t="s">
        <v>364</v>
      </c>
      <c r="M1900" s="18" t="s">
        <v>364</v>
      </c>
      <c r="N1900" s="18" t="s">
        <v>364</v>
      </c>
      <c r="O1900" s="18" t="s">
        <v>364</v>
      </c>
      <c r="P1900" s="466" t="s">
        <v>6926</v>
      </c>
      <c r="Q1900" s="134"/>
      <c r="R1900" s="134"/>
      <c r="S1900" s="344"/>
      <c r="T1900" s="512" t="e">
        <f>_xlfn.XLOOKUP(H1900,#REF!,#REF!,0,0)</f>
        <v>#REF!</v>
      </c>
    </row>
    <row r="1901" spans="1:20" s="299" customFormat="1" x14ac:dyDescent="0.4">
      <c r="A1901" s="18" t="s">
        <v>6927</v>
      </c>
      <c r="B1901" s="18" t="s">
        <v>6928</v>
      </c>
      <c r="C1901" s="19" t="s">
        <v>433</v>
      </c>
      <c r="D1901" s="18" t="s">
        <v>6841</v>
      </c>
      <c r="E1901" s="18" t="s">
        <v>10</v>
      </c>
      <c r="F1901" s="10" t="s">
        <v>3072</v>
      </c>
      <c r="G1901" s="18">
        <v>44754</v>
      </c>
      <c r="H1901" s="18" t="s">
        <v>6929</v>
      </c>
      <c r="I1901" s="134">
        <v>71385</v>
      </c>
      <c r="J1901" s="18" t="s">
        <v>6930</v>
      </c>
      <c r="K1901" s="18">
        <v>44874</v>
      </c>
      <c r="L1901" s="18" t="s">
        <v>364</v>
      </c>
      <c r="M1901" s="18" t="s">
        <v>364</v>
      </c>
      <c r="N1901" s="18" t="s">
        <v>364</v>
      </c>
      <c r="O1901" s="18" t="s">
        <v>364</v>
      </c>
      <c r="P1901" s="466" t="s">
        <v>6278</v>
      </c>
      <c r="Q1901" s="134"/>
      <c r="R1901" s="134"/>
      <c r="S1901" s="344"/>
      <c r="T1901" s="512" t="e">
        <f>_xlfn.XLOOKUP(H1901,#REF!,#REF!,0,0)</f>
        <v>#REF!</v>
      </c>
    </row>
    <row r="1902" spans="1:20" s="507" customFormat="1" ht="18" customHeight="1" x14ac:dyDescent="0.4">
      <c r="A1902" s="24" t="s">
        <v>6931</v>
      </c>
      <c r="B1902" s="24" t="s">
        <v>6932</v>
      </c>
      <c r="C1902" s="24"/>
      <c r="D1902" s="24" t="s">
        <v>693</v>
      </c>
      <c r="E1902" s="25" t="s">
        <v>10</v>
      </c>
      <c r="F1902" s="24" t="s">
        <v>3072</v>
      </c>
      <c r="G1902" s="25">
        <v>44754</v>
      </c>
      <c r="H1902" s="25" t="s">
        <v>6933</v>
      </c>
      <c r="I1902" s="264">
        <v>71348</v>
      </c>
      <c r="J1902" s="24" t="s">
        <v>6934</v>
      </c>
      <c r="K1902" s="25">
        <v>44872</v>
      </c>
      <c r="L1902" s="24" t="s">
        <v>364</v>
      </c>
      <c r="M1902" s="24" t="s">
        <v>364</v>
      </c>
      <c r="N1902" s="24" t="s">
        <v>364</v>
      </c>
      <c r="O1902" s="24" t="s">
        <v>364</v>
      </c>
      <c r="P1902" s="468" t="s">
        <v>6278</v>
      </c>
      <c r="Q1902" s="264"/>
      <c r="R1902" s="264"/>
      <c r="S1902" s="343"/>
      <c r="T1902" s="512" t="e">
        <f>_xlfn.XLOOKUP(H1902,#REF!,#REF!,0,0)</f>
        <v>#REF!</v>
      </c>
    </row>
    <row r="1903" spans="1:20" s="299" customFormat="1" x14ac:dyDescent="0.4">
      <c r="A1903" s="18" t="s">
        <v>6935</v>
      </c>
      <c r="B1903" s="18" t="s">
        <v>6936</v>
      </c>
      <c r="C1903" s="19" t="s">
        <v>433</v>
      </c>
      <c r="D1903" s="18" t="s">
        <v>693</v>
      </c>
      <c r="E1903" s="18" t="s">
        <v>10</v>
      </c>
      <c r="F1903" s="10" t="s">
        <v>3072</v>
      </c>
      <c r="G1903" s="18">
        <v>44754</v>
      </c>
      <c r="H1903" s="18" t="s">
        <v>297</v>
      </c>
      <c r="I1903" s="134">
        <v>71387</v>
      </c>
      <c r="J1903" s="18" t="s">
        <v>6937</v>
      </c>
      <c r="K1903" s="18">
        <v>44874</v>
      </c>
      <c r="L1903" s="18" t="s">
        <v>364</v>
      </c>
      <c r="M1903" s="18" t="s">
        <v>364</v>
      </c>
      <c r="N1903" s="18" t="s">
        <v>364</v>
      </c>
      <c r="O1903" s="18" t="s">
        <v>364</v>
      </c>
      <c r="P1903" s="466" t="s">
        <v>6278</v>
      </c>
      <c r="Q1903" s="134"/>
      <c r="R1903" s="134"/>
      <c r="S1903" s="344"/>
      <c r="T1903" s="512" t="e">
        <f>_xlfn.XLOOKUP(H1903,#REF!,#REF!,0,0)</f>
        <v>#REF!</v>
      </c>
    </row>
    <row r="1904" spans="1:20" s="507" customFormat="1" ht="18" customHeight="1" x14ac:dyDescent="0.4">
      <c r="A1904" s="24" t="s">
        <v>6938</v>
      </c>
      <c r="B1904" s="24" t="s">
        <v>6939</v>
      </c>
      <c r="C1904" s="24"/>
      <c r="D1904" s="24" t="s">
        <v>6940</v>
      </c>
      <c r="E1904" s="25" t="s">
        <v>10</v>
      </c>
      <c r="F1904" s="24" t="s">
        <v>5179</v>
      </c>
      <c r="G1904" s="25">
        <v>44671</v>
      </c>
      <c r="H1904" s="25" t="s">
        <v>6941</v>
      </c>
      <c r="I1904" s="264">
        <v>71545</v>
      </c>
      <c r="J1904" s="24" t="s">
        <v>6942</v>
      </c>
      <c r="K1904" s="25">
        <v>44872</v>
      </c>
      <c r="L1904" s="24" t="s">
        <v>364</v>
      </c>
      <c r="M1904" s="24" t="s">
        <v>364</v>
      </c>
      <c r="N1904" s="24" t="s">
        <v>364</v>
      </c>
      <c r="O1904" s="24" t="s">
        <v>364</v>
      </c>
      <c r="P1904" s="468" t="s">
        <v>6943</v>
      </c>
      <c r="Q1904" s="264"/>
      <c r="R1904" s="264"/>
      <c r="S1904" s="343"/>
      <c r="T1904" s="512" t="e">
        <f>_xlfn.XLOOKUP(H1904,#REF!,#REF!,0,0)</f>
        <v>#REF!</v>
      </c>
    </row>
    <row r="1905" spans="1:20" s="299" customFormat="1" x14ac:dyDescent="0.4">
      <c r="A1905" s="18" t="s">
        <v>6944</v>
      </c>
      <c r="B1905" s="18" t="s">
        <v>6945</v>
      </c>
      <c r="C1905" s="19" t="s">
        <v>433</v>
      </c>
      <c r="D1905" s="18" t="s">
        <v>693</v>
      </c>
      <c r="E1905" s="18" t="s">
        <v>10</v>
      </c>
      <c r="F1905" s="10" t="s">
        <v>3072</v>
      </c>
      <c r="G1905" s="18">
        <v>44754</v>
      </c>
      <c r="H1905" s="18" t="s">
        <v>6946</v>
      </c>
      <c r="I1905" s="134">
        <v>71386</v>
      </c>
      <c r="J1905" s="18" t="s">
        <v>6947</v>
      </c>
      <c r="K1905" s="18">
        <v>44875</v>
      </c>
      <c r="L1905" s="18" t="s">
        <v>364</v>
      </c>
      <c r="M1905" s="18" t="s">
        <v>364</v>
      </c>
      <c r="N1905" s="18" t="s">
        <v>364</v>
      </c>
      <c r="O1905" s="18" t="s">
        <v>364</v>
      </c>
      <c r="P1905" s="466" t="s">
        <v>6948</v>
      </c>
      <c r="Q1905" s="134"/>
      <c r="R1905" s="134"/>
      <c r="S1905" s="344"/>
      <c r="T1905" s="512" t="e">
        <f>_xlfn.XLOOKUP(H1905,#REF!,#REF!,0,0)</f>
        <v>#REF!</v>
      </c>
    </row>
    <row r="1906" spans="1:20" s="507" customFormat="1" ht="18" customHeight="1" x14ac:dyDescent="0.4">
      <c r="A1906" s="24" t="s">
        <v>6949</v>
      </c>
      <c r="B1906" s="24" t="s">
        <v>6950</v>
      </c>
      <c r="C1906" s="24"/>
      <c r="D1906" s="24" t="s">
        <v>693</v>
      </c>
      <c r="E1906" s="25" t="s">
        <v>10</v>
      </c>
      <c r="F1906" s="24" t="s">
        <v>3072</v>
      </c>
      <c r="G1906" s="25">
        <v>44754</v>
      </c>
      <c r="H1906" s="25" t="s">
        <v>6951</v>
      </c>
      <c r="I1906" s="264">
        <v>71349</v>
      </c>
      <c r="J1906" s="24" t="s">
        <v>6952</v>
      </c>
      <c r="K1906" s="25">
        <v>44872</v>
      </c>
      <c r="L1906" s="24" t="s">
        <v>364</v>
      </c>
      <c r="M1906" s="24" t="s">
        <v>364</v>
      </c>
      <c r="N1906" s="24" t="s">
        <v>364</v>
      </c>
      <c r="O1906" s="24" t="s">
        <v>364</v>
      </c>
      <c r="P1906" s="468" t="s">
        <v>6278</v>
      </c>
      <c r="Q1906" s="264"/>
      <c r="R1906" s="264"/>
      <c r="S1906" s="343"/>
      <c r="T1906" s="512" t="e">
        <f>_xlfn.XLOOKUP(H1906,#REF!,#REF!,0,0)</f>
        <v>#REF!</v>
      </c>
    </row>
    <row r="1907" spans="1:20" s="298" customFormat="1" ht="18" customHeight="1" x14ac:dyDescent="0.4">
      <c r="A1907" s="8" t="s">
        <v>6953</v>
      </c>
      <c r="B1907" s="8" t="s">
        <v>6954</v>
      </c>
      <c r="C1907" s="8"/>
      <c r="D1907" s="8" t="s">
        <v>693</v>
      </c>
      <c r="E1907" s="16" t="s">
        <v>10</v>
      </c>
      <c r="F1907" s="8" t="s">
        <v>5179</v>
      </c>
      <c r="G1907" s="16">
        <v>44671</v>
      </c>
      <c r="H1907" s="16" t="s">
        <v>6955</v>
      </c>
      <c r="I1907" s="282">
        <v>71546</v>
      </c>
      <c r="J1907" s="8" t="s">
        <v>6956</v>
      </c>
      <c r="K1907" s="16">
        <v>44875</v>
      </c>
      <c r="L1907" s="8" t="s">
        <v>364</v>
      </c>
      <c r="M1907" s="8" t="s">
        <v>364</v>
      </c>
      <c r="N1907" s="8" t="s">
        <v>364</v>
      </c>
      <c r="O1907" s="8" t="s">
        <v>364</v>
      </c>
      <c r="P1907" s="475" t="s">
        <v>6957</v>
      </c>
      <c r="Q1907" s="282"/>
      <c r="R1907" s="282"/>
      <c r="S1907" s="340"/>
      <c r="T1907" s="512" t="e">
        <f>_xlfn.XLOOKUP(H1907,#REF!,#REF!,0,0)</f>
        <v>#REF!</v>
      </c>
    </row>
    <row r="1908" spans="1:20" s="507" customFormat="1" ht="18" customHeight="1" x14ac:dyDescent="0.4">
      <c r="A1908" s="24"/>
      <c r="B1908" s="24" t="s">
        <v>6958</v>
      </c>
      <c r="C1908" s="24"/>
      <c r="D1908" s="24" t="s">
        <v>693</v>
      </c>
      <c r="E1908" s="25" t="s">
        <v>10</v>
      </c>
      <c r="F1908" s="24" t="s">
        <v>5179</v>
      </c>
      <c r="G1908" s="25"/>
      <c r="H1908" s="25" t="s">
        <v>6959</v>
      </c>
      <c r="I1908" s="264">
        <v>70644</v>
      </c>
      <c r="J1908" s="24"/>
      <c r="K1908" s="25">
        <v>44880</v>
      </c>
      <c r="L1908" s="24" t="s">
        <v>364</v>
      </c>
      <c r="M1908" s="24" t="s">
        <v>364</v>
      </c>
      <c r="N1908" s="24" t="s">
        <v>364</v>
      </c>
      <c r="O1908" s="24" t="s">
        <v>364</v>
      </c>
      <c r="P1908" s="468"/>
      <c r="Q1908" s="264"/>
      <c r="R1908" s="264"/>
      <c r="S1908" s="343"/>
      <c r="T1908" s="512" t="e">
        <f>_xlfn.XLOOKUP(H1908,#REF!,#REF!,0,0)</f>
        <v>#REF!</v>
      </c>
    </row>
    <row r="1909" spans="1:20" s="507" customFormat="1" ht="18" customHeight="1" x14ac:dyDescent="0.4">
      <c r="A1909" s="24" t="s">
        <v>6960</v>
      </c>
      <c r="B1909" s="24" t="s">
        <v>6961</v>
      </c>
      <c r="C1909" s="24"/>
      <c r="D1909" s="24" t="s">
        <v>693</v>
      </c>
      <c r="E1909" s="25" t="s">
        <v>10</v>
      </c>
      <c r="F1909" s="24" t="s">
        <v>5179</v>
      </c>
      <c r="G1909" s="25">
        <v>44671</v>
      </c>
      <c r="H1909" s="25" t="s">
        <v>6962</v>
      </c>
      <c r="I1909" s="264">
        <v>71547</v>
      </c>
      <c r="J1909" s="24" t="s">
        <v>6963</v>
      </c>
      <c r="K1909" s="25">
        <v>44879</v>
      </c>
      <c r="L1909" s="24" t="s">
        <v>364</v>
      </c>
      <c r="M1909" s="24" t="s">
        <v>364</v>
      </c>
      <c r="N1909" s="24" t="s">
        <v>364</v>
      </c>
      <c r="O1909" s="24" t="s">
        <v>364</v>
      </c>
      <c r="P1909" s="468"/>
      <c r="Q1909" s="264"/>
      <c r="R1909" s="264"/>
      <c r="S1909" s="343"/>
      <c r="T1909" s="512" t="e">
        <f>_xlfn.XLOOKUP(H1909,#REF!,#REF!,0,0)</f>
        <v>#REF!</v>
      </c>
    </row>
    <row r="1910" spans="1:20" s="507" customFormat="1" ht="18" customHeight="1" x14ac:dyDescent="0.4">
      <c r="A1910" s="24" t="s">
        <v>6964</v>
      </c>
      <c r="B1910" s="24" t="s">
        <v>6965</v>
      </c>
      <c r="C1910" s="24"/>
      <c r="D1910" s="24" t="s">
        <v>693</v>
      </c>
      <c r="E1910" s="25" t="s">
        <v>10</v>
      </c>
      <c r="F1910" s="24" t="s">
        <v>5179</v>
      </c>
      <c r="G1910" s="25">
        <v>44671</v>
      </c>
      <c r="H1910" s="25" t="s">
        <v>6966</v>
      </c>
      <c r="I1910" s="264">
        <v>71548</v>
      </c>
      <c r="J1910" s="24" t="s">
        <v>6967</v>
      </c>
      <c r="K1910" s="25">
        <v>44879</v>
      </c>
      <c r="L1910" s="24" t="s">
        <v>364</v>
      </c>
      <c r="M1910" s="24" t="s">
        <v>364</v>
      </c>
      <c r="N1910" s="24" t="s">
        <v>364</v>
      </c>
      <c r="O1910" s="24" t="s">
        <v>364</v>
      </c>
      <c r="P1910" s="468"/>
      <c r="Q1910" s="264"/>
      <c r="R1910" s="264"/>
      <c r="S1910" s="343"/>
      <c r="T1910" s="512" t="e">
        <f>_xlfn.XLOOKUP(H1910,#REF!,#REF!,0,0)</f>
        <v>#REF!</v>
      </c>
    </row>
    <row r="1911" spans="1:20" s="507" customFormat="1" ht="18" customHeight="1" x14ac:dyDescent="0.4">
      <c r="A1911" s="24" t="s">
        <v>6968</v>
      </c>
      <c r="B1911" s="24" t="s">
        <v>6969</v>
      </c>
      <c r="C1911" s="24"/>
      <c r="D1911" s="24" t="s">
        <v>693</v>
      </c>
      <c r="E1911" s="25" t="s">
        <v>10</v>
      </c>
      <c r="F1911" s="24" t="s">
        <v>5179</v>
      </c>
      <c r="G1911" s="25">
        <v>44671</v>
      </c>
      <c r="H1911" s="25" t="s">
        <v>6970</v>
      </c>
      <c r="I1911" s="264">
        <v>71550</v>
      </c>
      <c r="J1911" s="24" t="s">
        <v>6971</v>
      </c>
      <c r="K1911" s="25">
        <v>44879</v>
      </c>
      <c r="L1911" s="24" t="s">
        <v>364</v>
      </c>
      <c r="M1911" s="24" t="s">
        <v>364</v>
      </c>
      <c r="N1911" s="24" t="s">
        <v>364</v>
      </c>
      <c r="O1911" s="24" t="s">
        <v>364</v>
      </c>
      <c r="P1911" s="468"/>
      <c r="Q1911" s="264"/>
      <c r="R1911" s="264"/>
      <c r="S1911" s="343"/>
      <c r="T1911" s="512" t="e">
        <f>_xlfn.XLOOKUP(H1911,#REF!,#REF!,0,0)</f>
        <v>#REF!</v>
      </c>
    </row>
    <row r="1912" spans="1:20" s="507" customFormat="1" ht="18" customHeight="1" x14ac:dyDescent="0.4">
      <c r="A1912" s="24" t="s">
        <v>6972</v>
      </c>
      <c r="B1912" s="24" t="s">
        <v>6973</v>
      </c>
      <c r="C1912" s="24"/>
      <c r="D1912" s="24" t="s">
        <v>693</v>
      </c>
      <c r="E1912" s="25" t="s">
        <v>10</v>
      </c>
      <c r="F1912" s="24" t="s">
        <v>3072</v>
      </c>
      <c r="G1912" s="25">
        <v>44754</v>
      </c>
      <c r="H1912" s="25" t="s">
        <v>6974</v>
      </c>
      <c r="I1912" s="264">
        <v>71352</v>
      </c>
      <c r="J1912" s="24" t="s">
        <v>6975</v>
      </c>
      <c r="K1912" s="25">
        <v>44880</v>
      </c>
      <c r="L1912" s="24" t="s">
        <v>364</v>
      </c>
      <c r="M1912" s="24" t="s">
        <v>364</v>
      </c>
      <c r="N1912" s="24" t="s">
        <v>364</v>
      </c>
      <c r="O1912" s="24" t="s">
        <v>364</v>
      </c>
      <c r="P1912" s="468" t="s">
        <v>6651</v>
      </c>
      <c r="Q1912" s="264"/>
      <c r="R1912" s="264"/>
      <c r="S1912" s="343"/>
      <c r="T1912" s="512" t="e">
        <f>_xlfn.XLOOKUP(H1912,#REF!,#REF!,0,0)</f>
        <v>#REF!</v>
      </c>
    </row>
    <row r="1913" spans="1:20" s="507" customFormat="1" ht="18" customHeight="1" x14ac:dyDescent="0.4">
      <c r="A1913" s="24" t="s">
        <v>6976</v>
      </c>
      <c r="B1913" s="24" t="s">
        <v>6977</v>
      </c>
      <c r="C1913" s="24"/>
      <c r="D1913" s="24" t="s">
        <v>693</v>
      </c>
      <c r="E1913" s="25" t="s">
        <v>10</v>
      </c>
      <c r="F1913" s="24" t="s">
        <v>3072</v>
      </c>
      <c r="G1913" s="25">
        <v>44754</v>
      </c>
      <c r="H1913" s="25" t="s">
        <v>296</v>
      </c>
      <c r="I1913" s="264">
        <v>71379</v>
      </c>
      <c r="J1913" s="24" t="s">
        <v>6978</v>
      </c>
      <c r="K1913" s="25">
        <v>44879</v>
      </c>
      <c r="L1913" s="24" t="s">
        <v>364</v>
      </c>
      <c r="M1913" s="24" t="s">
        <v>364</v>
      </c>
      <c r="N1913" s="24" t="s">
        <v>364</v>
      </c>
      <c r="O1913" s="24" t="s">
        <v>364</v>
      </c>
      <c r="P1913" s="468" t="s">
        <v>6278</v>
      </c>
      <c r="Q1913" s="264"/>
      <c r="R1913" s="264"/>
      <c r="S1913" s="343"/>
      <c r="T1913" s="512" t="e">
        <f>_xlfn.XLOOKUP(H1913,#REF!,#REF!,0,0)</f>
        <v>#REF!</v>
      </c>
    </row>
    <row r="1914" spans="1:20" s="507" customFormat="1" ht="18" customHeight="1" x14ac:dyDescent="0.4">
      <c r="A1914" s="24" t="s">
        <v>6979</v>
      </c>
      <c r="B1914" s="24" t="s">
        <v>6980</v>
      </c>
      <c r="C1914" s="24"/>
      <c r="D1914" s="24" t="s">
        <v>693</v>
      </c>
      <c r="E1914" s="25" t="s">
        <v>10</v>
      </c>
      <c r="F1914" s="24" t="s">
        <v>5179</v>
      </c>
      <c r="G1914" s="25">
        <v>44671</v>
      </c>
      <c r="H1914" s="25" t="s">
        <v>6981</v>
      </c>
      <c r="I1914" s="264">
        <v>71549</v>
      </c>
      <c r="J1914" s="24" t="s">
        <v>6982</v>
      </c>
      <c r="K1914" s="25">
        <v>44879</v>
      </c>
      <c r="L1914" s="24" t="s">
        <v>364</v>
      </c>
      <c r="M1914" s="24" t="s">
        <v>364</v>
      </c>
      <c r="N1914" s="24" t="s">
        <v>364</v>
      </c>
      <c r="O1914" s="24" t="s">
        <v>364</v>
      </c>
      <c r="P1914" s="468"/>
      <c r="Q1914" s="264"/>
      <c r="R1914" s="264"/>
      <c r="S1914" s="343"/>
      <c r="T1914" s="512" t="e">
        <f>_xlfn.XLOOKUP(H1914,#REF!,#REF!,0,0)</f>
        <v>#REF!</v>
      </c>
    </row>
    <row r="1915" spans="1:20" s="506" customFormat="1" ht="18" customHeight="1" x14ac:dyDescent="0.4">
      <c r="A1915" s="21" t="s">
        <v>6983</v>
      </c>
      <c r="B1915" s="21" t="s">
        <v>6984</v>
      </c>
      <c r="C1915" s="21"/>
      <c r="D1915" s="21" t="s">
        <v>693</v>
      </c>
      <c r="E1915" s="21" t="s">
        <v>10</v>
      </c>
      <c r="F1915" s="22" t="s">
        <v>5179</v>
      </c>
      <c r="G1915" s="21">
        <v>44671</v>
      </c>
      <c r="H1915" s="21" t="s">
        <v>6985</v>
      </c>
      <c r="I1915" s="353">
        <v>71537</v>
      </c>
      <c r="J1915" s="21" t="s">
        <v>6986</v>
      </c>
      <c r="K1915" s="21">
        <v>44860</v>
      </c>
      <c r="L1915" s="21" t="s">
        <v>364</v>
      </c>
      <c r="M1915" s="21" t="s">
        <v>364</v>
      </c>
      <c r="N1915" s="21" t="s">
        <v>364</v>
      </c>
      <c r="O1915" s="21" t="s">
        <v>364</v>
      </c>
      <c r="P1915" s="465"/>
      <c r="Q1915" s="353"/>
      <c r="R1915" s="353"/>
      <c r="S1915" s="345"/>
      <c r="T1915" s="512" t="e">
        <f>_xlfn.XLOOKUP(H1915,#REF!,#REF!,0,0)</f>
        <v>#REF!</v>
      </c>
    </row>
    <row r="1916" spans="1:20" s="507" customFormat="1" ht="18" customHeight="1" x14ac:dyDescent="0.4">
      <c r="A1916" s="24" t="s">
        <v>6987</v>
      </c>
      <c r="B1916" s="24" t="s">
        <v>6988</v>
      </c>
      <c r="C1916" s="24"/>
      <c r="D1916" s="24" t="s">
        <v>6940</v>
      </c>
      <c r="E1916" s="25" t="s">
        <v>10</v>
      </c>
      <c r="F1916" s="24" t="s">
        <v>3072</v>
      </c>
      <c r="G1916" s="25"/>
      <c r="H1916" s="25" t="s">
        <v>278</v>
      </c>
      <c r="I1916" s="264">
        <v>70970</v>
      </c>
      <c r="J1916" s="24"/>
      <c r="K1916" s="25">
        <v>44879</v>
      </c>
      <c r="L1916" s="24" t="s">
        <v>364</v>
      </c>
      <c r="M1916" s="24" t="s">
        <v>364</v>
      </c>
      <c r="N1916" s="24" t="s">
        <v>364</v>
      </c>
      <c r="O1916" s="24" t="s">
        <v>364</v>
      </c>
      <c r="P1916" s="468" t="s">
        <v>6989</v>
      </c>
      <c r="Q1916" s="264"/>
      <c r="R1916" s="264"/>
      <c r="S1916" s="343"/>
      <c r="T1916" s="512" t="e">
        <f>_xlfn.XLOOKUP(H1916,#REF!,#REF!,0,0)</f>
        <v>#REF!</v>
      </c>
    </row>
    <row r="1917" spans="1:20" s="299" customFormat="1" x14ac:dyDescent="0.4">
      <c r="A1917" s="18" t="s">
        <v>6990</v>
      </c>
      <c r="B1917" s="18" t="s">
        <v>6991</v>
      </c>
      <c r="C1917" s="19" t="s">
        <v>433</v>
      </c>
      <c r="D1917" s="18" t="s">
        <v>3758</v>
      </c>
      <c r="E1917" s="18" t="s">
        <v>10</v>
      </c>
      <c r="F1917" s="10" t="s">
        <v>5179</v>
      </c>
      <c r="G1917" s="18">
        <v>44671</v>
      </c>
      <c r="H1917" s="18" t="s">
        <v>6992</v>
      </c>
      <c r="I1917" s="134">
        <v>71552</v>
      </c>
      <c r="J1917" s="18" t="s">
        <v>6993</v>
      </c>
      <c r="K1917" s="18">
        <v>44881</v>
      </c>
      <c r="L1917" s="18" t="s">
        <v>364</v>
      </c>
      <c r="M1917" s="18" t="s">
        <v>364</v>
      </c>
      <c r="N1917" s="18" t="s">
        <v>364</v>
      </c>
      <c r="O1917" s="18" t="s">
        <v>364</v>
      </c>
      <c r="P1917" s="466"/>
      <c r="Q1917" s="134"/>
      <c r="R1917" s="134"/>
      <c r="S1917" s="344"/>
      <c r="T1917" s="512" t="e">
        <f>_xlfn.XLOOKUP(H1917,#REF!,#REF!,0,0)</f>
        <v>#REF!</v>
      </c>
    </row>
    <row r="1918" spans="1:20" s="299" customFormat="1" x14ac:dyDescent="0.4">
      <c r="A1918" s="18" t="s">
        <v>6994</v>
      </c>
      <c r="B1918" s="18" t="s">
        <v>6995</v>
      </c>
      <c r="C1918" s="19" t="s">
        <v>433</v>
      </c>
      <c r="D1918" s="18" t="s">
        <v>693</v>
      </c>
      <c r="E1918" s="18" t="s">
        <v>10</v>
      </c>
      <c r="F1918" s="10" t="s">
        <v>5179</v>
      </c>
      <c r="G1918" s="18">
        <v>44671</v>
      </c>
      <c r="H1918" s="18" t="s">
        <v>6996</v>
      </c>
      <c r="I1918" s="134">
        <v>71551</v>
      </c>
      <c r="J1918" s="18" t="s">
        <v>6997</v>
      </c>
      <c r="K1918" s="18">
        <v>44881.354166666664</v>
      </c>
      <c r="L1918" s="18" t="s">
        <v>364</v>
      </c>
      <c r="M1918" s="18" t="s">
        <v>364</v>
      </c>
      <c r="N1918" s="18" t="s">
        <v>364</v>
      </c>
      <c r="O1918" s="18" t="s">
        <v>364</v>
      </c>
      <c r="P1918" s="466"/>
      <c r="Q1918" s="134"/>
      <c r="R1918" s="134"/>
      <c r="S1918" s="344"/>
      <c r="T1918" s="512" t="e">
        <f>_xlfn.XLOOKUP(H1918,#REF!,#REF!,0,0)</f>
        <v>#REF!</v>
      </c>
    </row>
    <row r="1919" spans="1:20" s="507" customFormat="1" ht="18" customHeight="1" x14ac:dyDescent="0.4">
      <c r="A1919" s="24" t="s">
        <v>6998</v>
      </c>
      <c r="B1919" s="24" t="s">
        <v>6999</v>
      </c>
      <c r="C1919" s="24"/>
      <c r="D1919" s="24" t="s">
        <v>693</v>
      </c>
      <c r="E1919" s="25" t="s">
        <v>10</v>
      </c>
      <c r="F1919" s="24" t="s">
        <v>3072</v>
      </c>
      <c r="G1919" s="25">
        <v>44754</v>
      </c>
      <c r="H1919" s="25" t="s">
        <v>7000</v>
      </c>
      <c r="I1919" s="264">
        <v>71382</v>
      </c>
      <c r="J1919" s="24" t="s">
        <v>7001</v>
      </c>
      <c r="K1919" s="25">
        <v>44879</v>
      </c>
      <c r="L1919" s="24" t="s">
        <v>364</v>
      </c>
      <c r="M1919" s="24" t="s">
        <v>364</v>
      </c>
      <c r="N1919" s="24" t="s">
        <v>364</v>
      </c>
      <c r="O1919" s="24" t="s">
        <v>364</v>
      </c>
      <c r="P1919" s="468" t="s">
        <v>7002</v>
      </c>
      <c r="Q1919" s="264"/>
      <c r="R1919" s="264"/>
      <c r="S1919" s="343"/>
      <c r="T1919" s="512" t="e">
        <f>_xlfn.XLOOKUP(H1919,#REF!,#REF!,0,0)</f>
        <v>#REF!</v>
      </c>
    </row>
    <row r="1920" spans="1:20" s="299" customFormat="1" x14ac:dyDescent="0.4">
      <c r="A1920" s="18" t="s">
        <v>7003</v>
      </c>
      <c r="B1920" s="18" t="s">
        <v>7004</v>
      </c>
      <c r="C1920" s="19" t="s">
        <v>433</v>
      </c>
      <c r="D1920" s="18" t="s">
        <v>693</v>
      </c>
      <c r="E1920" s="18" t="s">
        <v>10</v>
      </c>
      <c r="F1920" s="10" t="s">
        <v>3072</v>
      </c>
      <c r="G1920" s="18">
        <v>44754</v>
      </c>
      <c r="H1920" s="18" t="s">
        <v>7005</v>
      </c>
      <c r="I1920" s="134">
        <v>71377</v>
      </c>
      <c r="J1920" s="18" t="s">
        <v>7006</v>
      </c>
      <c r="K1920" s="18">
        <v>44883</v>
      </c>
      <c r="L1920" s="18" t="s">
        <v>364</v>
      </c>
      <c r="M1920" s="18" t="s">
        <v>364</v>
      </c>
      <c r="N1920" s="18" t="s">
        <v>364</v>
      </c>
      <c r="O1920" s="18" t="s">
        <v>364</v>
      </c>
      <c r="P1920" s="466" t="s">
        <v>6278</v>
      </c>
      <c r="Q1920" s="134"/>
      <c r="R1920" s="134"/>
      <c r="S1920" s="344"/>
      <c r="T1920" s="512" t="e">
        <f>_xlfn.XLOOKUP(H1920,#REF!,#REF!,0,0)</f>
        <v>#REF!</v>
      </c>
    </row>
    <row r="1921" spans="1:20" s="299" customFormat="1" x14ac:dyDescent="0.4">
      <c r="A1921" s="18" t="s">
        <v>7007</v>
      </c>
      <c r="B1921" s="18" t="s">
        <v>7008</v>
      </c>
      <c r="C1921" s="19" t="s">
        <v>433</v>
      </c>
      <c r="D1921" s="18" t="s">
        <v>693</v>
      </c>
      <c r="E1921" s="18" t="s">
        <v>10</v>
      </c>
      <c r="F1921" s="10" t="s">
        <v>3072</v>
      </c>
      <c r="G1921" s="18">
        <v>44754</v>
      </c>
      <c r="H1921" s="18" t="s">
        <v>294</v>
      </c>
      <c r="I1921" s="134">
        <v>71375</v>
      </c>
      <c r="J1921" s="18" t="s">
        <v>7009</v>
      </c>
      <c r="K1921" s="18">
        <v>44886</v>
      </c>
      <c r="L1921" s="18" t="s">
        <v>364</v>
      </c>
      <c r="M1921" s="18" t="s">
        <v>364</v>
      </c>
      <c r="N1921" s="18" t="s">
        <v>364</v>
      </c>
      <c r="O1921" s="18" t="s">
        <v>364</v>
      </c>
      <c r="P1921" s="466" t="s">
        <v>7010</v>
      </c>
      <c r="Q1921" s="134"/>
      <c r="R1921" s="134"/>
      <c r="S1921" s="344"/>
      <c r="T1921" s="512" t="e">
        <f>_xlfn.XLOOKUP(H1921,#REF!,#REF!,0,0)</f>
        <v>#REF!</v>
      </c>
    </row>
    <row r="1922" spans="1:20" s="299" customFormat="1" x14ac:dyDescent="0.4">
      <c r="A1922" s="18" t="s">
        <v>7011</v>
      </c>
      <c r="B1922" s="18" t="s">
        <v>7012</v>
      </c>
      <c r="C1922" s="19" t="s">
        <v>433</v>
      </c>
      <c r="D1922" s="18" t="s">
        <v>3778</v>
      </c>
      <c r="E1922" s="18" t="s">
        <v>10</v>
      </c>
      <c r="F1922" s="10" t="s">
        <v>3072</v>
      </c>
      <c r="G1922" s="18">
        <v>44754</v>
      </c>
      <c r="H1922" s="18" t="s">
        <v>7013</v>
      </c>
      <c r="I1922" s="134">
        <v>71381</v>
      </c>
      <c r="J1922" s="18" t="s">
        <v>7014</v>
      </c>
      <c r="K1922" s="18">
        <v>44886</v>
      </c>
      <c r="L1922" s="18" t="s">
        <v>364</v>
      </c>
      <c r="M1922" s="18" t="s">
        <v>364</v>
      </c>
      <c r="N1922" s="18" t="s">
        <v>364</v>
      </c>
      <c r="O1922" s="18" t="s">
        <v>364</v>
      </c>
      <c r="P1922" s="466"/>
      <c r="Q1922" s="134"/>
      <c r="R1922" s="134"/>
      <c r="S1922" s="344"/>
      <c r="T1922" s="512" t="e">
        <f>_xlfn.XLOOKUP(H1922,#REF!,#REF!,0,0)</f>
        <v>#REF!</v>
      </c>
    </row>
    <row r="1923" spans="1:20" s="507" customFormat="1" ht="18" customHeight="1" x14ac:dyDescent="0.4">
      <c r="A1923" s="24" t="s">
        <v>7015</v>
      </c>
      <c r="B1923" s="24" t="s">
        <v>7016</v>
      </c>
      <c r="C1923" s="24"/>
      <c r="D1923" s="24" t="s">
        <v>693</v>
      </c>
      <c r="E1923" s="25" t="s">
        <v>10</v>
      </c>
      <c r="F1923" s="24" t="s">
        <v>3072</v>
      </c>
      <c r="G1923" s="25">
        <v>44754</v>
      </c>
      <c r="H1923" s="25" t="s">
        <v>7017</v>
      </c>
      <c r="I1923" s="264">
        <v>71370</v>
      </c>
      <c r="J1923" s="24" t="s">
        <v>7018</v>
      </c>
      <c r="K1923" s="25"/>
      <c r="L1923" s="24" t="s">
        <v>364</v>
      </c>
      <c r="M1923" s="24" t="s">
        <v>364</v>
      </c>
      <c r="N1923" s="24" t="s">
        <v>364</v>
      </c>
      <c r="O1923" s="24" t="s">
        <v>364</v>
      </c>
      <c r="P1923" s="468" t="s">
        <v>6148</v>
      </c>
      <c r="Q1923" s="264"/>
      <c r="R1923" s="264"/>
      <c r="S1923" s="343"/>
      <c r="T1923" s="512" t="e">
        <f>_xlfn.XLOOKUP(H1923,#REF!,#REF!,0,0)</f>
        <v>#REF!</v>
      </c>
    </row>
    <row r="1924" spans="1:20" s="299" customFormat="1" x14ac:dyDescent="0.4">
      <c r="A1924" s="18" t="s">
        <v>7019</v>
      </c>
      <c r="B1924" s="18" t="s">
        <v>7020</v>
      </c>
      <c r="C1924" s="19" t="s">
        <v>433</v>
      </c>
      <c r="D1924" s="18" t="s">
        <v>693</v>
      </c>
      <c r="E1924" s="18" t="s">
        <v>10</v>
      </c>
      <c r="F1924" s="10" t="s">
        <v>3072</v>
      </c>
      <c r="G1924" s="18">
        <v>44754</v>
      </c>
      <c r="H1924" s="18" t="s">
        <v>7021</v>
      </c>
      <c r="I1924" s="134">
        <v>71380</v>
      </c>
      <c r="J1924" s="18" t="s">
        <v>7022</v>
      </c>
      <c r="K1924" s="18">
        <v>44888</v>
      </c>
      <c r="L1924" s="18" t="s">
        <v>364</v>
      </c>
      <c r="M1924" s="18" t="s">
        <v>364</v>
      </c>
      <c r="N1924" s="18" t="s">
        <v>364</v>
      </c>
      <c r="O1924" s="18" t="s">
        <v>364</v>
      </c>
      <c r="P1924" s="466" t="s">
        <v>7023</v>
      </c>
      <c r="Q1924" s="134"/>
      <c r="R1924" s="134"/>
      <c r="S1924" s="344"/>
      <c r="T1924" s="512" t="e">
        <f>_xlfn.XLOOKUP(H1924,#REF!,#REF!,0,0)</f>
        <v>#REF!</v>
      </c>
    </row>
    <row r="1925" spans="1:20" s="299" customFormat="1" x14ac:dyDescent="0.4">
      <c r="A1925" s="18" t="s">
        <v>7024</v>
      </c>
      <c r="B1925" s="18" t="s">
        <v>7025</v>
      </c>
      <c r="C1925" s="19" t="s">
        <v>433</v>
      </c>
      <c r="D1925" s="18" t="s">
        <v>693</v>
      </c>
      <c r="E1925" s="18" t="s">
        <v>10</v>
      </c>
      <c r="F1925" s="10" t="s">
        <v>5179</v>
      </c>
      <c r="G1925" s="18">
        <v>44671</v>
      </c>
      <c r="H1925" s="18" t="s">
        <v>7026</v>
      </c>
      <c r="I1925" s="134">
        <v>71554</v>
      </c>
      <c r="J1925" s="18" t="s">
        <v>7027</v>
      </c>
      <c r="K1925" s="18"/>
      <c r="L1925" s="18" t="s">
        <v>364</v>
      </c>
      <c r="M1925" s="18" t="s">
        <v>364</v>
      </c>
      <c r="N1925" s="18" t="s">
        <v>364</v>
      </c>
      <c r="O1925" s="18" t="s">
        <v>364</v>
      </c>
      <c r="P1925" s="466"/>
      <c r="Q1925" s="134"/>
      <c r="R1925" s="134"/>
      <c r="S1925" s="344"/>
      <c r="T1925" s="512" t="e">
        <f>_xlfn.XLOOKUP(H1925,#REF!,#REF!,0,0)</f>
        <v>#REF!</v>
      </c>
    </row>
    <row r="1926" spans="1:20" s="299" customFormat="1" x14ac:dyDescent="0.4">
      <c r="A1926" s="18" t="s">
        <v>7028</v>
      </c>
      <c r="B1926" s="18" t="s">
        <v>7029</v>
      </c>
      <c r="C1926" s="19" t="s">
        <v>433</v>
      </c>
      <c r="D1926" s="18" t="s">
        <v>693</v>
      </c>
      <c r="E1926" s="18" t="s">
        <v>10</v>
      </c>
      <c r="F1926" s="10" t="s">
        <v>3072</v>
      </c>
      <c r="G1926" s="18">
        <v>44754</v>
      </c>
      <c r="H1926" s="18" t="s">
        <v>7030</v>
      </c>
      <c r="I1926" s="134">
        <v>71378</v>
      </c>
      <c r="J1926" s="18" t="s">
        <v>7031</v>
      </c>
      <c r="K1926" s="18">
        <v>44886</v>
      </c>
      <c r="L1926" s="18" t="s">
        <v>364</v>
      </c>
      <c r="M1926" s="18" t="s">
        <v>364</v>
      </c>
      <c r="N1926" s="18" t="s">
        <v>364</v>
      </c>
      <c r="O1926" s="18" t="s">
        <v>364</v>
      </c>
      <c r="P1926" s="466" t="s">
        <v>7032</v>
      </c>
      <c r="Q1926" s="134"/>
      <c r="R1926" s="134"/>
      <c r="S1926" s="344"/>
      <c r="T1926" s="512" t="e">
        <f>_xlfn.XLOOKUP(H1926,#REF!,#REF!,0,0)</f>
        <v>#REF!</v>
      </c>
    </row>
    <row r="1927" spans="1:20" s="299" customFormat="1" x14ac:dyDescent="0.4">
      <c r="A1927" s="18" t="s">
        <v>7033</v>
      </c>
      <c r="B1927" s="18" t="s">
        <v>7034</v>
      </c>
      <c r="C1927" s="19" t="s">
        <v>433</v>
      </c>
      <c r="D1927" s="18" t="s">
        <v>3778</v>
      </c>
      <c r="E1927" s="18" t="s">
        <v>10</v>
      </c>
      <c r="F1927" s="10" t="s">
        <v>5179</v>
      </c>
      <c r="G1927" s="18">
        <v>44671</v>
      </c>
      <c r="H1927" s="18" t="s">
        <v>7035</v>
      </c>
      <c r="I1927" s="134">
        <v>71553</v>
      </c>
      <c r="J1927" s="18" t="s">
        <v>7036</v>
      </c>
      <c r="K1927" s="18"/>
      <c r="L1927" s="18" t="s">
        <v>364</v>
      </c>
      <c r="M1927" s="18" t="s">
        <v>364</v>
      </c>
      <c r="N1927" s="18" t="s">
        <v>364</v>
      </c>
      <c r="O1927" s="18" t="s">
        <v>364</v>
      </c>
      <c r="P1927" s="466"/>
      <c r="Q1927" s="134"/>
      <c r="R1927" s="134"/>
      <c r="S1927" s="344"/>
      <c r="T1927" s="512" t="e">
        <f>_xlfn.XLOOKUP(H1927,#REF!,#REF!,0,0)</f>
        <v>#REF!</v>
      </c>
    </row>
    <row r="1928" spans="1:20" s="299" customFormat="1" x14ac:dyDescent="0.4">
      <c r="A1928" s="18" t="s">
        <v>7037</v>
      </c>
      <c r="B1928" s="18" t="s">
        <v>7038</v>
      </c>
      <c r="C1928" s="19" t="s">
        <v>433</v>
      </c>
      <c r="D1928" s="18" t="s">
        <v>1097</v>
      </c>
      <c r="E1928" s="18" t="s">
        <v>10</v>
      </c>
      <c r="F1928" s="10" t="s">
        <v>5179</v>
      </c>
      <c r="G1928" s="18">
        <v>44671</v>
      </c>
      <c r="H1928" s="18" t="s">
        <v>7039</v>
      </c>
      <c r="I1928" s="134">
        <v>71555</v>
      </c>
      <c r="J1928" s="18" t="s">
        <v>7040</v>
      </c>
      <c r="K1928" s="18">
        <v>44895</v>
      </c>
      <c r="L1928" s="18" t="s">
        <v>364</v>
      </c>
      <c r="M1928" s="18" t="s">
        <v>364</v>
      </c>
      <c r="N1928" s="18" t="s">
        <v>364</v>
      </c>
      <c r="O1928" s="18" t="s">
        <v>364</v>
      </c>
      <c r="P1928" s="466"/>
      <c r="Q1928" s="134"/>
      <c r="R1928" s="134"/>
      <c r="S1928" s="344"/>
      <c r="T1928" s="512" t="e">
        <f>_xlfn.XLOOKUP(H1928,#REF!,#REF!,0,0)</f>
        <v>#REF!</v>
      </c>
    </row>
    <row r="1929" spans="1:20" s="507" customFormat="1" ht="18" customHeight="1" x14ac:dyDescent="0.4">
      <c r="A1929" s="24" t="s">
        <v>7041</v>
      </c>
      <c r="B1929" s="24" t="s">
        <v>7042</v>
      </c>
      <c r="C1929" s="24"/>
      <c r="D1929" s="24" t="s">
        <v>693</v>
      </c>
      <c r="E1929" s="25" t="s">
        <v>10</v>
      </c>
      <c r="F1929" s="24" t="s">
        <v>5179</v>
      </c>
      <c r="G1929" s="25">
        <v>44671</v>
      </c>
      <c r="H1929" s="25" t="s">
        <v>7043</v>
      </c>
      <c r="I1929" s="264">
        <v>71556</v>
      </c>
      <c r="J1929" s="24" t="s">
        <v>7044</v>
      </c>
      <c r="K1929" s="25">
        <v>44896</v>
      </c>
      <c r="L1929" s="24" t="s">
        <v>364</v>
      </c>
      <c r="M1929" s="24" t="s">
        <v>364</v>
      </c>
      <c r="N1929" s="24" t="s">
        <v>364</v>
      </c>
      <c r="O1929" s="24" t="s">
        <v>364</v>
      </c>
      <c r="P1929" s="468" t="s">
        <v>7045</v>
      </c>
      <c r="Q1929" s="264"/>
      <c r="R1929" s="264"/>
      <c r="S1929" s="343"/>
      <c r="T1929" s="512" t="e">
        <f>_xlfn.XLOOKUP(H1929,#REF!,#REF!,0,0)</f>
        <v>#REF!</v>
      </c>
    </row>
    <row r="1930" spans="1:20" s="507" customFormat="1" ht="18" customHeight="1" x14ac:dyDescent="0.4">
      <c r="A1930" s="24" t="s">
        <v>7046</v>
      </c>
      <c r="B1930" s="24" t="s">
        <v>7047</v>
      </c>
      <c r="C1930" s="24"/>
      <c r="D1930" s="24" t="s">
        <v>693</v>
      </c>
      <c r="E1930" s="25" t="s">
        <v>10</v>
      </c>
      <c r="F1930" s="24" t="s">
        <v>5179</v>
      </c>
      <c r="G1930" s="25">
        <v>44671</v>
      </c>
      <c r="H1930" s="25" t="s">
        <v>7048</v>
      </c>
      <c r="I1930" s="264">
        <v>71557</v>
      </c>
      <c r="J1930" s="24" t="s">
        <v>7049</v>
      </c>
      <c r="K1930" s="25">
        <v>44896</v>
      </c>
      <c r="L1930" s="24" t="s">
        <v>364</v>
      </c>
      <c r="M1930" s="24" t="s">
        <v>364</v>
      </c>
      <c r="N1930" s="24" t="s">
        <v>364</v>
      </c>
      <c r="O1930" s="24" t="s">
        <v>364</v>
      </c>
      <c r="P1930" s="468"/>
      <c r="Q1930" s="264"/>
      <c r="R1930" s="264"/>
      <c r="S1930" s="343"/>
      <c r="T1930" s="512" t="e">
        <f>_xlfn.XLOOKUP(H1930,#REF!,#REF!,0,0)</f>
        <v>#REF!</v>
      </c>
    </row>
    <row r="1931" spans="1:20" s="507" customFormat="1" ht="18" customHeight="1" x14ac:dyDescent="0.4">
      <c r="A1931" s="24" t="s">
        <v>7050</v>
      </c>
      <c r="B1931" s="24" t="s">
        <v>7051</v>
      </c>
      <c r="C1931" s="24"/>
      <c r="D1931" s="24" t="s">
        <v>693</v>
      </c>
      <c r="E1931" s="25" t="s">
        <v>10</v>
      </c>
      <c r="F1931" s="24" t="s">
        <v>5179</v>
      </c>
      <c r="G1931" s="25">
        <v>44671</v>
      </c>
      <c r="H1931" s="25" t="s">
        <v>7052</v>
      </c>
      <c r="I1931" s="264">
        <v>71558</v>
      </c>
      <c r="J1931" s="24" t="s">
        <v>7053</v>
      </c>
      <c r="K1931" s="25">
        <v>44896</v>
      </c>
      <c r="L1931" s="24" t="s">
        <v>364</v>
      </c>
      <c r="M1931" s="24" t="s">
        <v>364</v>
      </c>
      <c r="N1931" s="24" t="s">
        <v>364</v>
      </c>
      <c r="O1931" s="24" t="s">
        <v>364</v>
      </c>
      <c r="P1931" s="468"/>
      <c r="Q1931" s="264"/>
      <c r="R1931" s="264"/>
      <c r="S1931" s="343"/>
      <c r="T1931" s="512" t="e">
        <f>_xlfn.XLOOKUP(H1931,#REF!,#REF!,0,0)</f>
        <v>#REF!</v>
      </c>
    </row>
    <row r="1932" spans="1:20" s="507" customFormat="1" ht="18" customHeight="1" x14ac:dyDescent="0.4">
      <c r="A1932" s="24" t="s">
        <v>7054</v>
      </c>
      <c r="B1932" s="24" t="s">
        <v>7055</v>
      </c>
      <c r="C1932" s="24"/>
      <c r="D1932" s="24" t="s">
        <v>693</v>
      </c>
      <c r="E1932" s="25" t="s">
        <v>10</v>
      </c>
      <c r="F1932" s="24" t="s">
        <v>5179</v>
      </c>
      <c r="G1932" s="25">
        <v>44671</v>
      </c>
      <c r="H1932" s="25" t="s">
        <v>7056</v>
      </c>
      <c r="I1932" s="264">
        <v>71562</v>
      </c>
      <c r="J1932" s="24" t="s">
        <v>7057</v>
      </c>
      <c r="K1932" s="25">
        <v>44896</v>
      </c>
      <c r="L1932" s="24" t="s">
        <v>570</v>
      </c>
      <c r="M1932" s="24" t="s">
        <v>570</v>
      </c>
      <c r="N1932" s="24" t="s">
        <v>570</v>
      </c>
      <c r="O1932" s="24" t="s">
        <v>570</v>
      </c>
      <c r="P1932" s="468"/>
      <c r="Q1932" s="264"/>
      <c r="R1932" s="264"/>
      <c r="S1932" s="343"/>
      <c r="T1932" s="512" t="e">
        <f>_xlfn.XLOOKUP(H1932,#REF!,#REF!,0,0)</f>
        <v>#REF!</v>
      </c>
    </row>
    <row r="1933" spans="1:20" s="298" customFormat="1" ht="18" customHeight="1" x14ac:dyDescent="0.4">
      <c r="A1933" s="8" t="s">
        <v>7058</v>
      </c>
      <c r="B1933" s="8" t="s">
        <v>7059</v>
      </c>
      <c r="C1933" s="8"/>
      <c r="D1933" s="8" t="s">
        <v>693</v>
      </c>
      <c r="E1933" s="16" t="s">
        <v>10</v>
      </c>
      <c r="F1933" s="8" t="s">
        <v>5179</v>
      </c>
      <c r="G1933" s="16">
        <v>44671</v>
      </c>
      <c r="H1933" s="16" t="s">
        <v>7060</v>
      </c>
      <c r="I1933" s="282">
        <v>71565</v>
      </c>
      <c r="J1933" s="8" t="s">
        <v>7061</v>
      </c>
      <c r="K1933" s="16">
        <v>44900</v>
      </c>
      <c r="L1933" s="8" t="s">
        <v>570</v>
      </c>
      <c r="M1933" s="8" t="s">
        <v>570</v>
      </c>
      <c r="N1933" s="8" t="s">
        <v>570</v>
      </c>
      <c r="O1933" s="8" t="s">
        <v>570</v>
      </c>
      <c r="P1933" s="475"/>
      <c r="Q1933" s="282"/>
      <c r="R1933" s="282"/>
      <c r="S1933" s="340"/>
      <c r="T1933" s="512" t="e">
        <f>_xlfn.XLOOKUP(H1933,#REF!,#REF!,0,0)</f>
        <v>#REF!</v>
      </c>
    </row>
    <row r="1934" spans="1:20" s="507" customFormat="1" ht="18" customHeight="1" x14ac:dyDescent="0.4">
      <c r="A1934" s="24" t="s">
        <v>7062</v>
      </c>
      <c r="B1934" s="24" t="s">
        <v>7063</v>
      </c>
      <c r="C1934" s="24"/>
      <c r="D1934" s="24" t="s">
        <v>3758</v>
      </c>
      <c r="E1934" s="25" t="s">
        <v>10</v>
      </c>
      <c r="F1934" s="24" t="s">
        <v>5179</v>
      </c>
      <c r="G1934" s="25">
        <v>44671</v>
      </c>
      <c r="H1934" s="25" t="s">
        <v>7064</v>
      </c>
      <c r="I1934" s="264">
        <v>71564</v>
      </c>
      <c r="J1934" s="24" t="s">
        <v>7065</v>
      </c>
      <c r="K1934" s="25">
        <v>44900</v>
      </c>
      <c r="L1934" s="24" t="s">
        <v>570</v>
      </c>
      <c r="M1934" s="24" t="s">
        <v>570</v>
      </c>
      <c r="N1934" s="24" t="s">
        <v>570</v>
      </c>
      <c r="O1934" s="24" t="s">
        <v>570</v>
      </c>
      <c r="P1934" s="468"/>
      <c r="Q1934" s="264"/>
      <c r="R1934" s="264"/>
      <c r="S1934" s="343"/>
      <c r="T1934" s="512" t="e">
        <f>_xlfn.XLOOKUP(H1934,#REF!,#REF!,0,0)</f>
        <v>#REF!</v>
      </c>
    </row>
    <row r="1935" spans="1:20" s="295" customFormat="1" ht="18" customHeight="1" x14ac:dyDescent="0.4">
      <c r="A1935" s="5" t="s">
        <v>7066</v>
      </c>
      <c r="B1935" s="5" t="s">
        <v>7067</v>
      </c>
      <c r="C1935" s="5"/>
      <c r="D1935" s="5" t="s">
        <v>3758</v>
      </c>
      <c r="E1935" s="4" t="s">
        <v>10</v>
      </c>
      <c r="F1935" s="5" t="s">
        <v>6484</v>
      </c>
      <c r="G1935" s="4"/>
      <c r="H1935" s="4" t="s">
        <v>3029</v>
      </c>
      <c r="I1935" s="3">
        <v>69180</v>
      </c>
      <c r="J1935" s="5"/>
      <c r="K1935" s="4">
        <v>44900</v>
      </c>
      <c r="L1935" s="5" t="s">
        <v>570</v>
      </c>
      <c r="M1935" s="5" t="s">
        <v>570</v>
      </c>
      <c r="N1935" s="5" t="s">
        <v>570</v>
      </c>
      <c r="O1935" s="5" t="s">
        <v>570</v>
      </c>
      <c r="P1935" s="474" t="s">
        <v>7068</v>
      </c>
      <c r="Q1935" s="3"/>
      <c r="R1935" s="3"/>
      <c r="S1935" s="281"/>
      <c r="T1935" s="512" t="e">
        <f>_xlfn.XLOOKUP(H1935,#REF!,#REF!,0,0)</f>
        <v>#REF!</v>
      </c>
    </row>
    <row r="1936" spans="1:20" s="507" customFormat="1" ht="18" customHeight="1" x14ac:dyDescent="0.4">
      <c r="A1936" s="24" t="s">
        <v>7069</v>
      </c>
      <c r="B1936" s="24" t="s">
        <v>7070</v>
      </c>
      <c r="C1936" s="24"/>
      <c r="D1936" s="24" t="s">
        <v>3758</v>
      </c>
      <c r="E1936" s="25" t="s">
        <v>10</v>
      </c>
      <c r="F1936" s="24" t="s">
        <v>5179</v>
      </c>
      <c r="G1936" s="25">
        <v>44671</v>
      </c>
      <c r="H1936" s="25" t="s">
        <v>7071</v>
      </c>
      <c r="I1936" s="264">
        <v>71563</v>
      </c>
      <c r="J1936" s="24" t="s">
        <v>7072</v>
      </c>
      <c r="K1936" s="25">
        <v>44900</v>
      </c>
      <c r="L1936" s="24" t="s">
        <v>570</v>
      </c>
      <c r="M1936" s="24" t="s">
        <v>570</v>
      </c>
      <c r="N1936" s="24" t="s">
        <v>570</v>
      </c>
      <c r="O1936" s="24" t="s">
        <v>570</v>
      </c>
      <c r="P1936" s="468"/>
      <c r="Q1936" s="264"/>
      <c r="R1936" s="264"/>
      <c r="S1936" s="343"/>
      <c r="T1936" s="512" t="e">
        <f>_xlfn.XLOOKUP(H1936,#REF!,#REF!,0,0)</f>
        <v>#REF!</v>
      </c>
    </row>
    <row r="1937" spans="1:20" s="507" customFormat="1" ht="18" customHeight="1" x14ac:dyDescent="0.4">
      <c r="A1937" s="24" t="s">
        <v>7073</v>
      </c>
      <c r="B1937" s="24" t="s">
        <v>7074</v>
      </c>
      <c r="C1937" s="24"/>
      <c r="D1937" s="24" t="s">
        <v>693</v>
      </c>
      <c r="E1937" s="25" t="s">
        <v>10</v>
      </c>
      <c r="F1937" s="24" t="s">
        <v>5179</v>
      </c>
      <c r="G1937" s="25">
        <v>44671</v>
      </c>
      <c r="H1937" s="25" t="s">
        <v>301</v>
      </c>
      <c r="I1937" s="264">
        <v>71561</v>
      </c>
      <c r="J1937" s="24" t="s">
        <v>7075</v>
      </c>
      <c r="K1937" s="25">
        <v>44907</v>
      </c>
      <c r="L1937" s="24" t="s">
        <v>570</v>
      </c>
      <c r="M1937" s="24" t="s">
        <v>570</v>
      </c>
      <c r="N1937" s="24" t="s">
        <v>570</v>
      </c>
      <c r="O1937" s="24" t="s">
        <v>570</v>
      </c>
      <c r="P1937" s="468"/>
      <c r="Q1937" s="264"/>
      <c r="R1937" s="264"/>
      <c r="S1937" s="343"/>
      <c r="T1937" s="512" t="e">
        <f>_xlfn.XLOOKUP(H1937,#REF!,#REF!,0,0)</f>
        <v>#REF!</v>
      </c>
    </row>
    <row r="1938" spans="1:20" s="507" customFormat="1" ht="18" customHeight="1" x14ac:dyDescent="0.4">
      <c r="A1938" s="24" t="s">
        <v>7076</v>
      </c>
      <c r="B1938" s="24" t="s">
        <v>7077</v>
      </c>
      <c r="C1938" s="24"/>
      <c r="D1938" s="24" t="s">
        <v>693</v>
      </c>
      <c r="E1938" s="25" t="s">
        <v>10</v>
      </c>
      <c r="F1938" s="24" t="s">
        <v>3072</v>
      </c>
      <c r="G1938" s="25">
        <v>44754</v>
      </c>
      <c r="H1938" s="25" t="s">
        <v>7078</v>
      </c>
      <c r="I1938" s="264">
        <v>71371</v>
      </c>
      <c r="J1938" s="24" t="s">
        <v>7079</v>
      </c>
      <c r="K1938" s="25">
        <v>44907</v>
      </c>
      <c r="L1938" s="24" t="s">
        <v>364</v>
      </c>
      <c r="M1938" s="24" t="s">
        <v>364</v>
      </c>
      <c r="N1938" s="24" t="s">
        <v>364</v>
      </c>
      <c r="O1938" s="24" t="s">
        <v>364</v>
      </c>
      <c r="P1938" s="468" t="s">
        <v>7080</v>
      </c>
      <c r="Q1938" s="264"/>
      <c r="R1938" s="264"/>
      <c r="S1938" s="343"/>
      <c r="T1938" s="512" t="e">
        <f>_xlfn.XLOOKUP(H1938,#REF!,#REF!,0,0)</f>
        <v>#REF!</v>
      </c>
    </row>
    <row r="1939" spans="1:20" s="507" customFormat="1" ht="18" customHeight="1" x14ac:dyDescent="0.4">
      <c r="A1939" s="24" t="s">
        <v>7081</v>
      </c>
      <c r="B1939" s="24" t="s">
        <v>7082</v>
      </c>
      <c r="C1939" s="24"/>
      <c r="D1939" s="24" t="s">
        <v>693</v>
      </c>
      <c r="E1939" s="25" t="s">
        <v>10</v>
      </c>
      <c r="F1939" s="24" t="s">
        <v>3072</v>
      </c>
      <c r="G1939" s="25">
        <v>44754</v>
      </c>
      <c r="H1939" s="25" t="s">
        <v>7083</v>
      </c>
      <c r="I1939" s="264">
        <v>71374</v>
      </c>
      <c r="J1939" s="24" t="s">
        <v>7084</v>
      </c>
      <c r="K1939" s="25">
        <v>44935</v>
      </c>
      <c r="L1939" s="24" t="s">
        <v>364</v>
      </c>
      <c r="M1939" s="24" t="s">
        <v>364</v>
      </c>
      <c r="N1939" s="24" t="s">
        <v>364</v>
      </c>
      <c r="O1939" s="24" t="s">
        <v>364</v>
      </c>
      <c r="P1939" s="468" t="s">
        <v>7085</v>
      </c>
      <c r="Q1939" s="264"/>
      <c r="R1939" s="264"/>
      <c r="S1939" s="343"/>
      <c r="T1939" s="512" t="e">
        <f>_xlfn.XLOOKUP(H1939,#REF!,#REF!,0,0)</f>
        <v>#REF!</v>
      </c>
    </row>
    <row r="1940" spans="1:20" s="507" customFormat="1" ht="18" customHeight="1" x14ac:dyDescent="0.4">
      <c r="A1940" s="24" t="s">
        <v>7086</v>
      </c>
      <c r="B1940" s="24" t="s">
        <v>7087</v>
      </c>
      <c r="C1940" s="24"/>
      <c r="D1940" s="24" t="s">
        <v>693</v>
      </c>
      <c r="E1940" s="25" t="s">
        <v>10</v>
      </c>
      <c r="F1940" s="24" t="s">
        <v>5179</v>
      </c>
      <c r="G1940" s="25">
        <v>44820</v>
      </c>
      <c r="H1940" s="25" t="s">
        <v>7088</v>
      </c>
      <c r="I1940" s="264">
        <v>72457</v>
      </c>
      <c r="J1940" s="24" t="s">
        <v>7089</v>
      </c>
      <c r="K1940" s="25">
        <v>44935</v>
      </c>
      <c r="L1940" s="24" t="s">
        <v>364</v>
      </c>
      <c r="M1940" s="24" t="s">
        <v>364</v>
      </c>
      <c r="N1940" s="24" t="s">
        <v>364</v>
      </c>
      <c r="O1940" s="24" t="s">
        <v>364</v>
      </c>
      <c r="P1940" s="468"/>
      <c r="Q1940" s="264"/>
      <c r="R1940" s="264"/>
      <c r="S1940" s="343"/>
      <c r="T1940" s="512" t="e">
        <f>_xlfn.XLOOKUP(H1940,#REF!,#REF!,0,0)</f>
        <v>#REF!</v>
      </c>
    </row>
    <row r="1941" spans="1:20" s="299" customFormat="1" x14ac:dyDescent="0.4">
      <c r="A1941" s="18" t="s">
        <v>7090</v>
      </c>
      <c r="B1941" s="18" t="s">
        <v>7091</v>
      </c>
      <c r="C1941" s="19" t="s">
        <v>433</v>
      </c>
      <c r="D1941" s="18" t="s">
        <v>693</v>
      </c>
      <c r="E1941" s="18" t="s">
        <v>10</v>
      </c>
      <c r="F1941" s="10" t="s">
        <v>5179</v>
      </c>
      <c r="G1941" s="18">
        <v>44671</v>
      </c>
      <c r="H1941" s="18" t="s">
        <v>7092</v>
      </c>
      <c r="I1941" s="134">
        <v>71559</v>
      </c>
      <c r="J1941" s="18" t="s">
        <v>7093</v>
      </c>
      <c r="K1941" s="18" t="s">
        <v>444</v>
      </c>
      <c r="L1941" s="18" t="s">
        <v>570</v>
      </c>
      <c r="M1941" s="18" t="s">
        <v>570</v>
      </c>
      <c r="N1941" s="18" t="s">
        <v>570</v>
      </c>
      <c r="O1941" s="18" t="s">
        <v>570</v>
      </c>
      <c r="P1941" s="466"/>
      <c r="Q1941" s="134"/>
      <c r="R1941" s="134"/>
      <c r="S1941" s="344"/>
      <c r="T1941" s="512" t="e">
        <f>_xlfn.XLOOKUP(H1941,#REF!,#REF!,0,0)</f>
        <v>#REF!</v>
      </c>
    </row>
    <row r="1942" spans="1:20" s="299" customFormat="1" x14ac:dyDescent="0.4">
      <c r="A1942" s="18" t="s">
        <v>7094</v>
      </c>
      <c r="B1942" s="18" t="s">
        <v>7095</v>
      </c>
      <c r="C1942" s="19" t="s">
        <v>433</v>
      </c>
      <c r="D1942" s="18" t="s">
        <v>3778</v>
      </c>
      <c r="E1942" s="18" t="s">
        <v>10</v>
      </c>
      <c r="F1942" s="10" t="s">
        <v>3072</v>
      </c>
      <c r="G1942" s="18">
        <v>44754</v>
      </c>
      <c r="H1942" s="18" t="s">
        <v>7096</v>
      </c>
      <c r="I1942" s="134">
        <v>71373</v>
      </c>
      <c r="J1942" s="18" t="s">
        <v>7097</v>
      </c>
      <c r="K1942" s="18"/>
      <c r="L1942" s="18" t="s">
        <v>364</v>
      </c>
      <c r="M1942" s="18" t="s">
        <v>364</v>
      </c>
      <c r="N1942" s="18" t="s">
        <v>364</v>
      </c>
      <c r="O1942" s="18" t="s">
        <v>364</v>
      </c>
      <c r="P1942" s="466" t="s">
        <v>7098</v>
      </c>
      <c r="Q1942" s="134"/>
      <c r="R1942" s="134"/>
      <c r="S1942" s="344"/>
      <c r="T1942" s="512" t="e">
        <f>_xlfn.XLOOKUP(H1942,#REF!,#REF!,0,0)</f>
        <v>#REF!</v>
      </c>
    </row>
    <row r="1943" spans="1:20" s="299" customFormat="1" x14ac:dyDescent="0.4">
      <c r="A1943" s="18" t="s">
        <v>7099</v>
      </c>
      <c r="B1943" s="18" t="s">
        <v>7100</v>
      </c>
      <c r="C1943" s="19" t="s">
        <v>433</v>
      </c>
      <c r="D1943" s="18" t="s">
        <v>693</v>
      </c>
      <c r="E1943" s="18" t="s">
        <v>10</v>
      </c>
      <c r="F1943" s="10" t="s">
        <v>5179</v>
      </c>
      <c r="G1943" s="18">
        <v>44671</v>
      </c>
      <c r="H1943" s="18" t="s">
        <v>7101</v>
      </c>
      <c r="I1943" s="134">
        <v>71560</v>
      </c>
      <c r="J1943" s="18" t="s">
        <v>7102</v>
      </c>
      <c r="K1943" s="18"/>
      <c r="L1943" s="18" t="s">
        <v>570</v>
      </c>
      <c r="M1943" s="18" t="s">
        <v>570</v>
      </c>
      <c r="N1943" s="18" t="s">
        <v>570</v>
      </c>
      <c r="O1943" s="18" t="s">
        <v>570</v>
      </c>
      <c r="P1943" s="466" t="s">
        <v>364</v>
      </c>
      <c r="Q1943" s="134"/>
      <c r="R1943" s="134"/>
      <c r="S1943" s="344"/>
      <c r="T1943" s="512" t="e">
        <f>_xlfn.XLOOKUP(H1943,#REF!,#REF!,0,0)</f>
        <v>#REF!</v>
      </c>
    </row>
    <row r="1944" spans="1:20" s="507" customFormat="1" ht="18" customHeight="1" x14ac:dyDescent="0.4">
      <c r="A1944" s="24" t="s">
        <v>7103</v>
      </c>
      <c r="B1944" s="24" t="s">
        <v>7104</v>
      </c>
      <c r="C1944" s="24"/>
      <c r="D1944" s="24" t="s">
        <v>3778</v>
      </c>
      <c r="E1944" s="25" t="s">
        <v>10</v>
      </c>
      <c r="F1944" s="24" t="s">
        <v>5179</v>
      </c>
      <c r="G1944" s="25">
        <v>44820</v>
      </c>
      <c r="H1944" s="25" t="s">
        <v>7105</v>
      </c>
      <c r="I1944" s="264">
        <v>72458</v>
      </c>
      <c r="J1944" s="24" t="s">
        <v>7106</v>
      </c>
      <c r="K1944" s="25">
        <v>44910</v>
      </c>
      <c r="L1944" s="24" t="s">
        <v>364</v>
      </c>
      <c r="M1944" s="24" t="s">
        <v>364</v>
      </c>
      <c r="N1944" s="24" t="s">
        <v>364</v>
      </c>
      <c r="O1944" s="24" t="s">
        <v>364</v>
      </c>
      <c r="P1944" s="468" t="s">
        <v>364</v>
      </c>
      <c r="Q1944" s="264"/>
      <c r="R1944" s="264"/>
      <c r="S1944" s="343"/>
      <c r="T1944" s="512" t="e">
        <f>_xlfn.XLOOKUP(H1944,#REF!,#REF!,0,0)</f>
        <v>#REF!</v>
      </c>
    </row>
    <row r="1945" spans="1:20" s="507" customFormat="1" ht="18" customHeight="1" x14ac:dyDescent="0.4">
      <c r="A1945" s="25" t="s">
        <v>7107</v>
      </c>
      <c r="B1945" s="25" t="s">
        <v>7108</v>
      </c>
      <c r="C1945" s="25"/>
      <c r="D1945" s="25"/>
      <c r="E1945" s="25" t="s">
        <v>10</v>
      </c>
      <c r="F1945" s="24" t="s">
        <v>5179</v>
      </c>
      <c r="G1945" s="25">
        <v>44820</v>
      </c>
      <c r="H1945" s="25" t="s">
        <v>7109</v>
      </c>
      <c r="I1945" s="264">
        <v>72459</v>
      </c>
      <c r="J1945" s="25" t="s">
        <v>7110</v>
      </c>
      <c r="K1945" s="25">
        <v>44935</v>
      </c>
      <c r="L1945" s="25" t="s">
        <v>364</v>
      </c>
      <c r="M1945" s="25" t="s">
        <v>364</v>
      </c>
      <c r="N1945" s="25" t="s">
        <v>364</v>
      </c>
      <c r="O1945" s="25" t="s">
        <v>364</v>
      </c>
      <c r="P1945" s="476" t="s">
        <v>6493</v>
      </c>
      <c r="Q1945" s="264"/>
      <c r="R1945" s="264"/>
      <c r="S1945" s="343"/>
      <c r="T1945" s="512" t="e">
        <f>_xlfn.XLOOKUP(H1945,#REF!,#REF!,0,0)</f>
        <v>#REF!</v>
      </c>
    </row>
    <row r="1946" spans="1:20" s="507" customFormat="1" ht="18" customHeight="1" x14ac:dyDescent="0.4">
      <c r="A1946" s="24" t="s">
        <v>7111</v>
      </c>
      <c r="B1946" s="24" t="s">
        <v>7112</v>
      </c>
      <c r="C1946" s="24"/>
      <c r="D1946" s="24"/>
      <c r="E1946" s="25" t="s">
        <v>10</v>
      </c>
      <c r="F1946" s="24" t="s">
        <v>5179</v>
      </c>
      <c r="G1946" s="25">
        <v>44820</v>
      </c>
      <c r="H1946" s="25" t="s">
        <v>7113</v>
      </c>
      <c r="I1946" s="264">
        <v>72460</v>
      </c>
      <c r="J1946" s="24" t="s">
        <v>7114</v>
      </c>
      <c r="K1946" s="25">
        <v>44935</v>
      </c>
      <c r="L1946" s="24" t="s">
        <v>364</v>
      </c>
      <c r="M1946" s="24" t="s">
        <v>364</v>
      </c>
      <c r="N1946" s="24" t="s">
        <v>364</v>
      </c>
      <c r="O1946" s="24" t="s">
        <v>364</v>
      </c>
      <c r="P1946" s="468"/>
      <c r="Q1946" s="264"/>
      <c r="R1946" s="264"/>
      <c r="S1946" s="343"/>
      <c r="T1946" s="512" t="e">
        <f>_xlfn.XLOOKUP(H1946,#REF!,#REF!,0,0)</f>
        <v>#REF!</v>
      </c>
    </row>
    <row r="1947" spans="1:20" s="507" customFormat="1" ht="18" customHeight="1" x14ac:dyDescent="0.4">
      <c r="A1947" s="24" t="s">
        <v>7115</v>
      </c>
      <c r="B1947" s="24" t="s">
        <v>7116</v>
      </c>
      <c r="C1947" s="24"/>
      <c r="D1947" s="24"/>
      <c r="E1947" s="25" t="s">
        <v>10</v>
      </c>
      <c r="F1947" s="24" t="s">
        <v>5179</v>
      </c>
      <c r="G1947" s="25">
        <v>44820</v>
      </c>
      <c r="H1947" s="25" t="s">
        <v>7117</v>
      </c>
      <c r="I1947" s="264">
        <v>72461</v>
      </c>
      <c r="J1947" s="24" t="s">
        <v>7118</v>
      </c>
      <c r="K1947" s="25">
        <v>44935</v>
      </c>
      <c r="L1947" s="24" t="s">
        <v>364</v>
      </c>
      <c r="M1947" s="24" t="s">
        <v>364</v>
      </c>
      <c r="N1947" s="24" t="s">
        <v>364</v>
      </c>
      <c r="O1947" s="24" t="s">
        <v>364</v>
      </c>
      <c r="P1947" s="468"/>
      <c r="Q1947" s="264"/>
      <c r="R1947" s="264"/>
      <c r="S1947" s="343"/>
      <c r="T1947" s="512" t="e">
        <f>_xlfn.XLOOKUP(H1947,#REF!,#REF!,0,0)</f>
        <v>#REF!</v>
      </c>
    </row>
    <row r="1948" spans="1:20" s="507" customFormat="1" ht="18" customHeight="1" x14ac:dyDescent="0.4">
      <c r="A1948" s="25" t="s">
        <v>7119</v>
      </c>
      <c r="B1948" s="25" t="s">
        <v>7120</v>
      </c>
      <c r="C1948" s="25"/>
      <c r="D1948" s="25"/>
      <c r="E1948" s="25" t="s">
        <v>10</v>
      </c>
      <c r="F1948" s="24" t="s">
        <v>5179</v>
      </c>
      <c r="G1948" s="25">
        <v>44820</v>
      </c>
      <c r="H1948" s="25" t="s">
        <v>7121</v>
      </c>
      <c r="I1948" s="264">
        <v>72463</v>
      </c>
      <c r="J1948" s="25" t="s">
        <v>7122</v>
      </c>
      <c r="K1948" s="25">
        <v>44935</v>
      </c>
      <c r="L1948" s="24" t="s">
        <v>364</v>
      </c>
      <c r="M1948" s="24" t="s">
        <v>364</v>
      </c>
      <c r="N1948" s="24" t="s">
        <v>364</v>
      </c>
      <c r="O1948" s="24" t="s">
        <v>364</v>
      </c>
      <c r="P1948" s="467"/>
      <c r="Q1948" s="264"/>
      <c r="R1948" s="264"/>
      <c r="S1948" s="343"/>
      <c r="T1948" s="512" t="e">
        <f>_xlfn.XLOOKUP(H1948,#REF!,#REF!,0,0)</f>
        <v>#REF!</v>
      </c>
    </row>
    <row r="1949" spans="1:20" s="507" customFormat="1" ht="18" customHeight="1" x14ac:dyDescent="0.4">
      <c r="A1949" s="25" t="s">
        <v>7123</v>
      </c>
      <c r="B1949" s="25" t="s">
        <v>7124</v>
      </c>
      <c r="C1949" s="25"/>
      <c r="D1949" s="25"/>
      <c r="E1949" s="25" t="s">
        <v>10</v>
      </c>
      <c r="F1949" s="24" t="s">
        <v>5179</v>
      </c>
      <c r="G1949" s="25">
        <v>44820</v>
      </c>
      <c r="H1949" s="25" t="s">
        <v>7125</v>
      </c>
      <c r="I1949" s="264">
        <v>72464</v>
      </c>
      <c r="J1949" s="25" t="s">
        <v>7126</v>
      </c>
      <c r="K1949" s="25">
        <v>44935</v>
      </c>
      <c r="L1949" s="24" t="s">
        <v>364</v>
      </c>
      <c r="M1949" s="24" t="s">
        <v>364</v>
      </c>
      <c r="N1949" s="24" t="s">
        <v>364</v>
      </c>
      <c r="O1949" s="24" t="s">
        <v>364</v>
      </c>
      <c r="P1949" s="467"/>
      <c r="Q1949" s="264"/>
      <c r="R1949" s="264"/>
      <c r="S1949" s="343"/>
      <c r="T1949" s="512" t="e">
        <f>_xlfn.XLOOKUP(H1949,#REF!,#REF!,0,0)</f>
        <v>#REF!</v>
      </c>
    </row>
    <row r="1950" spans="1:20" s="507" customFormat="1" ht="18" customHeight="1" x14ac:dyDescent="0.4">
      <c r="A1950" s="24" t="s">
        <v>7127</v>
      </c>
      <c r="B1950" s="24" t="s">
        <v>7128</v>
      </c>
      <c r="C1950" s="24"/>
      <c r="D1950" s="24" t="s">
        <v>693</v>
      </c>
      <c r="E1950" s="25" t="s">
        <v>10</v>
      </c>
      <c r="F1950" s="24" t="s">
        <v>3072</v>
      </c>
      <c r="G1950" s="25">
        <v>44754</v>
      </c>
      <c r="H1950" s="25" t="s">
        <v>293</v>
      </c>
      <c r="I1950" s="264">
        <v>71372</v>
      </c>
      <c r="J1950" s="24" t="s">
        <v>7129</v>
      </c>
      <c r="K1950" s="25">
        <v>44935</v>
      </c>
      <c r="L1950" s="24" t="s">
        <v>364</v>
      </c>
      <c r="M1950" s="24" t="s">
        <v>364</v>
      </c>
      <c r="N1950" s="24" t="s">
        <v>364</v>
      </c>
      <c r="O1950" s="24" t="s">
        <v>364</v>
      </c>
      <c r="P1950" s="476" t="s">
        <v>6651</v>
      </c>
      <c r="Q1950" s="264"/>
      <c r="R1950" s="264"/>
      <c r="S1950" s="343"/>
      <c r="T1950" s="512" t="e">
        <f>_xlfn.XLOOKUP(H1950,#REF!,#REF!,0,0)</f>
        <v>#REF!</v>
      </c>
    </row>
    <row r="1951" spans="1:20" s="507" customFormat="1" ht="18" customHeight="1" x14ac:dyDescent="0.4">
      <c r="A1951" s="24" t="s">
        <v>7130</v>
      </c>
      <c r="B1951" s="24" t="s">
        <v>7131</v>
      </c>
      <c r="C1951" s="24"/>
      <c r="D1951" s="24" t="s">
        <v>693</v>
      </c>
      <c r="E1951" s="25" t="s">
        <v>10</v>
      </c>
      <c r="F1951" s="24" t="s">
        <v>3072</v>
      </c>
      <c r="G1951" s="25">
        <v>44754</v>
      </c>
      <c r="H1951" s="25" t="s">
        <v>295</v>
      </c>
      <c r="I1951" s="264">
        <v>71376</v>
      </c>
      <c r="J1951" s="24" t="s">
        <v>7132</v>
      </c>
      <c r="K1951" s="25">
        <v>44935</v>
      </c>
      <c r="L1951" s="24" t="s">
        <v>364</v>
      </c>
      <c r="M1951" s="24" t="s">
        <v>364</v>
      </c>
      <c r="N1951" s="24" t="s">
        <v>364</v>
      </c>
      <c r="O1951" s="24" t="s">
        <v>364</v>
      </c>
      <c r="P1951" s="476" t="s">
        <v>6651</v>
      </c>
      <c r="Q1951" s="264"/>
      <c r="R1951" s="264"/>
      <c r="S1951" s="343"/>
      <c r="T1951" s="512" t="e">
        <f>_xlfn.XLOOKUP(H1951,#REF!,#REF!,0,0)</f>
        <v>#REF!</v>
      </c>
    </row>
    <row r="1952" spans="1:20" s="507" customFormat="1" ht="18" customHeight="1" x14ac:dyDescent="0.4">
      <c r="A1952" s="24" t="s">
        <v>7133</v>
      </c>
      <c r="B1952" s="24" t="s">
        <v>7134</v>
      </c>
      <c r="C1952" s="24"/>
      <c r="D1952" s="24" t="s">
        <v>693</v>
      </c>
      <c r="E1952" s="25" t="s">
        <v>10</v>
      </c>
      <c r="F1952" s="24" t="s">
        <v>3072</v>
      </c>
      <c r="G1952" s="25">
        <v>44820</v>
      </c>
      <c r="H1952" s="25" t="s">
        <v>7135</v>
      </c>
      <c r="I1952" s="264">
        <v>72466</v>
      </c>
      <c r="J1952" s="24" t="s">
        <v>7136</v>
      </c>
      <c r="K1952" s="25">
        <v>44935</v>
      </c>
      <c r="L1952" s="24" t="s">
        <v>364</v>
      </c>
      <c r="M1952" s="24" t="s">
        <v>364</v>
      </c>
      <c r="N1952" s="24" t="s">
        <v>364</v>
      </c>
      <c r="O1952" s="24" t="s">
        <v>364</v>
      </c>
      <c r="P1952" s="476" t="s">
        <v>7137</v>
      </c>
      <c r="Q1952" s="264"/>
      <c r="R1952" s="264"/>
      <c r="S1952" s="343"/>
      <c r="T1952" s="512" t="e">
        <f>_xlfn.XLOOKUP(H1952,#REF!,#REF!,0,0)</f>
        <v>#REF!</v>
      </c>
    </row>
    <row r="1953" spans="1:20" s="507" customFormat="1" ht="18" customHeight="1" x14ac:dyDescent="0.4">
      <c r="A1953" s="24" t="s">
        <v>7138</v>
      </c>
      <c r="B1953" s="24" t="s">
        <v>7139</v>
      </c>
      <c r="C1953" s="24"/>
      <c r="D1953" s="24" t="s">
        <v>693</v>
      </c>
      <c r="E1953" s="25" t="s">
        <v>10</v>
      </c>
      <c r="F1953" s="24" t="s">
        <v>3072</v>
      </c>
      <c r="G1953" s="25">
        <v>44820</v>
      </c>
      <c r="H1953" s="25" t="s">
        <v>7140</v>
      </c>
      <c r="I1953" s="264">
        <v>72467</v>
      </c>
      <c r="J1953" s="24" t="s">
        <v>7141</v>
      </c>
      <c r="K1953" s="25">
        <v>44935</v>
      </c>
      <c r="L1953" s="24" t="s">
        <v>364</v>
      </c>
      <c r="M1953" s="24" t="s">
        <v>364</v>
      </c>
      <c r="N1953" s="24" t="s">
        <v>364</v>
      </c>
      <c r="O1953" s="24" t="s">
        <v>364</v>
      </c>
      <c r="P1953" s="476" t="s">
        <v>7142</v>
      </c>
      <c r="Q1953" s="264"/>
      <c r="R1953" s="264"/>
      <c r="S1953" s="343"/>
      <c r="T1953" s="512" t="e">
        <f>_xlfn.XLOOKUP(H1953,#REF!,#REF!,0,0)</f>
        <v>#REF!</v>
      </c>
    </row>
    <row r="1954" spans="1:20" s="507" customFormat="1" ht="18" customHeight="1" x14ac:dyDescent="0.4">
      <c r="A1954" s="24" t="s">
        <v>7143</v>
      </c>
      <c r="B1954" s="24" t="s">
        <v>7144</v>
      </c>
      <c r="C1954" s="24"/>
      <c r="D1954" s="24" t="s">
        <v>693</v>
      </c>
      <c r="E1954" s="25" t="s">
        <v>10</v>
      </c>
      <c r="F1954" s="24" t="s">
        <v>3072</v>
      </c>
      <c r="G1954" s="25">
        <v>44820</v>
      </c>
      <c r="H1954" s="25" t="s">
        <v>7145</v>
      </c>
      <c r="I1954" s="264">
        <v>72468</v>
      </c>
      <c r="J1954" s="24" t="s">
        <v>7146</v>
      </c>
      <c r="K1954" s="25">
        <v>44935</v>
      </c>
      <c r="L1954" s="24" t="s">
        <v>364</v>
      </c>
      <c r="M1954" s="24" t="s">
        <v>364</v>
      </c>
      <c r="N1954" s="24" t="s">
        <v>364</v>
      </c>
      <c r="O1954" s="24" t="s">
        <v>364</v>
      </c>
      <c r="P1954" s="476" t="s">
        <v>7147</v>
      </c>
      <c r="Q1954" s="264"/>
      <c r="R1954" s="264"/>
      <c r="S1954" s="343"/>
      <c r="T1954" s="512" t="e">
        <f>_xlfn.XLOOKUP(H1954,#REF!,#REF!,0,0)</f>
        <v>#REF!</v>
      </c>
    </row>
    <row r="1955" spans="1:20" s="507" customFormat="1" ht="18" customHeight="1" x14ac:dyDescent="0.4">
      <c r="A1955" s="24" t="s">
        <v>7148</v>
      </c>
      <c r="B1955" s="24" t="s">
        <v>7149</v>
      </c>
      <c r="C1955" s="24"/>
      <c r="D1955" s="24" t="s">
        <v>693</v>
      </c>
      <c r="E1955" s="25" t="s">
        <v>10</v>
      </c>
      <c r="F1955" s="24" t="s">
        <v>3072</v>
      </c>
      <c r="G1955" s="25">
        <v>44820</v>
      </c>
      <c r="H1955" s="25" t="s">
        <v>7150</v>
      </c>
      <c r="I1955" s="264">
        <v>72470</v>
      </c>
      <c r="J1955" s="24" t="s">
        <v>7151</v>
      </c>
      <c r="K1955" s="25">
        <v>44935</v>
      </c>
      <c r="L1955" s="24" t="s">
        <v>364</v>
      </c>
      <c r="M1955" s="24" t="s">
        <v>364</v>
      </c>
      <c r="N1955" s="24" t="s">
        <v>364</v>
      </c>
      <c r="O1955" s="24" t="s">
        <v>364</v>
      </c>
      <c r="P1955" s="476" t="s">
        <v>6148</v>
      </c>
      <c r="Q1955" s="264"/>
      <c r="R1955" s="264"/>
      <c r="S1955" s="343"/>
      <c r="T1955" s="512" t="e">
        <f>_xlfn.XLOOKUP(H1955,#REF!,#REF!,0,0)</f>
        <v>#REF!</v>
      </c>
    </row>
    <row r="1956" spans="1:20" s="295" customFormat="1" ht="18" customHeight="1" x14ac:dyDescent="0.4">
      <c r="A1956" s="5" t="s">
        <v>7152</v>
      </c>
      <c r="B1956" s="5" t="s">
        <v>7153</v>
      </c>
      <c r="C1956" s="5"/>
      <c r="D1956" s="5" t="s">
        <v>693</v>
      </c>
      <c r="E1956" s="4" t="s">
        <v>10</v>
      </c>
      <c r="F1956" s="5" t="s">
        <v>3072</v>
      </c>
      <c r="G1956" s="4"/>
      <c r="H1956" s="4" t="s">
        <v>5759</v>
      </c>
      <c r="I1956" s="3">
        <v>70768</v>
      </c>
      <c r="J1956" s="5"/>
      <c r="K1956" s="4">
        <v>44936</v>
      </c>
      <c r="L1956" s="5" t="s">
        <v>364</v>
      </c>
      <c r="M1956" s="5" t="s">
        <v>364</v>
      </c>
      <c r="N1956" s="5" t="s">
        <v>364</v>
      </c>
      <c r="O1956" s="5" t="s">
        <v>364</v>
      </c>
      <c r="P1956" s="476" t="s">
        <v>7154</v>
      </c>
      <c r="Q1956" s="3"/>
      <c r="R1956" s="3"/>
      <c r="S1956" s="281"/>
      <c r="T1956" s="512" t="e">
        <f>_xlfn.XLOOKUP(H1956,#REF!,#REF!,0,0)</f>
        <v>#REF!</v>
      </c>
    </row>
    <row r="1957" spans="1:20" s="299" customFormat="1" x14ac:dyDescent="0.4">
      <c r="A1957" s="10" t="s">
        <v>7155</v>
      </c>
      <c r="B1957" s="10" t="s">
        <v>7156</v>
      </c>
      <c r="C1957" s="19" t="s">
        <v>433</v>
      </c>
      <c r="D1957" s="10" t="s">
        <v>693</v>
      </c>
      <c r="E1957" s="18" t="s">
        <v>10</v>
      </c>
      <c r="F1957" s="10" t="s">
        <v>5179</v>
      </c>
      <c r="G1957" s="18">
        <v>44820</v>
      </c>
      <c r="H1957" s="18" t="s">
        <v>7157</v>
      </c>
      <c r="I1957" s="134">
        <v>72462</v>
      </c>
      <c r="J1957" s="10" t="s">
        <v>7158</v>
      </c>
      <c r="K1957" s="18">
        <v>44935</v>
      </c>
      <c r="L1957" s="10" t="s">
        <v>364</v>
      </c>
      <c r="M1957" s="10" t="s">
        <v>364</v>
      </c>
      <c r="N1957" s="10" t="s">
        <v>364</v>
      </c>
      <c r="O1957" s="10" t="s">
        <v>364</v>
      </c>
      <c r="P1957" s="477"/>
      <c r="Q1957" s="134"/>
      <c r="R1957" s="134"/>
      <c r="S1957" s="344"/>
      <c r="T1957" s="512" t="e">
        <f>_xlfn.XLOOKUP(H1957,#REF!,#REF!,0,0)</f>
        <v>#REF!</v>
      </c>
    </row>
    <row r="1958" spans="1:20" s="299" customFormat="1" x14ac:dyDescent="0.4">
      <c r="A1958" s="10" t="s">
        <v>7159</v>
      </c>
      <c r="B1958" s="10" t="s">
        <v>7160</v>
      </c>
      <c r="C1958" s="19" t="s">
        <v>433</v>
      </c>
      <c r="D1958" s="10" t="s">
        <v>693</v>
      </c>
      <c r="E1958" s="18" t="s">
        <v>10</v>
      </c>
      <c r="F1958" s="10" t="s">
        <v>3072</v>
      </c>
      <c r="G1958" s="18">
        <v>44820</v>
      </c>
      <c r="H1958" s="18" t="s">
        <v>7161</v>
      </c>
      <c r="I1958" s="134">
        <v>72477</v>
      </c>
      <c r="J1958" s="10" t="s">
        <v>7162</v>
      </c>
      <c r="K1958" s="18"/>
      <c r="L1958" s="10" t="s">
        <v>364</v>
      </c>
      <c r="M1958" s="10" t="s">
        <v>364</v>
      </c>
      <c r="N1958" s="10" t="s">
        <v>364</v>
      </c>
      <c r="O1958" s="10" t="s">
        <v>364</v>
      </c>
      <c r="P1958" s="476" t="s">
        <v>7163</v>
      </c>
      <c r="Q1958" s="134"/>
      <c r="R1958" s="134"/>
      <c r="S1958" s="344"/>
      <c r="T1958" s="512" t="e">
        <f>_xlfn.XLOOKUP(H1958,#REF!,#REF!,0,0)</f>
        <v>#REF!</v>
      </c>
    </row>
    <row r="1959" spans="1:20" s="299" customFormat="1" x14ac:dyDescent="0.4">
      <c r="A1959" s="10" t="s">
        <v>7164</v>
      </c>
      <c r="B1959" s="10" t="s">
        <v>7160</v>
      </c>
      <c r="C1959" s="19" t="s">
        <v>433</v>
      </c>
      <c r="D1959" s="10" t="s">
        <v>693</v>
      </c>
      <c r="E1959" s="18" t="s">
        <v>10</v>
      </c>
      <c r="F1959" s="10" t="s">
        <v>3072</v>
      </c>
      <c r="G1959" s="18">
        <v>44820</v>
      </c>
      <c r="H1959" s="18" t="s">
        <v>7165</v>
      </c>
      <c r="I1959" s="134">
        <v>72478</v>
      </c>
      <c r="J1959" s="10" t="s">
        <v>7166</v>
      </c>
      <c r="K1959" s="18"/>
      <c r="L1959" s="10" t="s">
        <v>364</v>
      </c>
      <c r="M1959" s="10" t="s">
        <v>364</v>
      </c>
      <c r="N1959" s="10" t="s">
        <v>364</v>
      </c>
      <c r="O1959" s="10" t="s">
        <v>364</v>
      </c>
      <c r="P1959" s="476" t="s">
        <v>7163</v>
      </c>
      <c r="Q1959" s="134"/>
      <c r="R1959" s="134"/>
      <c r="S1959" s="344"/>
      <c r="T1959" s="512" t="e">
        <f>_xlfn.XLOOKUP(H1959,#REF!,#REF!,0,0)</f>
        <v>#REF!</v>
      </c>
    </row>
    <row r="1960" spans="1:20" s="299" customFormat="1" x14ac:dyDescent="0.4">
      <c r="A1960" s="10" t="s">
        <v>7167</v>
      </c>
      <c r="B1960" s="10" t="s">
        <v>7168</v>
      </c>
      <c r="C1960" s="19" t="s">
        <v>433</v>
      </c>
      <c r="D1960" s="10" t="s">
        <v>1097</v>
      </c>
      <c r="E1960" s="18" t="s">
        <v>10</v>
      </c>
      <c r="F1960" s="10" t="s">
        <v>3072</v>
      </c>
      <c r="G1960" s="18">
        <v>44820</v>
      </c>
      <c r="H1960" s="18" t="s">
        <v>7169</v>
      </c>
      <c r="I1960" s="134">
        <v>72474</v>
      </c>
      <c r="J1960" s="10" t="s">
        <v>7170</v>
      </c>
      <c r="K1960" s="18"/>
      <c r="L1960" s="10" t="s">
        <v>364</v>
      </c>
      <c r="M1960" s="10" t="s">
        <v>364</v>
      </c>
      <c r="N1960" s="10" t="s">
        <v>364</v>
      </c>
      <c r="O1960" s="10" t="s">
        <v>364</v>
      </c>
      <c r="P1960" s="477"/>
      <c r="Q1960" s="134"/>
      <c r="R1960" s="134"/>
      <c r="S1960" s="344"/>
      <c r="T1960" s="512" t="e">
        <f>_xlfn.XLOOKUP(H1960,#REF!,#REF!,0,0)</f>
        <v>#REF!</v>
      </c>
    </row>
    <row r="1961" spans="1:20" s="299" customFormat="1" x14ac:dyDescent="0.4">
      <c r="A1961" s="10" t="s">
        <v>7171</v>
      </c>
      <c r="B1961" s="10" t="s">
        <v>7172</v>
      </c>
      <c r="C1961" s="19" t="s">
        <v>433</v>
      </c>
      <c r="D1961" s="10" t="s">
        <v>693</v>
      </c>
      <c r="E1961" s="18" t="s">
        <v>10</v>
      </c>
      <c r="F1961" s="10" t="s">
        <v>3072</v>
      </c>
      <c r="G1961" s="18">
        <v>44820</v>
      </c>
      <c r="H1961" s="18" t="s">
        <v>7173</v>
      </c>
      <c r="I1961" s="134">
        <v>72473</v>
      </c>
      <c r="J1961" s="10" t="s">
        <v>7174</v>
      </c>
      <c r="K1961" s="18">
        <v>44937</v>
      </c>
      <c r="L1961" s="10" t="s">
        <v>364</v>
      </c>
      <c r="M1961" s="10" t="s">
        <v>364</v>
      </c>
      <c r="N1961" s="10" t="s">
        <v>364</v>
      </c>
      <c r="O1961" s="10" t="s">
        <v>364</v>
      </c>
      <c r="P1961" s="476" t="s">
        <v>7175</v>
      </c>
      <c r="Q1961" s="134"/>
      <c r="R1961" s="134"/>
      <c r="S1961" s="344"/>
      <c r="T1961" s="512" t="e">
        <f>_xlfn.XLOOKUP(H1961,#REF!,#REF!,0,0)</f>
        <v>#REF!</v>
      </c>
    </row>
    <row r="1962" spans="1:20" s="299" customFormat="1" x14ac:dyDescent="0.4">
      <c r="A1962" s="10" t="s">
        <v>7176</v>
      </c>
      <c r="B1962" s="10" t="s">
        <v>7177</v>
      </c>
      <c r="C1962" s="19" t="s">
        <v>433</v>
      </c>
      <c r="D1962" s="10" t="s">
        <v>693</v>
      </c>
      <c r="E1962" s="18" t="s">
        <v>10</v>
      </c>
      <c r="F1962" s="10" t="s">
        <v>3072</v>
      </c>
      <c r="G1962" s="18">
        <v>44820</v>
      </c>
      <c r="H1962" s="18" t="s">
        <v>7178</v>
      </c>
      <c r="I1962" s="134">
        <v>72469</v>
      </c>
      <c r="J1962" s="10" t="s">
        <v>7179</v>
      </c>
      <c r="K1962" s="18">
        <v>44936</v>
      </c>
      <c r="L1962" s="10" t="s">
        <v>364</v>
      </c>
      <c r="M1962" s="10" t="s">
        <v>364</v>
      </c>
      <c r="N1962" s="10" t="s">
        <v>364</v>
      </c>
      <c r="O1962" s="10" t="s">
        <v>364</v>
      </c>
      <c r="P1962" s="477"/>
      <c r="Q1962" s="134"/>
      <c r="R1962" s="134"/>
      <c r="S1962" s="344"/>
      <c r="T1962" s="512" t="e">
        <f>_xlfn.XLOOKUP(H1962,#REF!,#REF!,0,0)</f>
        <v>#REF!</v>
      </c>
    </row>
    <row r="1963" spans="1:20" s="507" customFormat="1" ht="18" customHeight="1" x14ac:dyDescent="0.4">
      <c r="A1963" s="25" t="s">
        <v>7180</v>
      </c>
      <c r="B1963" s="25" t="s">
        <v>7181</v>
      </c>
      <c r="C1963" s="25"/>
      <c r="D1963" s="25" t="s">
        <v>693</v>
      </c>
      <c r="E1963" s="25" t="s">
        <v>10</v>
      </c>
      <c r="F1963" s="24" t="s">
        <v>5179</v>
      </c>
      <c r="G1963" s="25">
        <v>44820</v>
      </c>
      <c r="H1963" s="25" t="s">
        <v>7182</v>
      </c>
      <c r="I1963" s="264">
        <v>72465</v>
      </c>
      <c r="J1963" s="25" t="s">
        <v>7183</v>
      </c>
      <c r="K1963" s="25"/>
      <c r="L1963" s="25" t="s">
        <v>364</v>
      </c>
      <c r="M1963" s="25" t="s">
        <v>364</v>
      </c>
      <c r="N1963" s="25" t="s">
        <v>364</v>
      </c>
      <c r="O1963" s="25" t="s">
        <v>364</v>
      </c>
      <c r="P1963" s="467"/>
      <c r="Q1963" s="264"/>
      <c r="R1963" s="264"/>
      <c r="S1963" s="343"/>
      <c r="T1963" s="512" t="e">
        <f>_xlfn.XLOOKUP(H1963,#REF!,#REF!,0,0)</f>
        <v>#REF!</v>
      </c>
    </row>
    <row r="1964" spans="1:20" s="507" customFormat="1" ht="18" customHeight="1" x14ac:dyDescent="0.4">
      <c r="A1964" s="24" t="s">
        <v>7184</v>
      </c>
      <c r="B1964" s="24" t="s">
        <v>7185</v>
      </c>
      <c r="C1964" s="24"/>
      <c r="D1964" s="24" t="s">
        <v>693</v>
      </c>
      <c r="E1964" s="25" t="s">
        <v>10</v>
      </c>
      <c r="F1964" s="24" t="s">
        <v>3072</v>
      </c>
      <c r="G1964" s="25">
        <v>44820</v>
      </c>
      <c r="H1964" s="25" t="s">
        <v>7186</v>
      </c>
      <c r="I1964" s="264">
        <v>72471</v>
      </c>
      <c r="J1964" s="24" t="s">
        <v>7187</v>
      </c>
      <c r="K1964" s="25">
        <v>44942</v>
      </c>
      <c r="L1964" s="24" t="s">
        <v>364</v>
      </c>
      <c r="M1964" s="24" t="s">
        <v>364</v>
      </c>
      <c r="N1964" s="24" t="s">
        <v>364</v>
      </c>
      <c r="O1964" s="24" t="s">
        <v>364</v>
      </c>
      <c r="P1964" s="468" t="s">
        <v>7188</v>
      </c>
      <c r="Q1964" s="264"/>
      <c r="R1964" s="264"/>
      <c r="S1964" s="343"/>
      <c r="T1964" s="512" t="e">
        <f>_xlfn.XLOOKUP(H1964,#REF!,#REF!,0,0)</f>
        <v>#REF!</v>
      </c>
    </row>
    <row r="1965" spans="1:20" s="507" customFormat="1" ht="18" customHeight="1" x14ac:dyDescent="0.4">
      <c r="A1965" s="24" t="s">
        <v>7189</v>
      </c>
      <c r="B1965" s="24" t="s">
        <v>7190</v>
      </c>
      <c r="C1965" s="24"/>
      <c r="D1965" s="24" t="s">
        <v>693</v>
      </c>
      <c r="E1965" s="25" t="s">
        <v>10</v>
      </c>
      <c r="F1965" s="24" t="s">
        <v>3072</v>
      </c>
      <c r="G1965" s="25">
        <v>44820</v>
      </c>
      <c r="H1965" s="25" t="s">
        <v>7191</v>
      </c>
      <c r="I1965" s="264">
        <v>72472</v>
      </c>
      <c r="J1965" s="24" t="s">
        <v>7192</v>
      </c>
      <c r="K1965" s="25">
        <v>44942</v>
      </c>
      <c r="L1965" s="24" t="s">
        <v>364</v>
      </c>
      <c r="M1965" s="24" t="s">
        <v>364</v>
      </c>
      <c r="N1965" s="24" t="s">
        <v>364</v>
      </c>
      <c r="O1965" s="24" t="s">
        <v>364</v>
      </c>
      <c r="P1965" s="468" t="s">
        <v>7188</v>
      </c>
      <c r="Q1965" s="264"/>
      <c r="R1965" s="264"/>
      <c r="S1965" s="343"/>
      <c r="T1965" s="512" t="e">
        <f>_xlfn.XLOOKUP(H1965,#REF!,#REF!,0,0)</f>
        <v>#REF!</v>
      </c>
    </row>
    <row r="1966" spans="1:20" s="507" customFormat="1" ht="18" customHeight="1" x14ac:dyDescent="0.4">
      <c r="A1966" s="24" t="s">
        <v>7193</v>
      </c>
      <c r="B1966" s="24" t="s">
        <v>7194</v>
      </c>
      <c r="C1966" s="24"/>
      <c r="D1966" s="24" t="s">
        <v>693</v>
      </c>
      <c r="E1966" s="25" t="s">
        <v>10</v>
      </c>
      <c r="F1966" s="24" t="s">
        <v>3072</v>
      </c>
      <c r="G1966" s="25">
        <v>44820</v>
      </c>
      <c r="H1966" s="25" t="s">
        <v>7195</v>
      </c>
      <c r="I1966" s="264">
        <v>72475</v>
      </c>
      <c r="J1966" s="24" t="s">
        <v>549</v>
      </c>
      <c r="K1966" s="25">
        <v>44942</v>
      </c>
      <c r="L1966" s="24" t="s">
        <v>364</v>
      </c>
      <c r="M1966" s="24" t="s">
        <v>364</v>
      </c>
      <c r="N1966" s="24" t="s">
        <v>364</v>
      </c>
      <c r="O1966" s="24" t="s">
        <v>364</v>
      </c>
      <c r="P1966" s="468" t="s">
        <v>7147</v>
      </c>
      <c r="Q1966" s="264"/>
      <c r="R1966" s="264"/>
      <c r="S1966" s="343"/>
      <c r="T1966" s="512" t="e">
        <f>_xlfn.XLOOKUP(H1966,#REF!,#REF!,0,0)</f>
        <v>#REF!</v>
      </c>
    </row>
    <row r="1967" spans="1:20" s="507" customFormat="1" ht="18" customHeight="1" x14ac:dyDescent="0.4">
      <c r="A1967" s="24" t="s">
        <v>7196</v>
      </c>
      <c r="B1967" s="24" t="s">
        <v>7197</v>
      </c>
      <c r="C1967" s="24"/>
      <c r="D1967" s="24" t="s">
        <v>693</v>
      </c>
      <c r="E1967" s="25" t="s">
        <v>10</v>
      </c>
      <c r="F1967" s="24" t="s">
        <v>5179</v>
      </c>
      <c r="G1967" s="25">
        <v>44939</v>
      </c>
      <c r="H1967" s="25" t="s">
        <v>7198</v>
      </c>
      <c r="I1967" s="264">
        <v>72420</v>
      </c>
      <c r="J1967" s="24" t="s">
        <v>7199</v>
      </c>
      <c r="K1967" s="25">
        <v>44943</v>
      </c>
      <c r="L1967" s="24" t="s">
        <v>364</v>
      </c>
      <c r="M1967" s="24" t="s">
        <v>364</v>
      </c>
      <c r="N1967" s="24" t="s">
        <v>364</v>
      </c>
      <c r="O1967" s="24" t="s">
        <v>364</v>
      </c>
      <c r="P1967" s="468"/>
      <c r="Q1967" s="264"/>
      <c r="R1967" s="264"/>
      <c r="S1967" s="343"/>
      <c r="T1967" s="512" t="e">
        <f>_xlfn.XLOOKUP(H1967,#REF!,#REF!,0,0)</f>
        <v>#REF!</v>
      </c>
    </row>
    <row r="1968" spans="1:20" s="507" customFormat="1" ht="18" customHeight="1" x14ac:dyDescent="0.4">
      <c r="A1968" s="24" t="s">
        <v>7200</v>
      </c>
      <c r="B1968" s="24" t="s">
        <v>7201</v>
      </c>
      <c r="C1968" s="24"/>
      <c r="D1968" s="24" t="s">
        <v>693</v>
      </c>
      <c r="E1968" s="25" t="s">
        <v>10</v>
      </c>
      <c r="F1968" s="24" t="s">
        <v>5179</v>
      </c>
      <c r="G1968" s="25">
        <v>44939</v>
      </c>
      <c r="H1968" s="25" t="s">
        <v>7202</v>
      </c>
      <c r="I1968" s="264">
        <v>72421</v>
      </c>
      <c r="J1968" s="24" t="s">
        <v>7203</v>
      </c>
      <c r="K1968" s="25">
        <v>44943</v>
      </c>
      <c r="L1968" s="24" t="s">
        <v>364</v>
      </c>
      <c r="M1968" s="24" t="s">
        <v>364</v>
      </c>
      <c r="N1968" s="24" t="s">
        <v>364</v>
      </c>
      <c r="O1968" s="24" t="s">
        <v>364</v>
      </c>
      <c r="P1968" s="468"/>
      <c r="Q1968" s="264"/>
      <c r="R1968" s="264"/>
      <c r="S1968" s="343"/>
      <c r="T1968" s="512" t="e">
        <f>_xlfn.XLOOKUP(H1968,#REF!,#REF!,0,0)</f>
        <v>#REF!</v>
      </c>
    </row>
    <row r="1969" spans="1:20" s="299" customFormat="1" x14ac:dyDescent="0.4">
      <c r="A1969" s="10" t="s">
        <v>7204</v>
      </c>
      <c r="B1969" s="10" t="s">
        <v>7112</v>
      </c>
      <c r="C1969" s="19" t="s">
        <v>433</v>
      </c>
      <c r="D1969" s="10" t="s">
        <v>693</v>
      </c>
      <c r="E1969" s="18" t="s">
        <v>10</v>
      </c>
      <c r="F1969" s="10" t="s">
        <v>3072</v>
      </c>
      <c r="G1969" s="18">
        <v>44820</v>
      </c>
      <c r="H1969" s="18" t="s">
        <v>7205</v>
      </c>
      <c r="I1969" s="134">
        <v>72480</v>
      </c>
      <c r="J1969" s="10" t="s">
        <v>7206</v>
      </c>
      <c r="K1969" s="18">
        <v>44945</v>
      </c>
      <c r="L1969" s="10" t="s">
        <v>364</v>
      </c>
      <c r="M1969" s="10" t="s">
        <v>364</v>
      </c>
      <c r="N1969" s="10" t="s">
        <v>364</v>
      </c>
      <c r="O1969" s="10" t="s">
        <v>364</v>
      </c>
      <c r="P1969" s="477" t="s">
        <v>7207</v>
      </c>
      <c r="Q1969" s="134"/>
      <c r="R1969" s="134"/>
      <c r="S1969" s="344"/>
      <c r="T1969" s="512" t="e">
        <f>_xlfn.XLOOKUP(H1969,#REF!,#REF!,0,0)</f>
        <v>#REF!</v>
      </c>
    </row>
    <row r="1970" spans="1:20" s="299" customFormat="1" x14ac:dyDescent="0.4">
      <c r="A1970" s="10" t="s">
        <v>7208</v>
      </c>
      <c r="B1970" s="10" t="s">
        <v>7209</v>
      </c>
      <c r="C1970" s="19" t="s">
        <v>433</v>
      </c>
      <c r="D1970" s="10" t="s">
        <v>693</v>
      </c>
      <c r="E1970" s="18" t="s">
        <v>10</v>
      </c>
      <c r="F1970" s="10" t="s">
        <v>3072</v>
      </c>
      <c r="G1970" s="18">
        <v>44820</v>
      </c>
      <c r="H1970" s="18" t="s">
        <v>7210</v>
      </c>
      <c r="I1970" s="134">
        <v>72476</v>
      </c>
      <c r="J1970" s="10" t="s">
        <v>7211</v>
      </c>
      <c r="K1970" s="18"/>
      <c r="L1970" s="10" t="s">
        <v>364</v>
      </c>
      <c r="M1970" s="10" t="s">
        <v>364</v>
      </c>
      <c r="N1970" s="10" t="s">
        <v>364</v>
      </c>
      <c r="O1970" s="10" t="s">
        <v>364</v>
      </c>
      <c r="P1970" s="477" t="s">
        <v>7212</v>
      </c>
      <c r="Q1970" s="134"/>
      <c r="R1970" s="134"/>
      <c r="S1970" s="344"/>
      <c r="T1970" s="512" t="e">
        <f>_xlfn.XLOOKUP(H1970,#REF!,#REF!,0,0)</f>
        <v>#REF!</v>
      </c>
    </row>
    <row r="1971" spans="1:20" s="299" customFormat="1" x14ac:dyDescent="0.4">
      <c r="A1971" s="10" t="s">
        <v>7213</v>
      </c>
      <c r="B1971" s="10" t="s">
        <v>7214</v>
      </c>
      <c r="C1971" s="19" t="s">
        <v>433</v>
      </c>
      <c r="D1971" s="10" t="s">
        <v>693</v>
      </c>
      <c r="E1971" s="18" t="s">
        <v>10</v>
      </c>
      <c r="F1971" s="10" t="s">
        <v>5179</v>
      </c>
      <c r="G1971" s="18">
        <v>44820</v>
      </c>
      <c r="H1971" s="18" t="s">
        <v>7113</v>
      </c>
      <c r="I1971" s="134">
        <v>72460</v>
      </c>
      <c r="J1971" s="10" t="s">
        <v>7114</v>
      </c>
      <c r="K1971" s="18" t="s">
        <v>7215</v>
      </c>
      <c r="L1971" s="10" t="s">
        <v>364</v>
      </c>
      <c r="M1971" s="10" t="s">
        <v>364</v>
      </c>
      <c r="N1971" s="10" t="s">
        <v>364</v>
      </c>
      <c r="O1971" s="10" t="s">
        <v>364</v>
      </c>
      <c r="P1971" s="477"/>
      <c r="Q1971" s="134"/>
      <c r="R1971" s="134"/>
      <c r="S1971" s="344"/>
      <c r="T1971" s="512" t="e">
        <f>_xlfn.XLOOKUP(H1971,#REF!,#REF!,0,0)</f>
        <v>#REF!</v>
      </c>
    </row>
    <row r="1972" spans="1:20" s="299" customFormat="1" x14ac:dyDescent="0.4">
      <c r="A1972" s="10" t="s">
        <v>7216</v>
      </c>
      <c r="B1972" s="10" t="s">
        <v>7217</v>
      </c>
      <c r="C1972" s="19" t="s">
        <v>433</v>
      </c>
      <c r="D1972" s="10" t="s">
        <v>693</v>
      </c>
      <c r="E1972" s="18" t="s">
        <v>3785</v>
      </c>
      <c r="F1972" s="10" t="s">
        <v>7218</v>
      </c>
      <c r="G1972" s="18"/>
      <c r="H1972" s="18" t="s">
        <v>161</v>
      </c>
      <c r="I1972" s="134">
        <v>69079</v>
      </c>
      <c r="J1972" s="10"/>
      <c r="K1972" s="18"/>
      <c r="L1972" s="10" t="s">
        <v>364</v>
      </c>
      <c r="M1972" s="10" t="s">
        <v>364</v>
      </c>
      <c r="N1972" s="10" t="s">
        <v>364</v>
      </c>
      <c r="O1972" s="10" t="s">
        <v>364</v>
      </c>
      <c r="P1972" s="477"/>
      <c r="Q1972" s="134"/>
      <c r="R1972" s="134"/>
      <c r="S1972" s="344"/>
      <c r="T1972" s="512" t="e">
        <f>_xlfn.XLOOKUP(H1972,#REF!,#REF!,0,0)</f>
        <v>#REF!</v>
      </c>
    </row>
    <row r="1973" spans="1:20" s="299" customFormat="1" x14ac:dyDescent="0.4">
      <c r="A1973" s="10" t="s">
        <v>7219</v>
      </c>
      <c r="B1973" s="10" t="s">
        <v>7220</v>
      </c>
      <c r="C1973" s="19" t="s">
        <v>433</v>
      </c>
      <c r="D1973" s="10" t="s">
        <v>693</v>
      </c>
      <c r="E1973" s="18" t="s">
        <v>3785</v>
      </c>
      <c r="F1973" s="10" t="s">
        <v>5909</v>
      </c>
      <c r="G1973" s="18"/>
      <c r="H1973" s="18" t="s">
        <v>990</v>
      </c>
      <c r="I1973" s="134">
        <v>69643</v>
      </c>
      <c r="J1973" s="10"/>
      <c r="K1973" s="18"/>
      <c r="L1973" s="10" t="s">
        <v>364</v>
      </c>
      <c r="M1973" s="10" t="s">
        <v>364</v>
      </c>
      <c r="N1973" s="10" t="s">
        <v>364</v>
      </c>
      <c r="O1973" s="10" t="s">
        <v>364</v>
      </c>
      <c r="P1973" s="477"/>
      <c r="Q1973" s="134"/>
      <c r="R1973" s="134"/>
      <c r="S1973" s="344"/>
      <c r="T1973" s="512" t="e">
        <f>_xlfn.XLOOKUP(H1973,#REF!,#REF!,0,0)</f>
        <v>#REF!</v>
      </c>
    </row>
    <row r="1974" spans="1:20" s="299" customFormat="1" x14ac:dyDescent="0.4">
      <c r="A1974" s="10" t="s">
        <v>7221</v>
      </c>
      <c r="B1974" s="10" t="s">
        <v>7220</v>
      </c>
      <c r="C1974" s="19" t="s">
        <v>433</v>
      </c>
      <c r="D1974" s="10" t="s">
        <v>693</v>
      </c>
      <c r="E1974" s="18" t="s">
        <v>3785</v>
      </c>
      <c r="F1974" s="10" t="s">
        <v>5909</v>
      </c>
      <c r="G1974" s="18"/>
      <c r="H1974" s="18" t="s">
        <v>7222</v>
      </c>
      <c r="I1974" s="134">
        <v>69861</v>
      </c>
      <c r="J1974" s="10"/>
      <c r="K1974" s="18"/>
      <c r="L1974" s="10" t="s">
        <v>364</v>
      </c>
      <c r="M1974" s="10" t="s">
        <v>364</v>
      </c>
      <c r="N1974" s="10" t="s">
        <v>364</v>
      </c>
      <c r="O1974" s="10" t="s">
        <v>364</v>
      </c>
      <c r="P1974" s="477"/>
      <c r="Q1974" s="134"/>
      <c r="R1974" s="134"/>
      <c r="S1974" s="344"/>
      <c r="T1974" s="512" t="e">
        <f>_xlfn.XLOOKUP(H1974,#REF!,#REF!,0,0)</f>
        <v>#REF!</v>
      </c>
    </row>
    <row r="1975" spans="1:20" s="507" customFormat="1" ht="18" customHeight="1" x14ac:dyDescent="0.4">
      <c r="A1975" s="24" t="s">
        <v>7223</v>
      </c>
      <c r="B1975" s="24" t="s">
        <v>7224</v>
      </c>
      <c r="C1975" s="24"/>
      <c r="D1975" s="24" t="s">
        <v>693</v>
      </c>
      <c r="E1975" s="25" t="s">
        <v>10</v>
      </c>
      <c r="F1975" s="24" t="s">
        <v>5179</v>
      </c>
      <c r="G1975" s="25">
        <v>44939</v>
      </c>
      <c r="H1975" s="25" t="s">
        <v>7225</v>
      </c>
      <c r="I1975" s="264">
        <v>72423</v>
      </c>
      <c r="J1975" s="24" t="s">
        <v>7226</v>
      </c>
      <c r="K1975" s="25">
        <v>44949</v>
      </c>
      <c r="L1975" s="24" t="s">
        <v>364</v>
      </c>
      <c r="M1975" s="24" t="s">
        <v>364</v>
      </c>
      <c r="N1975" s="24" t="s">
        <v>364</v>
      </c>
      <c r="O1975" s="24" t="s">
        <v>364</v>
      </c>
      <c r="P1975" s="468" t="s">
        <v>7227</v>
      </c>
      <c r="Q1975" s="264"/>
      <c r="R1975" s="264"/>
      <c r="S1975" s="343"/>
      <c r="T1975" s="512" t="e">
        <f>_xlfn.XLOOKUP(H1975,#REF!,#REF!,0,0)</f>
        <v>#REF!</v>
      </c>
    </row>
    <row r="1976" spans="1:20" s="299" customFormat="1" x14ac:dyDescent="0.4">
      <c r="A1976" s="10" t="s">
        <v>7228</v>
      </c>
      <c r="B1976" s="10" t="s">
        <v>7229</v>
      </c>
      <c r="C1976" s="19" t="s">
        <v>433</v>
      </c>
      <c r="D1976" s="10" t="s">
        <v>693</v>
      </c>
      <c r="E1976" s="18" t="s">
        <v>10</v>
      </c>
      <c r="F1976" s="10" t="s">
        <v>3072</v>
      </c>
      <c r="G1976" s="18">
        <v>44820</v>
      </c>
      <c r="H1976" s="18" t="s">
        <v>7230</v>
      </c>
      <c r="I1976" s="134">
        <v>72481</v>
      </c>
      <c r="J1976" s="10" t="s">
        <v>7231</v>
      </c>
      <c r="K1976" s="18">
        <v>44950</v>
      </c>
      <c r="L1976" s="10" t="s">
        <v>364</v>
      </c>
      <c r="M1976" s="10" t="s">
        <v>364</v>
      </c>
      <c r="N1976" s="10" t="s">
        <v>364</v>
      </c>
      <c r="O1976" s="10" t="s">
        <v>364</v>
      </c>
      <c r="P1976" s="477" t="s">
        <v>6148</v>
      </c>
      <c r="Q1976" s="134"/>
      <c r="R1976" s="134"/>
      <c r="S1976" s="344"/>
      <c r="T1976" s="512" t="e">
        <f>_xlfn.XLOOKUP(H1976,#REF!,#REF!,0,0)</f>
        <v>#REF!</v>
      </c>
    </row>
    <row r="1977" spans="1:20" s="299" customFormat="1" x14ac:dyDescent="0.4">
      <c r="A1977" s="10" t="s">
        <v>7232</v>
      </c>
      <c r="B1977" s="10" t="s">
        <v>7233</v>
      </c>
      <c r="C1977" s="19" t="s">
        <v>433</v>
      </c>
      <c r="D1977" s="10" t="s">
        <v>1097</v>
      </c>
      <c r="E1977" s="18" t="s">
        <v>10</v>
      </c>
      <c r="F1977" s="10" t="s">
        <v>5179</v>
      </c>
      <c r="G1977" s="18" t="s">
        <v>7234</v>
      </c>
      <c r="H1977" s="18" t="s">
        <v>6985</v>
      </c>
      <c r="I1977" s="134">
        <v>71537</v>
      </c>
      <c r="J1977" s="10"/>
      <c r="K1977" s="18">
        <v>44951</v>
      </c>
      <c r="L1977" s="10" t="s">
        <v>364</v>
      </c>
      <c r="M1977" s="10" t="s">
        <v>364</v>
      </c>
      <c r="N1977" s="10" t="s">
        <v>364</v>
      </c>
      <c r="O1977" s="10" t="s">
        <v>364</v>
      </c>
      <c r="P1977" s="477" t="s">
        <v>7235</v>
      </c>
      <c r="Q1977" s="134"/>
      <c r="R1977" s="134"/>
      <c r="S1977" s="344"/>
      <c r="T1977" s="512" t="e">
        <f>_xlfn.XLOOKUP(H1977,#REF!,#REF!,0,0)</f>
        <v>#REF!</v>
      </c>
    </row>
    <row r="1978" spans="1:20" s="507" customFormat="1" ht="18" customHeight="1" x14ac:dyDescent="0.4">
      <c r="A1978" s="24" t="s">
        <v>7236</v>
      </c>
      <c r="B1978" s="24" t="s">
        <v>7237</v>
      </c>
      <c r="C1978" s="24"/>
      <c r="D1978" s="24" t="s">
        <v>693</v>
      </c>
      <c r="E1978" s="25" t="s">
        <v>10</v>
      </c>
      <c r="F1978" s="24" t="s">
        <v>5179</v>
      </c>
      <c r="G1978" s="25">
        <v>44939</v>
      </c>
      <c r="H1978" s="25" t="s">
        <v>7238</v>
      </c>
      <c r="I1978" s="264">
        <v>72422</v>
      </c>
      <c r="J1978" s="24" t="s">
        <v>7239</v>
      </c>
      <c r="K1978" s="25">
        <v>44949</v>
      </c>
      <c r="L1978" s="24" t="s">
        <v>364</v>
      </c>
      <c r="M1978" s="24" t="s">
        <v>364</v>
      </c>
      <c r="N1978" s="24" t="s">
        <v>364</v>
      </c>
      <c r="O1978" s="24" t="s">
        <v>364</v>
      </c>
      <c r="P1978" s="468"/>
      <c r="Q1978" s="264"/>
      <c r="R1978" s="264"/>
      <c r="S1978" s="343"/>
      <c r="T1978" s="512" t="e">
        <f>_xlfn.XLOOKUP(H1978,#REF!,#REF!,0,0)</f>
        <v>#REF!</v>
      </c>
    </row>
    <row r="1979" spans="1:20" s="299" customFormat="1" x14ac:dyDescent="0.4">
      <c r="A1979" s="10" t="s">
        <v>7240</v>
      </c>
      <c r="B1979" s="10" t="s">
        <v>7241</v>
      </c>
      <c r="C1979" s="19" t="s">
        <v>433</v>
      </c>
      <c r="D1979" s="10" t="s">
        <v>693</v>
      </c>
      <c r="E1979" s="18" t="s">
        <v>3785</v>
      </c>
      <c r="F1979" s="10" t="s">
        <v>5909</v>
      </c>
      <c r="G1979" s="18"/>
      <c r="H1979" s="18" t="s">
        <v>141</v>
      </c>
      <c r="I1979" s="134">
        <v>68422</v>
      </c>
      <c r="J1979" s="10" t="s">
        <v>7242</v>
      </c>
      <c r="K1979" s="18"/>
      <c r="L1979" s="10" t="s">
        <v>364</v>
      </c>
      <c r="M1979" s="10" t="s">
        <v>364</v>
      </c>
      <c r="N1979" s="10" t="s">
        <v>364</v>
      </c>
      <c r="O1979" s="10" t="s">
        <v>364</v>
      </c>
      <c r="P1979" s="477" t="s">
        <v>7243</v>
      </c>
      <c r="Q1979" s="134"/>
      <c r="R1979" s="134"/>
      <c r="S1979" s="344"/>
      <c r="T1979" s="512" t="e">
        <f>_xlfn.XLOOKUP(H1979,#REF!,#REF!,0,0)</f>
        <v>#REF!</v>
      </c>
    </row>
    <row r="1980" spans="1:20" s="507" customFormat="1" ht="18" customHeight="1" x14ac:dyDescent="0.4">
      <c r="A1980" s="24" t="s">
        <v>7244</v>
      </c>
      <c r="B1980" s="24" t="s">
        <v>7245</v>
      </c>
      <c r="C1980" s="24"/>
      <c r="D1980" s="24" t="s">
        <v>3778</v>
      </c>
      <c r="E1980" s="25" t="s">
        <v>10</v>
      </c>
      <c r="F1980" s="24" t="s">
        <v>3072</v>
      </c>
      <c r="G1980" s="25">
        <v>44323</v>
      </c>
      <c r="H1980" s="25" t="s">
        <v>6099</v>
      </c>
      <c r="I1980" s="264">
        <v>70977</v>
      </c>
      <c r="J1980" s="24"/>
      <c r="K1980" s="25">
        <v>44957</v>
      </c>
      <c r="L1980" s="24" t="s">
        <v>364</v>
      </c>
      <c r="M1980" s="24" t="s">
        <v>364</v>
      </c>
      <c r="N1980" s="24" t="s">
        <v>364</v>
      </c>
      <c r="O1980" s="24" t="s">
        <v>364</v>
      </c>
      <c r="P1980" s="468" t="s">
        <v>7246</v>
      </c>
      <c r="Q1980" s="264"/>
      <c r="R1980" s="264"/>
      <c r="S1980" s="343"/>
      <c r="T1980" s="512" t="e">
        <f>_xlfn.XLOOKUP(H1980,#REF!,#REF!,0,0)</f>
        <v>#REF!</v>
      </c>
    </row>
    <row r="1981" spans="1:20" s="507" customFormat="1" ht="18" customHeight="1" x14ac:dyDescent="0.4">
      <c r="A1981" s="24" t="s">
        <v>7247</v>
      </c>
      <c r="B1981" s="24" t="s">
        <v>7248</v>
      </c>
      <c r="C1981" s="24"/>
      <c r="D1981" s="24" t="s">
        <v>693</v>
      </c>
      <c r="E1981" s="25" t="s">
        <v>10</v>
      </c>
      <c r="F1981" s="24" t="s">
        <v>3072</v>
      </c>
      <c r="G1981" s="25">
        <v>44820</v>
      </c>
      <c r="H1981" s="25" t="s">
        <v>7249</v>
      </c>
      <c r="I1981" s="264">
        <v>72482</v>
      </c>
      <c r="J1981" s="24" t="s">
        <v>7250</v>
      </c>
      <c r="K1981" s="25">
        <v>44958</v>
      </c>
      <c r="L1981" s="24" t="s">
        <v>364</v>
      </c>
      <c r="M1981" s="24" t="s">
        <v>364</v>
      </c>
      <c r="N1981" s="24" t="s">
        <v>364</v>
      </c>
      <c r="O1981" s="24" t="s">
        <v>364</v>
      </c>
      <c r="P1981" s="468" t="s">
        <v>6278</v>
      </c>
      <c r="Q1981" s="264"/>
      <c r="R1981" s="264"/>
      <c r="S1981" s="343"/>
      <c r="T1981" s="512" t="e">
        <f>_xlfn.XLOOKUP(H1981,#REF!,#REF!,0,0)</f>
        <v>#REF!</v>
      </c>
    </row>
    <row r="1982" spans="1:20" s="299" customFormat="1" x14ac:dyDescent="0.4">
      <c r="A1982" s="18" t="s">
        <v>7251</v>
      </c>
      <c r="B1982" s="18" t="s">
        <v>7252</v>
      </c>
      <c r="C1982" s="19" t="s">
        <v>433</v>
      </c>
      <c r="D1982" s="18" t="s">
        <v>7253</v>
      </c>
      <c r="E1982" s="18" t="s">
        <v>10</v>
      </c>
      <c r="F1982" s="10">
        <v>840</v>
      </c>
      <c r="G1982" s="18"/>
      <c r="H1982" s="18" t="s">
        <v>5921</v>
      </c>
      <c r="I1982" s="134">
        <v>70696</v>
      </c>
      <c r="J1982" s="18"/>
      <c r="K1982" s="18"/>
      <c r="L1982" s="18" t="s">
        <v>364</v>
      </c>
      <c r="M1982" s="18" t="s">
        <v>364</v>
      </c>
      <c r="N1982" s="18" t="s">
        <v>364</v>
      </c>
      <c r="O1982" s="18" t="s">
        <v>364</v>
      </c>
      <c r="P1982" s="466" t="s">
        <v>7254</v>
      </c>
      <c r="Q1982" s="134"/>
      <c r="R1982" s="134"/>
      <c r="S1982" s="344"/>
      <c r="T1982" s="512" t="e">
        <f>_xlfn.XLOOKUP(H1982,#REF!,#REF!,0,0)</f>
        <v>#REF!</v>
      </c>
    </row>
    <row r="1983" spans="1:20" s="299" customFormat="1" x14ac:dyDescent="0.4">
      <c r="A1983" s="18" t="s">
        <v>7255</v>
      </c>
      <c r="B1983" s="18" t="s">
        <v>7256</v>
      </c>
      <c r="C1983" s="19" t="s">
        <v>433</v>
      </c>
      <c r="D1983" s="18" t="s">
        <v>693</v>
      </c>
      <c r="E1983" s="18" t="s">
        <v>10</v>
      </c>
      <c r="F1983" s="10" t="s">
        <v>6484</v>
      </c>
      <c r="G1983" s="18"/>
      <c r="H1983" s="18" t="s">
        <v>6402</v>
      </c>
      <c r="I1983" s="134">
        <v>72253</v>
      </c>
      <c r="J1983" s="18"/>
      <c r="K1983" s="18">
        <v>44958</v>
      </c>
      <c r="L1983" s="18" t="s">
        <v>364</v>
      </c>
      <c r="M1983" s="18" t="s">
        <v>364</v>
      </c>
      <c r="N1983" s="18" t="s">
        <v>364</v>
      </c>
      <c r="O1983" s="18" t="s">
        <v>364</v>
      </c>
      <c r="P1983" s="466" t="s">
        <v>7257</v>
      </c>
      <c r="Q1983" s="134"/>
      <c r="R1983" s="134"/>
      <c r="S1983" s="344"/>
      <c r="T1983" s="512" t="e">
        <f>_xlfn.XLOOKUP(H1983,#REF!,#REF!,0,0)</f>
        <v>#REF!</v>
      </c>
    </row>
    <row r="1984" spans="1:20" s="299" customFormat="1" x14ac:dyDescent="0.4">
      <c r="A1984" s="18" t="s">
        <v>7258</v>
      </c>
      <c r="B1984" s="18" t="s">
        <v>7259</v>
      </c>
      <c r="C1984" s="19" t="s">
        <v>433</v>
      </c>
      <c r="D1984" s="18" t="s">
        <v>693</v>
      </c>
      <c r="E1984" s="18" t="s">
        <v>10</v>
      </c>
      <c r="F1984" s="10">
        <v>840</v>
      </c>
      <c r="G1984" s="18"/>
      <c r="H1984" s="18" t="s">
        <v>1168</v>
      </c>
      <c r="I1984" s="134">
        <v>70640</v>
      </c>
      <c r="J1984" s="18"/>
      <c r="K1984" s="18">
        <v>44958</v>
      </c>
      <c r="L1984" s="18" t="s">
        <v>364</v>
      </c>
      <c r="M1984" s="18" t="s">
        <v>364</v>
      </c>
      <c r="N1984" s="18" t="s">
        <v>364</v>
      </c>
      <c r="O1984" s="18" t="s">
        <v>364</v>
      </c>
      <c r="P1984" s="466"/>
      <c r="Q1984" s="134"/>
      <c r="R1984" s="134"/>
      <c r="S1984" s="344"/>
      <c r="T1984" s="512" t="e">
        <f>_xlfn.XLOOKUP(H1984,#REF!,#REF!,0,0)</f>
        <v>#REF!</v>
      </c>
    </row>
    <row r="1985" spans="1:20" s="299" customFormat="1" x14ac:dyDescent="0.4">
      <c r="A1985" s="18" t="s">
        <v>7260</v>
      </c>
      <c r="B1985" s="18" t="s">
        <v>7261</v>
      </c>
      <c r="C1985" s="19" t="s">
        <v>433</v>
      </c>
      <c r="D1985" s="18" t="s">
        <v>1097</v>
      </c>
      <c r="E1985" s="18" t="s">
        <v>10</v>
      </c>
      <c r="F1985" s="10" t="s">
        <v>5179</v>
      </c>
      <c r="G1985" s="18">
        <v>44939</v>
      </c>
      <c r="H1985" s="18" t="s">
        <v>7262</v>
      </c>
      <c r="I1985" s="134">
        <v>72424</v>
      </c>
      <c r="J1985" s="18" t="s">
        <v>7263</v>
      </c>
      <c r="K1985" s="18">
        <v>44958</v>
      </c>
      <c r="L1985" s="18" t="s">
        <v>364</v>
      </c>
      <c r="M1985" s="18" t="s">
        <v>364</v>
      </c>
      <c r="N1985" s="18" t="s">
        <v>364</v>
      </c>
      <c r="O1985" s="18" t="s">
        <v>364</v>
      </c>
      <c r="P1985" s="466"/>
      <c r="Q1985" s="134"/>
      <c r="R1985" s="134"/>
      <c r="S1985" s="344"/>
      <c r="T1985" s="512" t="e">
        <f>_xlfn.XLOOKUP(H1985,#REF!,#REF!,0,0)</f>
        <v>#REF!</v>
      </c>
    </row>
    <row r="1986" spans="1:20" s="507" customFormat="1" x14ac:dyDescent="0.4">
      <c r="A1986" s="24" t="s">
        <v>7264</v>
      </c>
      <c r="B1986" s="24" t="s">
        <v>7265</v>
      </c>
      <c r="C1986" s="19" t="s">
        <v>433</v>
      </c>
      <c r="D1986" s="24" t="s">
        <v>3778</v>
      </c>
      <c r="E1986" s="25" t="s">
        <v>10</v>
      </c>
      <c r="F1986" s="24" t="s">
        <v>5179</v>
      </c>
      <c r="G1986" s="25" t="s">
        <v>7234</v>
      </c>
      <c r="H1986" s="25" t="s">
        <v>7182</v>
      </c>
      <c r="I1986" s="264">
        <v>72465</v>
      </c>
      <c r="J1986" s="24"/>
      <c r="K1986" s="25">
        <v>44958</v>
      </c>
      <c r="L1986" s="24" t="s">
        <v>364</v>
      </c>
      <c r="M1986" s="24" t="s">
        <v>364</v>
      </c>
      <c r="N1986" s="24" t="s">
        <v>364</v>
      </c>
      <c r="O1986" s="24" t="s">
        <v>364</v>
      </c>
      <c r="P1986" s="468" t="s">
        <v>7266</v>
      </c>
      <c r="Q1986" s="264"/>
      <c r="R1986" s="264"/>
      <c r="S1986" s="343"/>
      <c r="T1986" s="512" t="e">
        <f>_xlfn.XLOOKUP(H1986,#REF!,#REF!,0,0)</f>
        <v>#REF!</v>
      </c>
    </row>
    <row r="1987" spans="1:20" s="299" customFormat="1" x14ac:dyDescent="0.4">
      <c r="A1987" s="18" t="s">
        <v>7267</v>
      </c>
      <c r="B1987" s="18" t="s">
        <v>7268</v>
      </c>
      <c r="C1987" s="19" t="s">
        <v>433</v>
      </c>
      <c r="D1987" s="18" t="s">
        <v>693</v>
      </c>
      <c r="E1987" s="18" t="s">
        <v>3016</v>
      </c>
      <c r="F1987" s="10"/>
      <c r="G1987" s="18"/>
      <c r="H1987" s="18" t="s">
        <v>7269</v>
      </c>
      <c r="I1987" s="134">
        <v>74849</v>
      </c>
      <c r="J1987" s="18" t="s">
        <v>7270</v>
      </c>
      <c r="K1987" s="18"/>
      <c r="L1987" s="18" t="s">
        <v>364</v>
      </c>
      <c r="M1987" s="18" t="s">
        <v>364</v>
      </c>
      <c r="N1987" s="18" t="s">
        <v>364</v>
      </c>
      <c r="O1987" s="18" t="s">
        <v>364</v>
      </c>
      <c r="P1987" s="466"/>
      <c r="Q1987" s="134"/>
      <c r="R1987" s="134"/>
      <c r="S1987" s="344"/>
      <c r="T1987" s="512" t="e">
        <f>_xlfn.XLOOKUP(H1987,#REF!,#REF!,0,0)</f>
        <v>#REF!</v>
      </c>
    </row>
    <row r="1988" spans="1:20" s="299" customFormat="1" x14ac:dyDescent="0.4">
      <c r="A1988" s="18" t="s">
        <v>7271</v>
      </c>
      <c r="B1988" s="18" t="s">
        <v>7272</v>
      </c>
      <c r="C1988" s="19" t="s">
        <v>433</v>
      </c>
      <c r="D1988" s="18" t="s">
        <v>693</v>
      </c>
      <c r="E1988" s="18" t="s">
        <v>10</v>
      </c>
      <c r="F1988" s="10" t="s">
        <v>5179</v>
      </c>
      <c r="G1988" s="18">
        <v>44939</v>
      </c>
      <c r="H1988" s="18" t="s">
        <v>7273</v>
      </c>
      <c r="I1988" s="134">
        <v>72425</v>
      </c>
      <c r="J1988" s="18" t="s">
        <v>7274</v>
      </c>
      <c r="K1988" s="18">
        <v>44964</v>
      </c>
      <c r="L1988" s="18" t="s">
        <v>364</v>
      </c>
      <c r="M1988" s="18" t="s">
        <v>364</v>
      </c>
      <c r="N1988" s="18" t="s">
        <v>364</v>
      </c>
      <c r="O1988" s="18" t="s">
        <v>364</v>
      </c>
      <c r="P1988" s="466" t="s">
        <v>7275</v>
      </c>
      <c r="Q1988" s="134"/>
      <c r="R1988" s="134"/>
      <c r="S1988" s="344"/>
      <c r="T1988" s="512" t="e">
        <f>_xlfn.XLOOKUP(H1988,#REF!,#REF!,0,0)</f>
        <v>#REF!</v>
      </c>
    </row>
    <row r="1989" spans="1:20" s="299" customFormat="1" x14ac:dyDescent="0.4">
      <c r="A1989" s="18" t="s">
        <v>7276</v>
      </c>
      <c r="B1989" s="18" t="s">
        <v>7277</v>
      </c>
      <c r="C1989" s="19" t="s">
        <v>433</v>
      </c>
      <c r="D1989" s="18" t="s">
        <v>693</v>
      </c>
      <c r="E1989" s="18" t="s">
        <v>10</v>
      </c>
      <c r="F1989" s="10" t="s">
        <v>5179</v>
      </c>
      <c r="G1989" s="18">
        <v>44939</v>
      </c>
      <c r="H1989" s="18" t="s">
        <v>7278</v>
      </c>
      <c r="I1989" s="134">
        <v>72426</v>
      </c>
      <c r="J1989" s="18" t="s">
        <v>7279</v>
      </c>
      <c r="K1989" s="18">
        <v>44964</v>
      </c>
      <c r="L1989" s="18" t="s">
        <v>364</v>
      </c>
      <c r="M1989" s="18" t="s">
        <v>364</v>
      </c>
      <c r="N1989" s="18" t="s">
        <v>364</v>
      </c>
      <c r="O1989" s="18" t="s">
        <v>364</v>
      </c>
      <c r="P1989" s="466" t="s">
        <v>7280</v>
      </c>
      <c r="Q1989" s="134"/>
      <c r="R1989" s="134"/>
      <c r="S1989" s="344"/>
      <c r="T1989" s="512" t="e">
        <f>_xlfn.XLOOKUP(H1989,#REF!,#REF!,0,0)</f>
        <v>#REF!</v>
      </c>
    </row>
    <row r="1990" spans="1:20" s="299" customFormat="1" x14ac:dyDescent="0.4">
      <c r="A1990" s="18"/>
      <c r="B1990" s="18" t="s">
        <v>7281</v>
      </c>
      <c r="C1990" s="19" t="s">
        <v>433</v>
      </c>
      <c r="D1990" s="18" t="s">
        <v>3778</v>
      </c>
      <c r="E1990" s="18" t="s">
        <v>10</v>
      </c>
      <c r="F1990" s="10" t="s">
        <v>3072</v>
      </c>
      <c r="G1990" s="18"/>
      <c r="H1990" s="18" t="s">
        <v>5979</v>
      </c>
      <c r="I1990" s="134">
        <v>70731</v>
      </c>
      <c r="J1990" s="18"/>
      <c r="K1990" s="18"/>
      <c r="L1990" s="18" t="s">
        <v>364</v>
      </c>
      <c r="M1990" s="18" t="s">
        <v>364</v>
      </c>
      <c r="N1990" s="18" t="s">
        <v>364</v>
      </c>
      <c r="O1990" s="18" t="s">
        <v>364</v>
      </c>
      <c r="P1990" s="466" t="s">
        <v>7282</v>
      </c>
      <c r="Q1990" s="134"/>
      <c r="R1990" s="134"/>
      <c r="S1990" s="344"/>
      <c r="T1990" s="512" t="e">
        <f>_xlfn.XLOOKUP(H1990,#REF!,#REF!,0,0)</f>
        <v>#REF!</v>
      </c>
    </row>
    <row r="1991" spans="1:20" s="299" customFormat="1" x14ac:dyDescent="0.4">
      <c r="A1991" s="18" t="s">
        <v>7283</v>
      </c>
      <c r="B1991" s="18" t="s">
        <v>7284</v>
      </c>
      <c r="C1991" s="19" t="s">
        <v>433</v>
      </c>
      <c r="D1991" s="18" t="s">
        <v>693</v>
      </c>
      <c r="E1991" s="18" t="s">
        <v>10</v>
      </c>
      <c r="F1991" s="10" t="s">
        <v>3072</v>
      </c>
      <c r="G1991" s="18">
        <v>44950</v>
      </c>
      <c r="H1991" s="18" t="s">
        <v>7285</v>
      </c>
      <c r="I1991" s="134">
        <v>72728</v>
      </c>
      <c r="J1991" s="18" t="s">
        <v>7286</v>
      </c>
      <c r="K1991" s="18"/>
      <c r="L1991" s="18" t="s">
        <v>364</v>
      </c>
      <c r="M1991" s="18" t="s">
        <v>364</v>
      </c>
      <c r="N1991" s="18" t="s">
        <v>364</v>
      </c>
      <c r="O1991" s="18" t="s">
        <v>364</v>
      </c>
      <c r="P1991" s="466"/>
      <c r="Q1991" s="134"/>
      <c r="R1991" s="134"/>
      <c r="S1991" s="344"/>
      <c r="T1991" s="512" t="e">
        <f>_xlfn.XLOOKUP(H1991,#REF!,#REF!,0,0)</f>
        <v>#REF!</v>
      </c>
    </row>
    <row r="1992" spans="1:20" s="299" customFormat="1" x14ac:dyDescent="0.4">
      <c r="A1992" s="18" t="s">
        <v>7287</v>
      </c>
      <c r="B1992" s="18" t="s">
        <v>7288</v>
      </c>
      <c r="C1992" s="19" t="s">
        <v>433</v>
      </c>
      <c r="D1992" s="18" t="s">
        <v>693</v>
      </c>
      <c r="E1992" s="18" t="s">
        <v>10</v>
      </c>
      <c r="F1992" s="10" t="s">
        <v>5179</v>
      </c>
      <c r="G1992" s="18">
        <v>44939</v>
      </c>
      <c r="H1992" s="18" t="s">
        <v>7289</v>
      </c>
      <c r="I1992" s="134">
        <v>72429</v>
      </c>
      <c r="J1992" s="18" t="s">
        <v>7290</v>
      </c>
      <c r="K1992" s="18">
        <v>44967</v>
      </c>
      <c r="L1992" s="18" t="s">
        <v>364</v>
      </c>
      <c r="M1992" s="18" t="s">
        <v>364</v>
      </c>
      <c r="N1992" s="18" t="s">
        <v>364</v>
      </c>
      <c r="O1992" s="18" t="s">
        <v>364</v>
      </c>
      <c r="P1992" s="466" t="s">
        <v>7291</v>
      </c>
      <c r="Q1992" s="134"/>
      <c r="R1992" s="134"/>
      <c r="S1992" s="344"/>
      <c r="T1992" s="512" t="e">
        <f>_xlfn.XLOOKUP(H1992,#REF!,#REF!,0,0)</f>
        <v>#REF!</v>
      </c>
    </row>
    <row r="1993" spans="1:20" s="507" customFormat="1" ht="18" customHeight="1" x14ac:dyDescent="0.4">
      <c r="A1993" s="24" t="s">
        <v>7292</v>
      </c>
      <c r="B1993" s="24" t="s">
        <v>7293</v>
      </c>
      <c r="C1993" s="24"/>
      <c r="D1993" s="24" t="s">
        <v>693</v>
      </c>
      <c r="E1993" s="25" t="s">
        <v>10</v>
      </c>
      <c r="F1993" s="24" t="s">
        <v>3072</v>
      </c>
      <c r="G1993" s="25">
        <v>44820</v>
      </c>
      <c r="H1993" s="25" t="s">
        <v>7294</v>
      </c>
      <c r="I1993" s="264">
        <v>72483</v>
      </c>
      <c r="J1993" s="24" t="s">
        <v>7295</v>
      </c>
      <c r="K1993" s="25">
        <v>44970</v>
      </c>
      <c r="L1993" s="24" t="s">
        <v>364</v>
      </c>
      <c r="M1993" s="24" t="s">
        <v>364</v>
      </c>
      <c r="N1993" s="24" t="s">
        <v>364</v>
      </c>
      <c r="O1993" s="24" t="s">
        <v>364</v>
      </c>
      <c r="P1993" s="468" t="s">
        <v>7296</v>
      </c>
      <c r="Q1993" s="264"/>
      <c r="R1993" s="264"/>
      <c r="S1993" s="343"/>
      <c r="T1993" s="512" t="e">
        <f>_xlfn.XLOOKUP(H1993,#REF!,#REF!,0,0)</f>
        <v>#REF!</v>
      </c>
    </row>
    <row r="1994" spans="1:20" s="507" customFormat="1" ht="18" customHeight="1" x14ac:dyDescent="0.4">
      <c r="A1994" s="24" t="s">
        <v>7297</v>
      </c>
      <c r="B1994" s="24" t="s">
        <v>7298</v>
      </c>
      <c r="C1994" s="24"/>
      <c r="D1994" s="24" t="s">
        <v>693</v>
      </c>
      <c r="E1994" s="25" t="s">
        <v>10</v>
      </c>
      <c r="F1994" s="24" t="s">
        <v>5179</v>
      </c>
      <c r="G1994" s="25">
        <v>44939</v>
      </c>
      <c r="H1994" s="25" t="s">
        <v>7299</v>
      </c>
      <c r="I1994" s="264">
        <v>72427</v>
      </c>
      <c r="J1994" s="24" t="s">
        <v>7300</v>
      </c>
      <c r="K1994" s="25" t="s">
        <v>7301</v>
      </c>
      <c r="L1994" s="24" t="s">
        <v>364</v>
      </c>
      <c r="M1994" s="24" t="s">
        <v>364</v>
      </c>
      <c r="N1994" s="24" t="s">
        <v>364</v>
      </c>
      <c r="O1994" s="24" t="s">
        <v>364</v>
      </c>
      <c r="P1994" s="468"/>
      <c r="Q1994" s="264"/>
      <c r="R1994" s="264"/>
      <c r="S1994" s="343"/>
      <c r="T1994" s="512" t="e">
        <f>_xlfn.XLOOKUP(H1994,#REF!,#REF!,0,0)</f>
        <v>#REF!</v>
      </c>
    </row>
    <row r="1995" spans="1:20" s="507" customFormat="1" ht="18" customHeight="1" x14ac:dyDescent="0.4">
      <c r="A1995" s="24" t="s">
        <v>7302</v>
      </c>
      <c r="B1995" s="24" t="s">
        <v>7303</v>
      </c>
      <c r="C1995" s="24"/>
      <c r="D1995" s="24" t="s">
        <v>693</v>
      </c>
      <c r="E1995" s="25" t="s">
        <v>10</v>
      </c>
      <c r="F1995" s="24" t="s">
        <v>5179</v>
      </c>
      <c r="G1995" s="25">
        <v>44939</v>
      </c>
      <c r="H1995" s="25" t="s">
        <v>7304</v>
      </c>
      <c r="I1995" s="264">
        <v>72428</v>
      </c>
      <c r="J1995" s="24" t="s">
        <v>7305</v>
      </c>
      <c r="K1995" s="25" t="s">
        <v>7301</v>
      </c>
      <c r="L1995" s="24" t="s">
        <v>364</v>
      </c>
      <c r="M1995" s="24" t="s">
        <v>364</v>
      </c>
      <c r="N1995" s="24" t="s">
        <v>364</v>
      </c>
      <c r="O1995" s="24" t="s">
        <v>364</v>
      </c>
      <c r="P1995" s="468"/>
      <c r="Q1995" s="264"/>
      <c r="R1995" s="264"/>
      <c r="S1995" s="343"/>
      <c r="T1995" s="512" t="e">
        <f>_xlfn.XLOOKUP(H1995,#REF!,#REF!,0,0)</f>
        <v>#REF!</v>
      </c>
    </row>
    <row r="1996" spans="1:20" s="507" customFormat="1" ht="18" customHeight="1" x14ac:dyDescent="0.4">
      <c r="A1996" s="24" t="s">
        <v>7306</v>
      </c>
      <c r="B1996" s="24" t="s">
        <v>7307</v>
      </c>
      <c r="C1996" s="24"/>
      <c r="D1996" s="24" t="s">
        <v>693</v>
      </c>
      <c r="E1996" s="25" t="s">
        <v>10</v>
      </c>
      <c r="F1996" s="24" t="s">
        <v>5179</v>
      </c>
      <c r="G1996" s="25">
        <v>44939</v>
      </c>
      <c r="H1996" s="25" t="s">
        <v>7308</v>
      </c>
      <c r="I1996" s="264">
        <v>72430</v>
      </c>
      <c r="J1996" s="24" t="s">
        <v>7309</v>
      </c>
      <c r="K1996" s="25" t="s">
        <v>7310</v>
      </c>
      <c r="L1996" s="24" t="s">
        <v>364</v>
      </c>
      <c r="M1996" s="24" t="s">
        <v>364</v>
      </c>
      <c r="N1996" s="24" t="s">
        <v>364</v>
      </c>
      <c r="O1996" s="24" t="s">
        <v>364</v>
      </c>
      <c r="P1996" s="468" t="s">
        <v>7311</v>
      </c>
      <c r="Q1996" s="264"/>
      <c r="R1996" s="264"/>
      <c r="S1996" s="343"/>
      <c r="T1996" s="512" t="e">
        <f>_xlfn.XLOOKUP(H1996,#REF!,#REF!,0,0)</f>
        <v>#REF!</v>
      </c>
    </row>
    <row r="1997" spans="1:20" s="507" customFormat="1" ht="18" customHeight="1" x14ac:dyDescent="0.4">
      <c r="A1997" s="24" t="s">
        <v>7312</v>
      </c>
      <c r="B1997" s="24" t="s">
        <v>7313</v>
      </c>
      <c r="C1997" s="24"/>
      <c r="D1997" s="24" t="s">
        <v>693</v>
      </c>
      <c r="E1997" s="25" t="s">
        <v>10</v>
      </c>
      <c r="F1997" s="24" t="s">
        <v>3072</v>
      </c>
      <c r="G1997" s="25">
        <v>44820</v>
      </c>
      <c r="H1997" s="25" t="s">
        <v>7314</v>
      </c>
      <c r="I1997" s="264">
        <v>72484</v>
      </c>
      <c r="J1997" s="24" t="s">
        <v>7315</v>
      </c>
      <c r="K1997" s="25">
        <v>44970</v>
      </c>
      <c r="L1997" s="24" t="s">
        <v>364</v>
      </c>
      <c r="M1997" s="24" t="s">
        <v>364</v>
      </c>
      <c r="N1997" s="24" t="s">
        <v>364</v>
      </c>
      <c r="O1997" s="24" t="s">
        <v>364</v>
      </c>
      <c r="P1997" s="468" t="s">
        <v>6989</v>
      </c>
      <c r="Q1997" s="264"/>
      <c r="R1997" s="264"/>
      <c r="S1997" s="343"/>
      <c r="T1997" s="512" t="e">
        <f>_xlfn.XLOOKUP(H1997,#REF!,#REF!,0,0)</f>
        <v>#REF!</v>
      </c>
    </row>
    <row r="1998" spans="1:20" s="299" customFormat="1" x14ac:dyDescent="0.4">
      <c r="A1998" s="18" t="s">
        <v>7316</v>
      </c>
      <c r="B1998" s="18" t="s">
        <v>7317</v>
      </c>
      <c r="C1998" s="19" t="s">
        <v>433</v>
      </c>
      <c r="D1998" s="18" t="s">
        <v>3778</v>
      </c>
      <c r="E1998" s="18" t="s">
        <v>10</v>
      </c>
      <c r="F1998" s="10" t="s">
        <v>3072</v>
      </c>
      <c r="G1998" s="18">
        <v>44950</v>
      </c>
      <c r="H1998" s="18" t="s">
        <v>7318</v>
      </c>
      <c r="I1998" s="134">
        <v>72729</v>
      </c>
      <c r="J1998" s="18" t="s">
        <v>7319</v>
      </c>
      <c r="K1998" s="18"/>
      <c r="L1998" s="18" t="s">
        <v>364</v>
      </c>
      <c r="M1998" s="18" t="s">
        <v>364</v>
      </c>
      <c r="N1998" s="18" t="s">
        <v>364</v>
      </c>
      <c r="O1998" s="18" t="s">
        <v>364</v>
      </c>
      <c r="P1998" s="466" t="s">
        <v>7320</v>
      </c>
      <c r="Q1998" s="134"/>
      <c r="R1998" s="134"/>
      <c r="S1998" s="344"/>
      <c r="T1998" s="512" t="e">
        <f>_xlfn.XLOOKUP(H1998,#REF!,#REF!,0,0)</f>
        <v>#REF!</v>
      </c>
    </row>
    <row r="1999" spans="1:20" s="299" customFormat="1" x14ac:dyDescent="0.4">
      <c r="A1999" s="10" t="s">
        <v>7321</v>
      </c>
      <c r="B1999" s="10" t="s">
        <v>7322</v>
      </c>
      <c r="C1999" s="19" t="s">
        <v>433</v>
      </c>
      <c r="D1999" s="10" t="s">
        <v>704</v>
      </c>
      <c r="E1999" s="18" t="s">
        <v>10</v>
      </c>
      <c r="F1999" s="10" t="s">
        <v>3072</v>
      </c>
      <c r="G1999" s="18">
        <v>44950</v>
      </c>
      <c r="H1999" s="18" t="s">
        <v>7323</v>
      </c>
      <c r="I1999" s="134">
        <v>72727</v>
      </c>
      <c r="J1999" s="10" t="s">
        <v>7324</v>
      </c>
      <c r="K1999" s="18" t="s">
        <v>7325</v>
      </c>
      <c r="L1999" s="10" t="s">
        <v>364</v>
      </c>
      <c r="M1999" s="10" t="s">
        <v>364</v>
      </c>
      <c r="N1999" s="10" t="s">
        <v>364</v>
      </c>
      <c r="O1999" s="10" t="s">
        <v>364</v>
      </c>
      <c r="P1999" s="477" t="s">
        <v>6278</v>
      </c>
      <c r="Q1999" s="134"/>
      <c r="R1999" s="134"/>
      <c r="S1999" s="344"/>
      <c r="T1999" s="512" t="e">
        <f>_xlfn.XLOOKUP(H1999,#REF!,#REF!,0,0)</f>
        <v>#REF!</v>
      </c>
    </row>
    <row r="2000" spans="1:20" s="299" customFormat="1" x14ac:dyDescent="0.4">
      <c r="A2000" s="10" t="s">
        <v>7326</v>
      </c>
      <c r="B2000" s="10" t="s">
        <v>7327</v>
      </c>
      <c r="C2000" s="19" t="s">
        <v>433</v>
      </c>
      <c r="D2000" s="10" t="s">
        <v>693</v>
      </c>
      <c r="E2000" s="18" t="s">
        <v>10</v>
      </c>
      <c r="F2000" s="10" t="s">
        <v>5179</v>
      </c>
      <c r="G2000" s="18">
        <v>44939</v>
      </c>
      <c r="H2000" s="18" t="s">
        <v>7328</v>
      </c>
      <c r="I2000" s="134">
        <v>72433</v>
      </c>
      <c r="J2000" s="10" t="s">
        <v>7329</v>
      </c>
      <c r="K2000" s="18">
        <v>44986</v>
      </c>
      <c r="L2000" s="10" t="s">
        <v>364</v>
      </c>
      <c r="M2000" s="10" t="s">
        <v>364</v>
      </c>
      <c r="N2000" s="10" t="s">
        <v>364</v>
      </c>
      <c r="O2000" s="10" t="s">
        <v>364</v>
      </c>
      <c r="P2000" s="477"/>
      <c r="Q2000" s="134"/>
      <c r="R2000" s="134"/>
      <c r="S2000" s="344"/>
      <c r="T2000" s="512" t="e">
        <f>_xlfn.XLOOKUP(H2000,#REF!,#REF!,0,0)</f>
        <v>#REF!</v>
      </c>
    </row>
    <row r="2001" spans="1:20" s="299" customFormat="1" x14ac:dyDescent="0.4">
      <c r="A2001" s="10" t="s">
        <v>7330</v>
      </c>
      <c r="B2001" s="10" t="s">
        <v>7331</v>
      </c>
      <c r="C2001" s="19" t="s">
        <v>433</v>
      </c>
      <c r="D2001" s="10" t="s">
        <v>693</v>
      </c>
      <c r="E2001" s="18" t="s">
        <v>10</v>
      </c>
      <c r="F2001" s="10" t="s">
        <v>3072</v>
      </c>
      <c r="G2001" s="18"/>
      <c r="H2001" s="18" t="s">
        <v>272</v>
      </c>
      <c r="I2001" s="134">
        <v>70770</v>
      </c>
      <c r="J2001" s="10"/>
      <c r="K2001" s="18"/>
      <c r="L2001" s="10" t="s">
        <v>7332</v>
      </c>
      <c r="M2001" s="10" t="s">
        <v>7332</v>
      </c>
      <c r="N2001" s="10" t="s">
        <v>7332</v>
      </c>
      <c r="O2001" s="10" t="s">
        <v>7332</v>
      </c>
      <c r="P2001" s="477" t="s">
        <v>7333</v>
      </c>
      <c r="Q2001" s="134"/>
      <c r="R2001" s="134"/>
      <c r="S2001" s="344"/>
      <c r="T2001" s="512" t="e">
        <f>_xlfn.XLOOKUP(H2001,#REF!,#REF!,0,0)</f>
        <v>#REF!</v>
      </c>
    </row>
    <row r="2002" spans="1:20" s="299" customFormat="1" x14ac:dyDescent="0.4">
      <c r="A2002" s="10" t="s">
        <v>7334</v>
      </c>
      <c r="B2002" s="10" t="s">
        <v>7335</v>
      </c>
      <c r="C2002" s="19" t="s">
        <v>433</v>
      </c>
      <c r="D2002" s="10" t="s">
        <v>693</v>
      </c>
      <c r="E2002" s="18" t="s">
        <v>10</v>
      </c>
      <c r="F2002" s="10" t="s">
        <v>3072</v>
      </c>
      <c r="G2002" s="18"/>
      <c r="H2002" s="18" t="s">
        <v>5979</v>
      </c>
      <c r="I2002" s="134">
        <v>70731</v>
      </c>
      <c r="J2002" s="10"/>
      <c r="K2002" s="18">
        <v>44984</v>
      </c>
      <c r="L2002" s="10" t="s">
        <v>7332</v>
      </c>
      <c r="M2002" s="10" t="s">
        <v>7332</v>
      </c>
      <c r="N2002" s="10" t="s">
        <v>7332</v>
      </c>
      <c r="O2002" s="10" t="s">
        <v>7332</v>
      </c>
      <c r="P2002" s="477"/>
      <c r="Q2002" s="134"/>
      <c r="R2002" s="134"/>
      <c r="S2002" s="344"/>
      <c r="T2002" s="512" t="e">
        <f>_xlfn.XLOOKUP(H2002,#REF!,#REF!,0,0)</f>
        <v>#REF!</v>
      </c>
    </row>
    <row r="2003" spans="1:20" s="299" customFormat="1" x14ac:dyDescent="0.4">
      <c r="A2003" s="10" t="s">
        <v>7336</v>
      </c>
      <c r="B2003" s="10" t="s">
        <v>7337</v>
      </c>
      <c r="C2003" s="19" t="s">
        <v>433</v>
      </c>
      <c r="D2003" s="10" t="s">
        <v>3778</v>
      </c>
      <c r="E2003" s="18" t="s">
        <v>10</v>
      </c>
      <c r="F2003" s="10" t="s">
        <v>3072</v>
      </c>
      <c r="G2003" s="18">
        <v>44950</v>
      </c>
      <c r="H2003" s="18" t="s">
        <v>7338</v>
      </c>
      <c r="I2003" s="134">
        <v>72736</v>
      </c>
      <c r="J2003" s="10" t="s">
        <v>7339</v>
      </c>
      <c r="K2003" s="18">
        <v>44977</v>
      </c>
      <c r="L2003" s="10" t="s">
        <v>364</v>
      </c>
      <c r="M2003" s="10" t="s">
        <v>364</v>
      </c>
      <c r="N2003" s="10" t="s">
        <v>364</v>
      </c>
      <c r="O2003" s="10" t="s">
        <v>364</v>
      </c>
      <c r="P2003" s="477" t="s">
        <v>7340</v>
      </c>
      <c r="Q2003" s="134"/>
      <c r="R2003" s="134"/>
      <c r="S2003" s="344"/>
      <c r="T2003" s="512" t="e">
        <f>_xlfn.XLOOKUP(H2003,#REF!,#REF!,0,0)</f>
        <v>#REF!</v>
      </c>
    </row>
    <row r="2004" spans="1:20" s="299" customFormat="1" x14ac:dyDescent="0.4">
      <c r="A2004" s="10" t="s">
        <v>7341</v>
      </c>
      <c r="B2004" s="10" t="s">
        <v>7342</v>
      </c>
      <c r="C2004" s="19" t="s">
        <v>433</v>
      </c>
      <c r="D2004" s="10" t="s">
        <v>1097</v>
      </c>
      <c r="E2004" s="18" t="s">
        <v>10</v>
      </c>
      <c r="F2004" s="10" t="s">
        <v>5179</v>
      </c>
      <c r="G2004" s="18">
        <v>44939</v>
      </c>
      <c r="H2004" s="18" t="s">
        <v>7343</v>
      </c>
      <c r="I2004" s="134">
        <v>72434</v>
      </c>
      <c r="J2004" s="10" t="s">
        <v>7344</v>
      </c>
      <c r="K2004" s="18">
        <v>44986</v>
      </c>
      <c r="L2004" s="10" t="s">
        <v>364</v>
      </c>
      <c r="M2004" s="10" t="s">
        <v>364</v>
      </c>
      <c r="N2004" s="10" t="s">
        <v>364</v>
      </c>
      <c r="O2004" s="10" t="s">
        <v>364</v>
      </c>
      <c r="P2004" s="477" t="s">
        <v>6493</v>
      </c>
      <c r="Q2004" s="134"/>
      <c r="R2004" s="134"/>
      <c r="S2004" s="344"/>
      <c r="T2004" s="512" t="e">
        <f>_xlfn.XLOOKUP(H2004,#REF!,#REF!,0,0)</f>
        <v>#REF!</v>
      </c>
    </row>
    <row r="2005" spans="1:20" s="299" customFormat="1" x14ac:dyDescent="0.4">
      <c r="A2005" s="10" t="s">
        <v>7345</v>
      </c>
      <c r="B2005" s="10" t="s">
        <v>7346</v>
      </c>
      <c r="C2005" s="19" t="s">
        <v>433</v>
      </c>
      <c r="D2005" s="10" t="s">
        <v>3778</v>
      </c>
      <c r="E2005" s="18" t="s">
        <v>10</v>
      </c>
      <c r="F2005" s="10" t="s">
        <v>3072</v>
      </c>
      <c r="G2005" s="18">
        <v>44820</v>
      </c>
      <c r="H2005" s="18" t="s">
        <v>7347</v>
      </c>
      <c r="I2005" s="134">
        <v>72486</v>
      </c>
      <c r="J2005" s="10" t="s">
        <v>7348</v>
      </c>
      <c r="K2005" s="18">
        <v>44986</v>
      </c>
      <c r="L2005" s="10" t="s">
        <v>364</v>
      </c>
      <c r="M2005" s="10" t="s">
        <v>364</v>
      </c>
      <c r="N2005" s="10" t="s">
        <v>364</v>
      </c>
      <c r="O2005" s="10" t="s">
        <v>364</v>
      </c>
      <c r="P2005" s="477" t="s">
        <v>7349</v>
      </c>
      <c r="Q2005" s="134"/>
      <c r="R2005" s="134"/>
      <c r="S2005" s="344"/>
      <c r="T2005" s="512" t="e">
        <f>_xlfn.XLOOKUP(H2005,#REF!,#REF!,0,0)</f>
        <v>#REF!</v>
      </c>
    </row>
    <row r="2006" spans="1:20" s="299" customFormat="1" x14ac:dyDescent="0.4">
      <c r="A2006" s="10" t="s">
        <v>7350</v>
      </c>
      <c r="B2006" s="10" t="s">
        <v>7351</v>
      </c>
      <c r="C2006" s="19" t="s">
        <v>433</v>
      </c>
      <c r="D2006" s="10" t="s">
        <v>3778</v>
      </c>
      <c r="E2006" s="18" t="s">
        <v>10</v>
      </c>
      <c r="F2006" s="10" t="s">
        <v>3072</v>
      </c>
      <c r="G2006" s="18">
        <v>44950</v>
      </c>
      <c r="H2006" s="18" t="s">
        <v>7352</v>
      </c>
      <c r="I2006" s="134">
        <v>72730</v>
      </c>
      <c r="J2006" s="10" t="s">
        <v>7353</v>
      </c>
      <c r="K2006" s="18">
        <v>44986</v>
      </c>
      <c r="L2006" s="10" t="s">
        <v>364</v>
      </c>
      <c r="M2006" s="10" t="s">
        <v>364</v>
      </c>
      <c r="N2006" s="10" t="s">
        <v>364</v>
      </c>
      <c r="O2006" s="10" t="s">
        <v>364</v>
      </c>
      <c r="P2006" s="477" t="s">
        <v>7354</v>
      </c>
      <c r="Q2006" s="134"/>
      <c r="R2006" s="134"/>
      <c r="S2006" s="344"/>
      <c r="T2006" s="512" t="e">
        <f>_xlfn.XLOOKUP(H2006,#REF!,#REF!,0,0)</f>
        <v>#REF!</v>
      </c>
    </row>
    <row r="2007" spans="1:20" s="299" customFormat="1" x14ac:dyDescent="0.4">
      <c r="A2007" s="10" t="s">
        <v>7355</v>
      </c>
      <c r="B2007" s="10" t="s">
        <v>7356</v>
      </c>
      <c r="C2007" s="19" t="s">
        <v>433</v>
      </c>
      <c r="D2007" s="10" t="s">
        <v>1097</v>
      </c>
      <c r="E2007" s="18" t="s">
        <v>10</v>
      </c>
      <c r="F2007" s="10" t="s">
        <v>5179</v>
      </c>
      <c r="G2007" s="18">
        <v>44939</v>
      </c>
      <c r="H2007" s="18" t="s">
        <v>7357</v>
      </c>
      <c r="I2007" s="134">
        <v>72432</v>
      </c>
      <c r="J2007" s="10" t="s">
        <v>7358</v>
      </c>
      <c r="K2007" s="18">
        <v>44986</v>
      </c>
      <c r="L2007" s="10" t="s">
        <v>364</v>
      </c>
      <c r="M2007" s="10" t="s">
        <v>364</v>
      </c>
      <c r="N2007" s="10" t="s">
        <v>364</v>
      </c>
      <c r="O2007" s="10" t="s">
        <v>364</v>
      </c>
      <c r="P2007" s="477" t="s">
        <v>6493</v>
      </c>
      <c r="Q2007" s="134"/>
      <c r="R2007" s="134"/>
      <c r="S2007" s="344"/>
      <c r="T2007" s="512" t="e">
        <f>_xlfn.XLOOKUP(H2007,#REF!,#REF!,0,0)</f>
        <v>#REF!</v>
      </c>
    </row>
    <row r="2008" spans="1:20" s="299" customFormat="1" x14ac:dyDescent="0.4">
      <c r="A2008" s="10" t="s">
        <v>7359</v>
      </c>
      <c r="B2008" s="10" t="s">
        <v>7360</v>
      </c>
      <c r="C2008" s="19" t="s">
        <v>433</v>
      </c>
      <c r="D2008" s="10" t="s">
        <v>693</v>
      </c>
      <c r="E2008" s="18" t="s">
        <v>10</v>
      </c>
      <c r="F2008" s="10" t="s">
        <v>3072</v>
      </c>
      <c r="G2008" s="18">
        <v>44950</v>
      </c>
      <c r="H2008" s="18" t="s">
        <v>7361</v>
      </c>
      <c r="I2008" s="134">
        <v>72731</v>
      </c>
      <c r="J2008" s="10" t="s">
        <v>7362</v>
      </c>
      <c r="K2008" s="18">
        <v>44986</v>
      </c>
      <c r="L2008" s="10" t="s">
        <v>364</v>
      </c>
      <c r="M2008" s="10" t="s">
        <v>364</v>
      </c>
      <c r="N2008" s="10" t="s">
        <v>364</v>
      </c>
      <c r="O2008" s="10" t="s">
        <v>364</v>
      </c>
      <c r="P2008" s="477"/>
      <c r="Q2008" s="134"/>
      <c r="R2008" s="134"/>
      <c r="S2008" s="344"/>
      <c r="T2008" s="512" t="e">
        <f>_xlfn.XLOOKUP(H2008,#REF!,#REF!,0,0)</f>
        <v>#REF!</v>
      </c>
    </row>
    <row r="2009" spans="1:20" s="299" customFormat="1" x14ac:dyDescent="0.4">
      <c r="A2009" s="10" t="s">
        <v>7363</v>
      </c>
      <c r="B2009" s="10" t="s">
        <v>7364</v>
      </c>
      <c r="C2009" s="19" t="s">
        <v>433</v>
      </c>
      <c r="D2009" s="10" t="s">
        <v>693</v>
      </c>
      <c r="E2009" s="18" t="s">
        <v>10</v>
      </c>
      <c r="F2009" s="10" t="s">
        <v>3072</v>
      </c>
      <c r="G2009" s="18">
        <v>44820</v>
      </c>
      <c r="H2009" s="18" t="s">
        <v>7365</v>
      </c>
      <c r="I2009" s="134">
        <v>72488</v>
      </c>
      <c r="J2009" s="10" t="s">
        <v>7366</v>
      </c>
      <c r="K2009" s="18">
        <v>44986</v>
      </c>
      <c r="L2009" s="10" t="s">
        <v>364</v>
      </c>
      <c r="M2009" s="10" t="s">
        <v>364</v>
      </c>
      <c r="N2009" s="10" t="s">
        <v>364</v>
      </c>
      <c r="O2009" s="10" t="s">
        <v>364</v>
      </c>
      <c r="P2009" s="477" t="s">
        <v>7367</v>
      </c>
      <c r="Q2009" s="134"/>
      <c r="R2009" s="134"/>
      <c r="S2009" s="344"/>
      <c r="T2009" s="512" t="e">
        <f>_xlfn.XLOOKUP(H2009,#REF!,#REF!,0,0)</f>
        <v>#REF!</v>
      </c>
    </row>
    <row r="2010" spans="1:20" s="299" customFormat="1" x14ac:dyDescent="0.4">
      <c r="A2010" s="10" t="s">
        <v>7368</v>
      </c>
      <c r="B2010" s="10" t="s">
        <v>7369</v>
      </c>
      <c r="C2010" s="19" t="s">
        <v>433</v>
      </c>
      <c r="D2010" s="10" t="s">
        <v>693</v>
      </c>
      <c r="E2010" s="18" t="s">
        <v>10</v>
      </c>
      <c r="F2010" s="10" t="s">
        <v>3072</v>
      </c>
      <c r="G2010" s="18">
        <v>44820</v>
      </c>
      <c r="H2010" s="18" t="s">
        <v>7370</v>
      </c>
      <c r="I2010" s="134">
        <v>72485</v>
      </c>
      <c r="J2010" s="10" t="s">
        <v>7371</v>
      </c>
      <c r="K2010" s="18">
        <v>44986</v>
      </c>
      <c r="L2010" s="10" t="s">
        <v>364</v>
      </c>
      <c r="M2010" s="10" t="s">
        <v>364</v>
      </c>
      <c r="N2010" s="10" t="s">
        <v>364</v>
      </c>
      <c r="O2010" s="10" t="s">
        <v>364</v>
      </c>
      <c r="P2010" s="477" t="s">
        <v>7349</v>
      </c>
      <c r="Q2010" s="134"/>
      <c r="R2010" s="134"/>
      <c r="S2010" s="344"/>
      <c r="T2010" s="512" t="e">
        <f>_xlfn.XLOOKUP(H2010,#REF!,#REF!,0,0)</f>
        <v>#REF!</v>
      </c>
    </row>
    <row r="2011" spans="1:20" s="299" customFormat="1" x14ac:dyDescent="0.4">
      <c r="A2011" s="10" t="s">
        <v>7372</v>
      </c>
      <c r="B2011" s="10" t="s">
        <v>7373</v>
      </c>
      <c r="C2011" s="19" t="s">
        <v>433</v>
      </c>
      <c r="D2011" s="10" t="s">
        <v>693</v>
      </c>
      <c r="E2011" s="18" t="s">
        <v>10</v>
      </c>
      <c r="F2011" s="10" t="s">
        <v>3072</v>
      </c>
      <c r="G2011" s="18">
        <v>44820</v>
      </c>
      <c r="H2011" s="18" t="s">
        <v>7374</v>
      </c>
      <c r="I2011" s="134">
        <v>72487</v>
      </c>
      <c r="J2011" s="10" t="s">
        <v>7375</v>
      </c>
      <c r="K2011" s="18">
        <v>44986</v>
      </c>
      <c r="L2011" s="10" t="s">
        <v>364</v>
      </c>
      <c r="M2011" s="10" t="s">
        <v>364</v>
      </c>
      <c r="N2011" s="10" t="s">
        <v>364</v>
      </c>
      <c r="O2011" s="10" t="s">
        <v>364</v>
      </c>
      <c r="P2011" s="477" t="s">
        <v>6148</v>
      </c>
      <c r="Q2011" s="134"/>
      <c r="R2011" s="134"/>
      <c r="S2011" s="344"/>
      <c r="T2011" s="512" t="e">
        <f>_xlfn.XLOOKUP(H2011,#REF!,#REF!,0,0)</f>
        <v>#REF!</v>
      </c>
    </row>
    <row r="2012" spans="1:20" s="299" customFormat="1" x14ac:dyDescent="0.4">
      <c r="A2012" s="10" t="s">
        <v>7376</v>
      </c>
      <c r="B2012" s="10" t="s">
        <v>7377</v>
      </c>
      <c r="C2012" s="19" t="s">
        <v>433</v>
      </c>
      <c r="D2012" s="10" t="s">
        <v>693</v>
      </c>
      <c r="E2012" s="18" t="s">
        <v>10</v>
      </c>
      <c r="F2012" s="10" t="s">
        <v>5179</v>
      </c>
      <c r="G2012" s="18">
        <v>44939</v>
      </c>
      <c r="H2012" s="18" t="s">
        <v>7378</v>
      </c>
      <c r="I2012" s="134">
        <v>72431</v>
      </c>
      <c r="J2012" s="10" t="s">
        <v>7379</v>
      </c>
      <c r="K2012" s="18">
        <v>44987</v>
      </c>
      <c r="L2012" s="10" t="s">
        <v>364</v>
      </c>
      <c r="M2012" s="10" t="s">
        <v>364</v>
      </c>
      <c r="N2012" s="10" t="s">
        <v>364</v>
      </c>
      <c r="O2012" s="10" t="s">
        <v>364</v>
      </c>
      <c r="P2012" s="477"/>
      <c r="Q2012" s="134"/>
      <c r="R2012" s="134"/>
      <c r="S2012" s="344"/>
      <c r="T2012" s="512" t="e">
        <f>_xlfn.XLOOKUP(H2012,#REF!,#REF!,0,0)</f>
        <v>#REF!</v>
      </c>
    </row>
    <row r="2013" spans="1:20" s="299" customFormat="1" x14ac:dyDescent="0.4">
      <c r="A2013" s="10" t="s">
        <v>7380</v>
      </c>
      <c r="B2013" s="10" t="s">
        <v>7381</v>
      </c>
      <c r="C2013" s="19" t="s">
        <v>433</v>
      </c>
      <c r="D2013" s="10" t="s">
        <v>5210</v>
      </c>
      <c r="E2013" s="18" t="s">
        <v>10</v>
      </c>
      <c r="F2013" s="10" t="s">
        <v>3072</v>
      </c>
      <c r="G2013" s="18">
        <v>44950</v>
      </c>
      <c r="H2013" s="18" t="s">
        <v>7382</v>
      </c>
      <c r="I2013" s="134">
        <v>72737</v>
      </c>
      <c r="J2013" s="10" t="s">
        <v>7383</v>
      </c>
      <c r="K2013" s="18">
        <v>44987</v>
      </c>
      <c r="L2013" s="10" t="s">
        <v>364</v>
      </c>
      <c r="M2013" s="10" t="s">
        <v>364</v>
      </c>
      <c r="N2013" s="10" t="s">
        <v>364</v>
      </c>
      <c r="O2013" s="10" t="s">
        <v>364</v>
      </c>
      <c r="P2013" s="477" t="s">
        <v>6278</v>
      </c>
      <c r="Q2013" s="134"/>
      <c r="R2013" s="134"/>
      <c r="S2013" s="344"/>
      <c r="T2013" s="512" t="e">
        <f>_xlfn.XLOOKUP(H2013,#REF!,#REF!,0,0)</f>
        <v>#REF!</v>
      </c>
    </row>
    <row r="2014" spans="1:20" s="299" customFormat="1" x14ac:dyDescent="0.4">
      <c r="A2014" s="10" t="s">
        <v>7384</v>
      </c>
      <c r="B2014" s="10" t="s">
        <v>7385</v>
      </c>
      <c r="C2014" s="19" t="s">
        <v>433</v>
      </c>
      <c r="D2014" s="10" t="s">
        <v>693</v>
      </c>
      <c r="E2014" s="18" t="s">
        <v>10</v>
      </c>
      <c r="F2014" s="10" t="s">
        <v>5179</v>
      </c>
      <c r="G2014" s="18">
        <v>44939</v>
      </c>
      <c r="H2014" s="18" t="s">
        <v>7386</v>
      </c>
      <c r="I2014" s="134">
        <v>72436</v>
      </c>
      <c r="J2014" s="10" t="s">
        <v>7387</v>
      </c>
      <c r="K2014" s="18">
        <v>44991</v>
      </c>
      <c r="L2014" s="10" t="s">
        <v>364</v>
      </c>
      <c r="M2014" s="10" t="s">
        <v>364</v>
      </c>
      <c r="N2014" s="10" t="s">
        <v>364</v>
      </c>
      <c r="O2014" s="10" t="s">
        <v>364</v>
      </c>
      <c r="P2014" s="477" t="s">
        <v>7388</v>
      </c>
      <c r="Q2014" s="134"/>
      <c r="R2014" s="134"/>
      <c r="S2014" s="344"/>
      <c r="T2014" s="512" t="e">
        <f>_xlfn.XLOOKUP(H2014,#REF!,#REF!,0,0)</f>
        <v>#REF!</v>
      </c>
    </row>
    <row r="2015" spans="1:20" s="299" customFormat="1" x14ac:dyDescent="0.4">
      <c r="A2015" s="10" t="s">
        <v>7389</v>
      </c>
      <c r="B2015" s="10" t="s">
        <v>7390</v>
      </c>
      <c r="C2015" s="19" t="s">
        <v>433</v>
      </c>
      <c r="D2015" s="10" t="s">
        <v>693</v>
      </c>
      <c r="E2015" s="18" t="s">
        <v>10</v>
      </c>
      <c r="F2015" s="10" t="s">
        <v>3072</v>
      </c>
      <c r="G2015" s="18">
        <v>44950</v>
      </c>
      <c r="H2015" s="18" t="s">
        <v>7391</v>
      </c>
      <c r="I2015" s="134">
        <v>72735</v>
      </c>
      <c r="J2015" s="10" t="s">
        <v>7392</v>
      </c>
      <c r="K2015" s="18">
        <v>44994</v>
      </c>
      <c r="L2015" s="10" t="s">
        <v>364</v>
      </c>
      <c r="M2015" s="10" t="s">
        <v>364</v>
      </c>
      <c r="N2015" s="10" t="s">
        <v>364</v>
      </c>
      <c r="O2015" s="10" t="s">
        <v>364</v>
      </c>
      <c r="P2015" s="477" t="s">
        <v>6651</v>
      </c>
      <c r="Q2015" s="134"/>
      <c r="R2015" s="134"/>
      <c r="S2015" s="344"/>
      <c r="T2015" s="512" t="e">
        <f>_xlfn.XLOOKUP(H2015,#REF!,#REF!,0,0)</f>
        <v>#REF!</v>
      </c>
    </row>
    <row r="2016" spans="1:20" s="507" customFormat="1" ht="18" customHeight="1" x14ac:dyDescent="0.4">
      <c r="A2016" s="24" t="s">
        <v>7393</v>
      </c>
      <c r="B2016" s="24" t="s">
        <v>7394</v>
      </c>
      <c r="C2016" s="24"/>
      <c r="D2016" s="24" t="s">
        <v>693</v>
      </c>
      <c r="E2016" s="25" t="s">
        <v>10</v>
      </c>
      <c r="F2016" s="24" t="s">
        <v>5179</v>
      </c>
      <c r="G2016" s="25">
        <v>44939</v>
      </c>
      <c r="H2016" s="25" t="s">
        <v>7395</v>
      </c>
      <c r="I2016" s="264">
        <v>72437</v>
      </c>
      <c r="J2016" s="24" t="s">
        <v>7396</v>
      </c>
      <c r="K2016" s="25"/>
      <c r="L2016" s="24" t="s">
        <v>364</v>
      </c>
      <c r="M2016" s="24" t="s">
        <v>364</v>
      </c>
      <c r="N2016" s="24" t="s">
        <v>364</v>
      </c>
      <c r="O2016" s="24" t="s">
        <v>364</v>
      </c>
      <c r="P2016" s="468"/>
      <c r="Q2016" s="264"/>
      <c r="R2016" s="264"/>
      <c r="S2016" s="343"/>
      <c r="T2016" s="512" t="e">
        <f>_xlfn.XLOOKUP(H2016,#REF!,#REF!,0,0)</f>
        <v>#REF!</v>
      </c>
    </row>
    <row r="2017" spans="1:20" s="507" customFormat="1" ht="18" customHeight="1" x14ac:dyDescent="0.4">
      <c r="A2017" s="24" t="s">
        <v>7397</v>
      </c>
      <c r="B2017" s="24" t="s">
        <v>7398</v>
      </c>
      <c r="C2017" s="24"/>
      <c r="D2017" s="24" t="s">
        <v>693</v>
      </c>
      <c r="E2017" s="25" t="s">
        <v>10</v>
      </c>
      <c r="F2017" s="24" t="s">
        <v>5179</v>
      </c>
      <c r="G2017" s="25">
        <v>44939</v>
      </c>
      <c r="H2017" s="25" t="s">
        <v>7399</v>
      </c>
      <c r="I2017" s="264">
        <v>72438</v>
      </c>
      <c r="J2017" s="24" t="s">
        <v>7400</v>
      </c>
      <c r="K2017" s="25"/>
      <c r="L2017" s="24" t="s">
        <v>364</v>
      </c>
      <c r="M2017" s="24" t="s">
        <v>364</v>
      </c>
      <c r="N2017" s="24" t="s">
        <v>364</v>
      </c>
      <c r="O2017" s="24" t="s">
        <v>364</v>
      </c>
      <c r="P2017" s="468"/>
      <c r="Q2017" s="264"/>
      <c r="R2017" s="264"/>
      <c r="S2017" s="343"/>
      <c r="T2017" s="512" t="e">
        <f>_xlfn.XLOOKUP(H2017,#REF!,#REF!,0,0)</f>
        <v>#REF!</v>
      </c>
    </row>
    <row r="2018" spans="1:20" s="299" customFormat="1" x14ac:dyDescent="0.4">
      <c r="A2018" s="10" t="s">
        <v>7401</v>
      </c>
      <c r="B2018" s="10" t="s">
        <v>7402</v>
      </c>
      <c r="C2018" s="19" t="s">
        <v>433</v>
      </c>
      <c r="D2018" s="10" t="s">
        <v>693</v>
      </c>
      <c r="E2018" s="18" t="s">
        <v>10</v>
      </c>
      <c r="F2018" s="10" t="s">
        <v>5179</v>
      </c>
      <c r="G2018" s="18">
        <v>44939</v>
      </c>
      <c r="H2018" s="18" t="s">
        <v>7403</v>
      </c>
      <c r="I2018" s="134">
        <v>72435</v>
      </c>
      <c r="J2018" s="10" t="s">
        <v>7404</v>
      </c>
      <c r="K2018" s="18">
        <v>45000</v>
      </c>
      <c r="L2018" s="10" t="s">
        <v>364</v>
      </c>
      <c r="M2018" s="10" t="s">
        <v>364</v>
      </c>
      <c r="N2018" s="10" t="s">
        <v>364</v>
      </c>
      <c r="O2018" s="10" t="s">
        <v>364</v>
      </c>
      <c r="P2018" s="477" t="s">
        <v>7405</v>
      </c>
      <c r="Q2018" s="134"/>
      <c r="R2018" s="134"/>
      <c r="S2018" s="344"/>
      <c r="T2018" s="512" t="e">
        <f>_xlfn.XLOOKUP(H2018,#REF!,#REF!,0,0)</f>
        <v>#REF!</v>
      </c>
    </row>
    <row r="2019" spans="1:20" s="299" customFormat="1" x14ac:dyDescent="0.4">
      <c r="A2019" s="10" t="s">
        <v>7406</v>
      </c>
      <c r="B2019" s="10" t="s">
        <v>7407</v>
      </c>
      <c r="C2019" s="19" t="s">
        <v>433</v>
      </c>
      <c r="D2019" s="10" t="s">
        <v>693</v>
      </c>
      <c r="E2019" s="18" t="s">
        <v>10</v>
      </c>
      <c r="F2019" s="10" t="s">
        <v>5179</v>
      </c>
      <c r="G2019" s="18">
        <v>44939</v>
      </c>
      <c r="H2019" s="18" t="s">
        <v>7408</v>
      </c>
      <c r="I2019" s="134">
        <v>72439</v>
      </c>
      <c r="J2019" s="10" t="s">
        <v>7409</v>
      </c>
      <c r="K2019" s="18">
        <v>45000</v>
      </c>
      <c r="L2019" s="10" t="s">
        <v>364</v>
      </c>
      <c r="M2019" s="10" t="s">
        <v>364</v>
      </c>
      <c r="N2019" s="10" t="s">
        <v>364</v>
      </c>
      <c r="O2019" s="10" t="s">
        <v>364</v>
      </c>
      <c r="P2019" s="477"/>
      <c r="Q2019" s="134"/>
      <c r="R2019" s="134"/>
      <c r="S2019" s="344"/>
      <c r="T2019" s="512" t="e">
        <f>_xlfn.XLOOKUP(H2019,#REF!,#REF!,0,0)</f>
        <v>#REF!</v>
      </c>
    </row>
    <row r="2020" spans="1:20" s="299" customFormat="1" x14ac:dyDescent="0.4">
      <c r="A2020" s="10" t="s">
        <v>7410</v>
      </c>
      <c r="B2020" s="10" t="s">
        <v>7411</v>
      </c>
      <c r="C2020" s="19" t="s">
        <v>433</v>
      </c>
      <c r="D2020" s="10" t="s">
        <v>693</v>
      </c>
      <c r="E2020" s="18" t="s">
        <v>10</v>
      </c>
      <c r="F2020" s="10" t="s">
        <v>3072</v>
      </c>
      <c r="G2020" s="18">
        <v>44950</v>
      </c>
      <c r="H2020" s="18" t="s">
        <v>7412</v>
      </c>
      <c r="I2020" s="134">
        <v>72740</v>
      </c>
      <c r="J2020" s="10" t="s">
        <v>7413</v>
      </c>
      <c r="K2020" s="18">
        <v>45000</v>
      </c>
      <c r="L2020" s="10" t="s">
        <v>364</v>
      </c>
      <c r="M2020" s="10" t="s">
        <v>364</v>
      </c>
      <c r="N2020" s="10" t="s">
        <v>364</v>
      </c>
      <c r="O2020" s="10" t="s">
        <v>364</v>
      </c>
      <c r="P2020" s="477" t="s">
        <v>7414</v>
      </c>
      <c r="Q2020" s="134"/>
      <c r="R2020" s="134"/>
      <c r="S2020" s="344"/>
      <c r="T2020" s="512" t="e">
        <f>_xlfn.XLOOKUP(H2020,#REF!,#REF!,0,0)</f>
        <v>#REF!</v>
      </c>
    </row>
    <row r="2021" spans="1:20" s="507" customFormat="1" ht="18" customHeight="1" x14ac:dyDescent="0.4">
      <c r="A2021" s="24" t="s">
        <v>7415</v>
      </c>
      <c r="B2021" s="24" t="s">
        <v>7416</v>
      </c>
      <c r="C2021" s="24"/>
      <c r="D2021" s="24" t="s">
        <v>693</v>
      </c>
      <c r="E2021" s="25" t="s">
        <v>10</v>
      </c>
      <c r="F2021" s="24" t="s">
        <v>5179</v>
      </c>
      <c r="G2021" s="25">
        <v>44939</v>
      </c>
      <c r="H2021" s="25" t="s">
        <v>7417</v>
      </c>
      <c r="I2021" s="264">
        <v>72440</v>
      </c>
      <c r="J2021" s="24" t="s">
        <v>7418</v>
      </c>
      <c r="K2021" s="25">
        <v>45005</v>
      </c>
      <c r="L2021" s="24" t="s">
        <v>364</v>
      </c>
      <c r="M2021" s="24" t="s">
        <v>364</v>
      </c>
      <c r="N2021" s="24" t="s">
        <v>364</v>
      </c>
      <c r="O2021" s="24" t="s">
        <v>364</v>
      </c>
      <c r="P2021" s="468" t="s">
        <v>6493</v>
      </c>
      <c r="Q2021" s="264"/>
      <c r="R2021" s="264"/>
      <c r="S2021" s="343"/>
      <c r="T2021" s="512" t="e">
        <f>_xlfn.XLOOKUP(H2021,#REF!,#REF!,0,0)</f>
        <v>#REF!</v>
      </c>
    </row>
    <row r="2022" spans="1:20" s="507" customFormat="1" ht="18" customHeight="1" x14ac:dyDescent="0.4">
      <c r="A2022" s="24" t="s">
        <v>7419</v>
      </c>
      <c r="B2022" s="24" t="s">
        <v>7420</v>
      </c>
      <c r="C2022" s="24"/>
      <c r="D2022" s="24" t="s">
        <v>693</v>
      </c>
      <c r="E2022" s="25" t="s">
        <v>10</v>
      </c>
      <c r="F2022" s="24" t="s">
        <v>5179</v>
      </c>
      <c r="G2022" s="25">
        <v>44939</v>
      </c>
      <c r="H2022" s="25" t="s">
        <v>7421</v>
      </c>
      <c r="I2022" s="264">
        <v>72441</v>
      </c>
      <c r="J2022" s="24" t="s">
        <v>7422</v>
      </c>
      <c r="K2022" s="25">
        <v>45005</v>
      </c>
      <c r="L2022" s="24" t="s">
        <v>364</v>
      </c>
      <c r="M2022" s="24" t="s">
        <v>364</v>
      </c>
      <c r="N2022" s="24" t="s">
        <v>364</v>
      </c>
      <c r="O2022" s="24" t="s">
        <v>364</v>
      </c>
      <c r="P2022" s="468"/>
      <c r="Q2022" s="264"/>
      <c r="R2022" s="264"/>
      <c r="S2022" s="343"/>
      <c r="T2022" s="512" t="e">
        <f>_xlfn.XLOOKUP(H2022,#REF!,#REF!,0,0)</f>
        <v>#REF!</v>
      </c>
    </row>
    <row r="2023" spans="1:20" s="299" customFormat="1" x14ac:dyDescent="0.4">
      <c r="A2023" s="10" t="s">
        <v>7423</v>
      </c>
      <c r="B2023" s="10" t="s">
        <v>7424</v>
      </c>
      <c r="C2023" s="19" t="s">
        <v>433</v>
      </c>
      <c r="D2023" s="10" t="s">
        <v>693</v>
      </c>
      <c r="E2023" s="18" t="s">
        <v>10</v>
      </c>
      <c r="F2023" s="10" t="s">
        <v>3072</v>
      </c>
      <c r="G2023" s="18">
        <v>44950</v>
      </c>
      <c r="H2023" s="18" t="s">
        <v>7425</v>
      </c>
      <c r="I2023" s="134">
        <v>72742</v>
      </c>
      <c r="J2023" s="10" t="s">
        <v>7426</v>
      </c>
      <c r="K2023" s="18">
        <v>45002</v>
      </c>
      <c r="L2023" s="10" t="s">
        <v>364</v>
      </c>
      <c r="M2023" s="10" t="s">
        <v>364</v>
      </c>
      <c r="N2023" s="10" t="s">
        <v>364</v>
      </c>
      <c r="O2023" s="10" t="s">
        <v>364</v>
      </c>
      <c r="P2023" s="477"/>
      <c r="Q2023" s="134"/>
      <c r="R2023" s="134"/>
      <c r="S2023" s="344"/>
      <c r="T2023" s="512" t="e">
        <f>_xlfn.XLOOKUP(H2023,#REF!,#REF!,0,0)</f>
        <v>#REF!</v>
      </c>
    </row>
    <row r="2024" spans="1:20" s="299" customFormat="1" x14ac:dyDescent="0.4">
      <c r="A2024" s="10" t="s">
        <v>7427</v>
      </c>
      <c r="B2024" s="10" t="s">
        <v>7428</v>
      </c>
      <c r="C2024" s="19" t="s">
        <v>433</v>
      </c>
      <c r="D2024" s="10" t="s">
        <v>693</v>
      </c>
      <c r="E2024" s="18" t="s">
        <v>10</v>
      </c>
      <c r="F2024" s="10" t="s">
        <v>3072</v>
      </c>
      <c r="G2024" s="18">
        <v>44950</v>
      </c>
      <c r="H2024" s="18" t="s">
        <v>7429</v>
      </c>
      <c r="I2024" s="134">
        <v>72741</v>
      </c>
      <c r="J2024" s="10" t="s">
        <v>7430</v>
      </c>
      <c r="K2024" s="18">
        <v>45008</v>
      </c>
      <c r="L2024" s="10" t="s">
        <v>364</v>
      </c>
      <c r="M2024" s="10" t="s">
        <v>364</v>
      </c>
      <c r="N2024" s="10" t="s">
        <v>364</v>
      </c>
      <c r="O2024" s="10" t="s">
        <v>364</v>
      </c>
      <c r="P2024" s="477" t="s">
        <v>7431</v>
      </c>
      <c r="Q2024" s="134"/>
      <c r="R2024" s="134"/>
      <c r="S2024" s="344"/>
      <c r="T2024" s="512" t="e">
        <f>_xlfn.XLOOKUP(H2024,#REF!,#REF!,0,0)</f>
        <v>#REF!</v>
      </c>
    </row>
    <row r="2025" spans="1:20" s="299" customFormat="1" x14ac:dyDescent="0.4">
      <c r="A2025" s="10" t="s">
        <v>7432</v>
      </c>
      <c r="B2025" s="10" t="s">
        <v>7433</v>
      </c>
      <c r="C2025" s="19" t="s">
        <v>433</v>
      </c>
      <c r="D2025" s="10" t="s">
        <v>693</v>
      </c>
      <c r="E2025" s="18" t="s">
        <v>10</v>
      </c>
      <c r="F2025" s="10" t="s">
        <v>3072</v>
      </c>
      <c r="G2025" s="18">
        <v>44950</v>
      </c>
      <c r="H2025" s="18" t="s">
        <v>7434</v>
      </c>
      <c r="I2025" s="134">
        <v>72743</v>
      </c>
      <c r="J2025" s="10" t="s">
        <v>7435</v>
      </c>
      <c r="K2025" s="18">
        <v>45008</v>
      </c>
      <c r="L2025" s="10" t="s">
        <v>364</v>
      </c>
      <c r="M2025" s="10" t="s">
        <v>364</v>
      </c>
      <c r="N2025" s="10" t="s">
        <v>364</v>
      </c>
      <c r="O2025" s="10" t="s">
        <v>364</v>
      </c>
      <c r="P2025" s="477" t="s">
        <v>6379</v>
      </c>
      <c r="Q2025" s="134"/>
      <c r="R2025" s="134"/>
      <c r="S2025" s="344"/>
      <c r="T2025" s="512" t="e">
        <f>_xlfn.XLOOKUP(H2025,#REF!,#REF!,0,0)</f>
        <v>#REF!</v>
      </c>
    </row>
    <row r="2026" spans="1:20" s="299" customFormat="1" x14ac:dyDescent="0.4">
      <c r="A2026" s="10" t="s">
        <v>7436</v>
      </c>
      <c r="B2026" s="10" t="s">
        <v>7437</v>
      </c>
      <c r="C2026" s="19" t="s">
        <v>433</v>
      </c>
      <c r="D2026" s="10" t="s">
        <v>3778</v>
      </c>
      <c r="E2026" s="18" t="s">
        <v>10</v>
      </c>
      <c r="F2026" s="10" t="s">
        <v>3072</v>
      </c>
      <c r="G2026" s="18">
        <v>44820</v>
      </c>
      <c r="H2026" s="18" t="s">
        <v>7438</v>
      </c>
      <c r="I2026" s="134">
        <v>72479</v>
      </c>
      <c r="J2026" s="10" t="s">
        <v>7439</v>
      </c>
      <c r="K2026" s="18" t="s">
        <v>7325</v>
      </c>
      <c r="L2026" s="10" t="s">
        <v>7332</v>
      </c>
      <c r="M2026" s="10" t="s">
        <v>7332</v>
      </c>
      <c r="N2026" s="10" t="s">
        <v>7332</v>
      </c>
      <c r="O2026" s="10" t="s">
        <v>7332</v>
      </c>
      <c r="P2026" s="477" t="s">
        <v>7440</v>
      </c>
      <c r="Q2026" s="134"/>
      <c r="R2026" s="134"/>
      <c r="S2026" s="344"/>
      <c r="T2026" s="512" t="e">
        <f>_xlfn.XLOOKUP(H2026,#REF!,#REF!,0,0)</f>
        <v>#REF!</v>
      </c>
    </row>
    <row r="2027" spans="1:20" s="299" customFormat="1" x14ac:dyDescent="0.4">
      <c r="A2027" s="10" t="s">
        <v>7441</v>
      </c>
      <c r="B2027" s="10" t="s">
        <v>7442</v>
      </c>
      <c r="C2027" s="19" t="s">
        <v>433</v>
      </c>
      <c r="D2027" s="10" t="s">
        <v>693</v>
      </c>
      <c r="E2027" s="18" t="s">
        <v>10</v>
      </c>
      <c r="F2027" s="10" t="s">
        <v>3072</v>
      </c>
      <c r="G2027" s="18">
        <v>44950</v>
      </c>
      <c r="H2027" s="18" t="s">
        <v>7443</v>
      </c>
      <c r="I2027" s="134">
        <v>72739</v>
      </c>
      <c r="J2027" s="10" t="s">
        <v>7444</v>
      </c>
      <c r="K2027" s="18">
        <v>45012</v>
      </c>
      <c r="L2027" s="10" t="s">
        <v>364</v>
      </c>
      <c r="M2027" s="10" t="s">
        <v>364</v>
      </c>
      <c r="N2027" s="10" t="s">
        <v>364</v>
      </c>
      <c r="O2027" s="10" t="s">
        <v>364</v>
      </c>
      <c r="P2027" s="477" t="s">
        <v>7445</v>
      </c>
      <c r="Q2027" s="134"/>
      <c r="R2027" s="134"/>
      <c r="S2027" s="344"/>
      <c r="T2027" s="512" t="e">
        <f>_xlfn.XLOOKUP(H2027,#REF!,#REF!,0,0)</f>
        <v>#REF!</v>
      </c>
    </row>
    <row r="2028" spans="1:20" s="299" customFormat="1" x14ac:dyDescent="0.4">
      <c r="A2028" s="10" t="s">
        <v>7446</v>
      </c>
      <c r="B2028" s="10" t="s">
        <v>7447</v>
      </c>
      <c r="C2028" s="19" t="s">
        <v>433</v>
      </c>
      <c r="D2028" s="10" t="s">
        <v>693</v>
      </c>
      <c r="E2028" s="18" t="s">
        <v>10</v>
      </c>
      <c r="F2028" s="10">
        <v>840</v>
      </c>
      <c r="G2028" s="18"/>
      <c r="H2028" s="18" t="s">
        <v>5485</v>
      </c>
      <c r="I2028" s="134">
        <v>70722</v>
      </c>
      <c r="J2028" s="10"/>
      <c r="K2028" s="18">
        <v>45013</v>
      </c>
      <c r="L2028" s="10" t="s">
        <v>570</v>
      </c>
      <c r="M2028" s="10" t="s">
        <v>570</v>
      </c>
      <c r="N2028" s="10" t="s">
        <v>570</v>
      </c>
      <c r="O2028" s="10" t="s">
        <v>570</v>
      </c>
      <c r="P2028" s="477" t="s">
        <v>523</v>
      </c>
      <c r="Q2028" s="134"/>
      <c r="R2028" s="134"/>
      <c r="S2028" s="344"/>
      <c r="T2028" s="512" t="e">
        <f>_xlfn.XLOOKUP(H2028,#REF!,#REF!,0,0)</f>
        <v>#REF!</v>
      </c>
    </row>
    <row r="2029" spans="1:20" s="299" customFormat="1" x14ac:dyDescent="0.4">
      <c r="A2029" s="10" t="s">
        <v>7448</v>
      </c>
      <c r="B2029" s="10" t="s">
        <v>7449</v>
      </c>
      <c r="C2029" s="19" t="s">
        <v>433</v>
      </c>
      <c r="D2029" s="10" t="s">
        <v>693</v>
      </c>
      <c r="E2029" s="18" t="s">
        <v>10</v>
      </c>
      <c r="F2029" s="10" t="s">
        <v>5179</v>
      </c>
      <c r="G2029" s="18">
        <v>44939</v>
      </c>
      <c r="H2029" s="18" t="s">
        <v>7450</v>
      </c>
      <c r="I2029" s="134">
        <v>72447</v>
      </c>
      <c r="J2029" s="10" t="s">
        <v>7451</v>
      </c>
      <c r="K2029" s="18">
        <v>45013</v>
      </c>
      <c r="L2029" s="10" t="s">
        <v>364</v>
      </c>
      <c r="M2029" s="10" t="s">
        <v>364</v>
      </c>
      <c r="N2029" s="10" t="s">
        <v>364</v>
      </c>
      <c r="O2029" s="10" t="s">
        <v>364</v>
      </c>
      <c r="P2029" s="477"/>
      <c r="Q2029" s="134"/>
      <c r="R2029" s="134"/>
      <c r="S2029" s="344"/>
      <c r="T2029" s="512" t="e">
        <f>_xlfn.XLOOKUP(H2029,#REF!,#REF!,0,0)</f>
        <v>#REF!</v>
      </c>
    </row>
    <row r="2030" spans="1:20" s="299" customFormat="1" x14ac:dyDescent="0.4">
      <c r="A2030" s="10" t="s">
        <v>7452</v>
      </c>
      <c r="B2030" s="10" t="s">
        <v>7453</v>
      </c>
      <c r="C2030" s="19" t="s">
        <v>433</v>
      </c>
      <c r="D2030" s="10" t="s">
        <v>693</v>
      </c>
      <c r="E2030" s="18" t="s">
        <v>10</v>
      </c>
      <c r="F2030" s="10" t="s">
        <v>5179</v>
      </c>
      <c r="G2030" s="18">
        <v>44939</v>
      </c>
      <c r="H2030" s="18" t="s">
        <v>7454</v>
      </c>
      <c r="I2030" s="134">
        <v>72448</v>
      </c>
      <c r="J2030" s="10" t="s">
        <v>7455</v>
      </c>
      <c r="K2030" s="18"/>
      <c r="L2030" s="10" t="s">
        <v>364</v>
      </c>
      <c r="M2030" s="10" t="s">
        <v>364</v>
      </c>
      <c r="N2030" s="10" t="s">
        <v>364</v>
      </c>
      <c r="O2030" s="10" t="s">
        <v>364</v>
      </c>
      <c r="P2030" s="477"/>
      <c r="Q2030" s="134"/>
      <c r="R2030" s="134"/>
      <c r="S2030" s="344"/>
      <c r="T2030" s="512" t="e">
        <f>_xlfn.XLOOKUP(H2030,#REF!,#REF!,0,0)</f>
        <v>#REF!</v>
      </c>
    </row>
    <row r="2031" spans="1:20" s="299" customFormat="1" x14ac:dyDescent="0.4">
      <c r="A2031" s="10" t="s">
        <v>7456</v>
      </c>
      <c r="B2031" s="10" t="s">
        <v>7457</v>
      </c>
      <c r="C2031" s="19" t="s">
        <v>433</v>
      </c>
      <c r="D2031" s="10" t="s">
        <v>693</v>
      </c>
      <c r="E2031" s="18" t="s">
        <v>10</v>
      </c>
      <c r="F2031" s="10" t="s">
        <v>5179</v>
      </c>
      <c r="G2031" s="18">
        <v>44939</v>
      </c>
      <c r="H2031" s="18" t="s">
        <v>7458</v>
      </c>
      <c r="I2031" s="134">
        <v>72445</v>
      </c>
      <c r="J2031" s="10" t="s">
        <v>7459</v>
      </c>
      <c r="K2031" s="18">
        <v>45045</v>
      </c>
      <c r="L2031" s="10" t="s">
        <v>364</v>
      </c>
      <c r="M2031" s="10" t="s">
        <v>364</v>
      </c>
      <c r="N2031" s="10" t="s">
        <v>364</v>
      </c>
      <c r="O2031" s="10" t="s">
        <v>364</v>
      </c>
      <c r="P2031" s="477"/>
      <c r="Q2031" s="134"/>
      <c r="R2031" s="134"/>
      <c r="S2031" s="344"/>
      <c r="T2031" s="512" t="e">
        <f>_xlfn.XLOOKUP(H2031,#REF!,#REF!,0,0)</f>
        <v>#REF!</v>
      </c>
    </row>
    <row r="2032" spans="1:20" s="507" customFormat="1" ht="18" customHeight="1" x14ac:dyDescent="0.4">
      <c r="A2032" s="24" t="s">
        <v>7460</v>
      </c>
      <c r="B2032" s="24" t="s">
        <v>7461</v>
      </c>
      <c r="C2032" s="24"/>
      <c r="D2032" s="24" t="s">
        <v>693</v>
      </c>
      <c r="E2032" s="25" t="s">
        <v>10</v>
      </c>
      <c r="F2032" s="24" t="s">
        <v>5179</v>
      </c>
      <c r="G2032" s="25">
        <v>44939</v>
      </c>
      <c r="H2032" s="25" t="s">
        <v>7462</v>
      </c>
      <c r="I2032" s="264">
        <v>72446</v>
      </c>
      <c r="J2032" s="24" t="s">
        <v>7463</v>
      </c>
      <c r="K2032" s="25">
        <v>45019</v>
      </c>
      <c r="L2032" s="24" t="s">
        <v>364</v>
      </c>
      <c r="M2032" s="24" t="s">
        <v>364</v>
      </c>
      <c r="N2032" s="24" t="s">
        <v>364</v>
      </c>
      <c r="O2032" s="24" t="s">
        <v>364</v>
      </c>
      <c r="P2032" s="468" t="s">
        <v>7464</v>
      </c>
      <c r="Q2032" s="264"/>
      <c r="R2032" s="264"/>
      <c r="S2032" s="343"/>
      <c r="T2032" s="512" t="e">
        <f>_xlfn.XLOOKUP(H2032,#REF!,#REF!,0,0)</f>
        <v>#REF!</v>
      </c>
    </row>
    <row r="2033" spans="1:20" s="299" customFormat="1" x14ac:dyDescent="0.4">
      <c r="A2033" s="10" t="s">
        <v>7465</v>
      </c>
      <c r="B2033" s="10" t="s">
        <v>7466</v>
      </c>
      <c r="C2033" s="19" t="s">
        <v>433</v>
      </c>
      <c r="D2033" s="10" t="s">
        <v>693</v>
      </c>
      <c r="E2033" s="18" t="s">
        <v>10</v>
      </c>
      <c r="F2033" s="10" t="s">
        <v>5179</v>
      </c>
      <c r="G2033" s="18">
        <v>44939</v>
      </c>
      <c r="H2033" s="18" t="s">
        <v>7467</v>
      </c>
      <c r="I2033" s="134">
        <v>72449</v>
      </c>
      <c r="J2033" s="10" t="s">
        <v>7468</v>
      </c>
      <c r="K2033" s="18">
        <v>45019</v>
      </c>
      <c r="L2033" s="10" t="s">
        <v>364</v>
      </c>
      <c r="M2033" s="10" t="s">
        <v>364</v>
      </c>
      <c r="N2033" s="10" t="s">
        <v>364</v>
      </c>
      <c r="O2033" s="10" t="s">
        <v>364</v>
      </c>
      <c r="P2033" s="477" t="s">
        <v>7469</v>
      </c>
      <c r="Q2033" s="134"/>
      <c r="R2033" s="134"/>
      <c r="S2033" s="344"/>
      <c r="T2033" s="512" t="e">
        <f>_xlfn.XLOOKUP(H2033,#REF!,#REF!,0,0)</f>
        <v>#REF!</v>
      </c>
    </row>
    <row r="2034" spans="1:20" s="507" customFormat="1" ht="18" customHeight="1" x14ac:dyDescent="0.4">
      <c r="A2034" s="24" t="s">
        <v>7470</v>
      </c>
      <c r="B2034" s="24" t="s">
        <v>7471</v>
      </c>
      <c r="C2034" s="24"/>
      <c r="D2034" s="24" t="s">
        <v>693</v>
      </c>
      <c r="E2034" s="25" t="s">
        <v>10</v>
      </c>
      <c r="F2034" s="24" t="s">
        <v>5179</v>
      </c>
      <c r="G2034" s="25">
        <v>44939</v>
      </c>
      <c r="H2034" s="25" t="s">
        <v>7472</v>
      </c>
      <c r="I2034" s="264">
        <v>72443</v>
      </c>
      <c r="J2034" s="24" t="s">
        <v>7473</v>
      </c>
      <c r="K2034" s="25">
        <v>45019</v>
      </c>
      <c r="L2034" s="24" t="s">
        <v>364</v>
      </c>
      <c r="M2034" s="24" t="s">
        <v>364</v>
      </c>
      <c r="N2034" s="24" t="s">
        <v>364</v>
      </c>
      <c r="O2034" s="24" t="s">
        <v>364</v>
      </c>
      <c r="P2034" s="468" t="s">
        <v>523</v>
      </c>
      <c r="Q2034" s="264"/>
      <c r="R2034" s="264"/>
      <c r="S2034" s="343"/>
      <c r="T2034" s="512" t="e">
        <f>_xlfn.XLOOKUP(H2034,#REF!,#REF!,0,0)</f>
        <v>#REF!</v>
      </c>
    </row>
    <row r="2035" spans="1:20" s="507" customFormat="1" ht="18" customHeight="1" x14ac:dyDescent="0.4">
      <c r="A2035" s="24" t="s">
        <v>7474</v>
      </c>
      <c r="B2035" s="24" t="s">
        <v>7475</v>
      </c>
      <c r="C2035" s="24"/>
      <c r="D2035" s="24" t="s">
        <v>693</v>
      </c>
      <c r="E2035" s="25" t="s">
        <v>10</v>
      </c>
      <c r="F2035" s="24" t="s">
        <v>5179</v>
      </c>
      <c r="G2035" s="25">
        <v>44939</v>
      </c>
      <c r="H2035" s="25" t="s">
        <v>7476</v>
      </c>
      <c r="I2035" s="264">
        <v>72444</v>
      </c>
      <c r="J2035" s="24" t="s">
        <v>7477</v>
      </c>
      <c r="K2035" s="25">
        <v>45019</v>
      </c>
      <c r="L2035" s="24" t="s">
        <v>364</v>
      </c>
      <c r="M2035" s="24" t="s">
        <v>364</v>
      </c>
      <c r="N2035" s="24" t="s">
        <v>364</v>
      </c>
      <c r="O2035" s="24" t="s">
        <v>364</v>
      </c>
      <c r="P2035" s="468"/>
      <c r="Q2035" s="264"/>
      <c r="R2035" s="264"/>
      <c r="S2035" s="343"/>
      <c r="T2035" s="512" t="e">
        <f>_xlfn.XLOOKUP(H2035,#REF!,#REF!,0,0)</f>
        <v>#REF!</v>
      </c>
    </row>
    <row r="2036" spans="1:20" s="507" customFormat="1" ht="18" customHeight="1" x14ac:dyDescent="0.4">
      <c r="A2036" s="24" t="s">
        <v>7478</v>
      </c>
      <c r="B2036" s="24" t="s">
        <v>7479</v>
      </c>
      <c r="C2036" s="24"/>
      <c r="D2036" s="24" t="s">
        <v>693</v>
      </c>
      <c r="E2036" s="25" t="s">
        <v>10</v>
      </c>
      <c r="F2036" s="24" t="s">
        <v>3072</v>
      </c>
      <c r="G2036" s="25">
        <v>44950</v>
      </c>
      <c r="H2036" s="25" t="s">
        <v>7480</v>
      </c>
      <c r="I2036" s="264">
        <v>72746</v>
      </c>
      <c r="J2036" s="24" t="s">
        <v>7481</v>
      </c>
      <c r="K2036" s="25"/>
      <c r="L2036" s="24" t="s">
        <v>364</v>
      </c>
      <c r="M2036" s="24" t="s">
        <v>364</v>
      </c>
      <c r="N2036" s="24" t="s">
        <v>364</v>
      </c>
      <c r="O2036" s="24" t="s">
        <v>364</v>
      </c>
      <c r="P2036" s="468" t="s">
        <v>7482</v>
      </c>
      <c r="Q2036" s="264"/>
      <c r="R2036" s="264"/>
      <c r="S2036" s="343"/>
      <c r="T2036" s="512" t="e">
        <f>_xlfn.XLOOKUP(H2036,#REF!,#REF!,0,0)</f>
        <v>#REF!</v>
      </c>
    </row>
    <row r="2037" spans="1:20" s="507" customFormat="1" ht="18" customHeight="1" x14ac:dyDescent="0.4">
      <c r="A2037" s="24" t="s">
        <v>7483</v>
      </c>
      <c r="B2037" s="24" t="s">
        <v>7484</v>
      </c>
      <c r="C2037" s="24"/>
      <c r="D2037" s="24" t="s">
        <v>693</v>
      </c>
      <c r="E2037" s="25" t="s">
        <v>10</v>
      </c>
      <c r="F2037" s="24" t="s">
        <v>5179</v>
      </c>
      <c r="G2037" s="25">
        <v>44939</v>
      </c>
      <c r="H2037" s="25" t="s">
        <v>7485</v>
      </c>
      <c r="I2037" s="264">
        <v>72778</v>
      </c>
      <c r="J2037" s="24" t="s">
        <v>7486</v>
      </c>
      <c r="K2037" s="25">
        <v>45019</v>
      </c>
      <c r="L2037" s="24" t="s">
        <v>364</v>
      </c>
      <c r="M2037" s="24" t="s">
        <v>364</v>
      </c>
      <c r="N2037" s="24" t="s">
        <v>364</v>
      </c>
      <c r="O2037" s="24" t="s">
        <v>364</v>
      </c>
      <c r="P2037" s="468" t="s">
        <v>7487</v>
      </c>
      <c r="Q2037" s="264"/>
      <c r="R2037" s="264"/>
      <c r="S2037" s="343"/>
      <c r="T2037" s="512" t="e">
        <f>_xlfn.XLOOKUP(H2037,#REF!,#REF!,0,0)</f>
        <v>#REF!</v>
      </c>
    </row>
    <row r="2038" spans="1:20" s="295" customFormat="1" ht="18" customHeight="1" x14ac:dyDescent="0.4">
      <c r="A2038" s="5" t="s">
        <v>7488</v>
      </c>
      <c r="B2038" s="5" t="s">
        <v>7489</v>
      </c>
      <c r="C2038" s="5"/>
      <c r="D2038" s="5" t="s">
        <v>693</v>
      </c>
      <c r="E2038" s="4" t="s">
        <v>10</v>
      </c>
      <c r="F2038" s="5" t="s">
        <v>6484</v>
      </c>
      <c r="G2038" s="4"/>
      <c r="H2038" s="4" t="s">
        <v>241</v>
      </c>
      <c r="I2038" s="3">
        <v>69741</v>
      </c>
      <c r="J2038" s="5"/>
      <c r="K2038" s="4">
        <v>45019</v>
      </c>
      <c r="L2038" s="5" t="s">
        <v>364</v>
      </c>
      <c r="M2038" s="5" t="s">
        <v>364</v>
      </c>
      <c r="N2038" s="5" t="s">
        <v>364</v>
      </c>
      <c r="O2038" s="5" t="s">
        <v>364</v>
      </c>
      <c r="P2038" s="474" t="s">
        <v>7490</v>
      </c>
      <c r="Q2038" s="3"/>
      <c r="R2038" s="3"/>
      <c r="S2038" s="1"/>
      <c r="T2038" s="512" t="e">
        <f>_xlfn.XLOOKUP(H2038,#REF!,#REF!,0,0)</f>
        <v>#REF!</v>
      </c>
    </row>
    <row r="2039" spans="1:20" s="299" customFormat="1" x14ac:dyDescent="0.4">
      <c r="A2039" s="10" t="s">
        <v>7491</v>
      </c>
      <c r="B2039" s="10" t="s">
        <v>7492</v>
      </c>
      <c r="C2039" s="19" t="s">
        <v>433</v>
      </c>
      <c r="D2039" s="10" t="s">
        <v>693</v>
      </c>
      <c r="E2039" s="18" t="s">
        <v>10</v>
      </c>
      <c r="F2039" s="10" t="s">
        <v>5179</v>
      </c>
      <c r="G2039" s="18">
        <v>44939</v>
      </c>
      <c r="H2039" s="18" t="s">
        <v>7493</v>
      </c>
      <c r="I2039" s="134">
        <v>72442</v>
      </c>
      <c r="J2039" s="10" t="s">
        <v>7426</v>
      </c>
      <c r="K2039" s="18">
        <v>45021</v>
      </c>
      <c r="L2039" s="10" t="s">
        <v>364</v>
      </c>
      <c r="M2039" s="10" t="s">
        <v>364</v>
      </c>
      <c r="N2039" s="10" t="s">
        <v>364</v>
      </c>
      <c r="O2039" s="10" t="s">
        <v>364</v>
      </c>
      <c r="P2039" s="477" t="s">
        <v>7494</v>
      </c>
      <c r="Q2039" s="134"/>
      <c r="R2039" s="134"/>
      <c r="S2039" s="344"/>
      <c r="T2039" s="512" t="e">
        <f>_xlfn.XLOOKUP(H2039,#REF!,#REF!,0,0)</f>
        <v>#REF!</v>
      </c>
    </row>
    <row r="2040" spans="1:20" s="299" customFormat="1" x14ac:dyDescent="0.4">
      <c r="A2040" s="10" t="s">
        <v>7495</v>
      </c>
      <c r="B2040" s="10" t="s">
        <v>7496</v>
      </c>
      <c r="C2040" s="19" t="s">
        <v>433</v>
      </c>
      <c r="D2040" s="10" t="s">
        <v>693</v>
      </c>
      <c r="E2040" s="18" t="s">
        <v>10</v>
      </c>
      <c r="F2040" s="10" t="s">
        <v>3072</v>
      </c>
      <c r="G2040" s="18">
        <v>44950</v>
      </c>
      <c r="H2040" s="18" t="s">
        <v>7497</v>
      </c>
      <c r="I2040" s="134">
        <v>72744</v>
      </c>
      <c r="J2040" s="10" t="s">
        <v>7498</v>
      </c>
      <c r="K2040" s="18">
        <v>45021</v>
      </c>
      <c r="L2040" s="10" t="s">
        <v>364</v>
      </c>
      <c r="M2040" s="10" t="s">
        <v>364</v>
      </c>
      <c r="N2040" s="10" t="s">
        <v>364</v>
      </c>
      <c r="O2040" s="10" t="s">
        <v>364</v>
      </c>
      <c r="P2040" s="477" t="s">
        <v>7499</v>
      </c>
      <c r="Q2040" s="134"/>
      <c r="R2040" s="134"/>
      <c r="S2040" s="344"/>
      <c r="T2040" s="512" t="e">
        <f>_xlfn.XLOOKUP(H2040,#REF!,#REF!,0,0)</f>
        <v>#REF!</v>
      </c>
    </row>
    <row r="2041" spans="1:20" s="507" customFormat="1" ht="18" customHeight="1" x14ac:dyDescent="0.4">
      <c r="A2041" s="24" t="s">
        <v>7500</v>
      </c>
      <c r="B2041" s="24" t="s">
        <v>7501</v>
      </c>
      <c r="C2041" s="24"/>
      <c r="D2041" s="24" t="s">
        <v>693</v>
      </c>
      <c r="E2041" s="25" t="s">
        <v>10</v>
      </c>
      <c r="F2041" s="24" t="s">
        <v>3072</v>
      </c>
      <c r="G2041" s="25">
        <v>44950</v>
      </c>
      <c r="H2041" s="25" t="s">
        <v>7502</v>
      </c>
      <c r="I2041" s="264">
        <v>72747</v>
      </c>
      <c r="J2041" s="24" t="s">
        <v>7503</v>
      </c>
      <c r="K2041" s="25">
        <v>45027</v>
      </c>
      <c r="L2041" s="24" t="s">
        <v>364</v>
      </c>
      <c r="M2041" s="24" t="s">
        <v>364</v>
      </c>
      <c r="N2041" s="24" t="s">
        <v>364</v>
      </c>
      <c r="O2041" s="24" t="s">
        <v>364</v>
      </c>
      <c r="P2041" s="468" t="s">
        <v>6651</v>
      </c>
      <c r="Q2041" s="264"/>
      <c r="R2041" s="264"/>
      <c r="S2041" s="343"/>
      <c r="T2041" s="512" t="e">
        <f>_xlfn.XLOOKUP(H2041,#REF!,#REF!,0,0)</f>
        <v>#REF!</v>
      </c>
    </row>
    <row r="2042" spans="1:20" s="505" customFormat="1" x14ac:dyDescent="0.4">
      <c r="A2042" s="214" t="s">
        <v>7504</v>
      </c>
      <c r="B2042" s="214" t="s">
        <v>7505</v>
      </c>
      <c r="C2042" s="214"/>
      <c r="D2042" s="214" t="s">
        <v>693</v>
      </c>
      <c r="E2042" s="215" t="s">
        <v>10</v>
      </c>
      <c r="F2042" s="214" t="s">
        <v>6484</v>
      </c>
      <c r="G2042" s="215"/>
      <c r="H2042" s="215" t="s">
        <v>7230</v>
      </c>
      <c r="I2042" s="354">
        <v>72481</v>
      </c>
      <c r="J2042" s="214"/>
      <c r="K2042" s="215">
        <v>45027</v>
      </c>
      <c r="L2042" s="214" t="s">
        <v>364</v>
      </c>
      <c r="M2042" s="214" t="s">
        <v>364</v>
      </c>
      <c r="N2042" s="214" t="s">
        <v>364</v>
      </c>
      <c r="O2042" s="214" t="s">
        <v>364</v>
      </c>
      <c r="P2042" s="478" t="s">
        <v>7506</v>
      </c>
      <c r="Q2042" s="354"/>
      <c r="R2042" s="354"/>
      <c r="S2042" s="346"/>
      <c r="T2042" s="512" t="e">
        <f>_xlfn.XLOOKUP(H2042,#REF!,#REF!,0,0)</f>
        <v>#REF!</v>
      </c>
    </row>
    <row r="2043" spans="1:20" s="505" customFormat="1" x14ac:dyDescent="0.4">
      <c r="A2043" s="214" t="s">
        <v>7507</v>
      </c>
      <c r="B2043" s="214" t="s">
        <v>7508</v>
      </c>
      <c r="C2043" s="214"/>
      <c r="D2043" s="214" t="s">
        <v>693</v>
      </c>
      <c r="E2043" s="215" t="s">
        <v>10</v>
      </c>
      <c r="F2043" s="214">
        <v>840</v>
      </c>
      <c r="G2043" s="215"/>
      <c r="H2043" s="215" t="s">
        <v>7071</v>
      </c>
      <c r="I2043" s="354">
        <v>71563</v>
      </c>
      <c r="J2043" s="214"/>
      <c r="K2043" s="215">
        <v>45027</v>
      </c>
      <c r="L2043" s="214" t="s">
        <v>364</v>
      </c>
      <c r="M2043" s="214" t="s">
        <v>364</v>
      </c>
      <c r="N2043" s="214" t="s">
        <v>364</v>
      </c>
      <c r="O2043" s="214" t="s">
        <v>364</v>
      </c>
      <c r="P2043" s="478"/>
      <c r="Q2043" s="354"/>
      <c r="R2043" s="354"/>
      <c r="S2043" s="346"/>
      <c r="T2043" s="512" t="e">
        <f>_xlfn.XLOOKUP(H2043,#REF!,#REF!,0,0)</f>
        <v>#REF!</v>
      </c>
    </row>
    <row r="2044" spans="1:20" s="299" customFormat="1" x14ac:dyDescent="0.4">
      <c r="A2044" s="10" t="s">
        <v>7509</v>
      </c>
      <c r="B2044" s="10" t="s">
        <v>7510</v>
      </c>
      <c r="C2044" s="19" t="s">
        <v>433</v>
      </c>
      <c r="D2044" s="10" t="s">
        <v>3778</v>
      </c>
      <c r="E2044" s="18" t="s">
        <v>10</v>
      </c>
      <c r="F2044" s="10" t="s">
        <v>5179</v>
      </c>
      <c r="G2044" s="18">
        <v>44939</v>
      </c>
      <c r="H2044" s="18" t="s">
        <v>7511</v>
      </c>
      <c r="I2044" s="134">
        <v>72782</v>
      </c>
      <c r="J2044" s="10" t="s">
        <v>7512</v>
      </c>
      <c r="K2044" s="18" t="s">
        <v>364</v>
      </c>
      <c r="L2044" s="10" t="s">
        <v>364</v>
      </c>
      <c r="M2044" s="10" t="s">
        <v>364</v>
      </c>
      <c r="N2044" s="10" t="s">
        <v>364</v>
      </c>
      <c r="O2044" s="10" t="s">
        <v>364</v>
      </c>
      <c r="P2044" s="477" t="s">
        <v>7513</v>
      </c>
      <c r="Q2044" s="134"/>
      <c r="R2044" s="134"/>
      <c r="S2044" s="344"/>
      <c r="T2044" s="512" t="e">
        <f>_xlfn.XLOOKUP(H2044,#REF!,#REF!,0,0)</f>
        <v>#REF!</v>
      </c>
    </row>
    <row r="2045" spans="1:20" s="507" customFormat="1" ht="18" customHeight="1" x14ac:dyDescent="0.4">
      <c r="A2045" s="24" t="s">
        <v>7514</v>
      </c>
      <c r="B2045" s="24" t="s">
        <v>7515</v>
      </c>
      <c r="C2045" s="24"/>
      <c r="D2045" s="24" t="s">
        <v>693</v>
      </c>
      <c r="E2045" s="25" t="s">
        <v>10</v>
      </c>
      <c r="F2045" s="24" t="s">
        <v>5179</v>
      </c>
      <c r="G2045" s="25">
        <v>44939</v>
      </c>
      <c r="H2045" s="25" t="s">
        <v>7516</v>
      </c>
      <c r="I2045" s="264">
        <v>72777</v>
      </c>
      <c r="J2045" s="24" t="s">
        <v>7517</v>
      </c>
      <c r="K2045" s="25">
        <v>45019</v>
      </c>
      <c r="L2045" s="24" t="s">
        <v>364</v>
      </c>
      <c r="M2045" s="24" t="s">
        <v>364</v>
      </c>
      <c r="N2045" s="24" t="s">
        <v>364</v>
      </c>
      <c r="O2045" s="24" t="s">
        <v>364</v>
      </c>
      <c r="P2045" s="468" t="s">
        <v>7518</v>
      </c>
      <c r="Q2045" s="264"/>
      <c r="R2045" s="264"/>
      <c r="S2045" s="343"/>
      <c r="T2045" s="512" t="e">
        <f>_xlfn.XLOOKUP(H2045,#REF!,#REF!,0,0)</f>
        <v>#REF!</v>
      </c>
    </row>
    <row r="2046" spans="1:20" s="507" customFormat="1" ht="18" customHeight="1" x14ac:dyDescent="0.4">
      <c r="A2046" s="24" t="s">
        <v>7519</v>
      </c>
      <c r="B2046" s="24" t="s">
        <v>7520</v>
      </c>
      <c r="C2046" s="24"/>
      <c r="D2046" s="24" t="s">
        <v>693</v>
      </c>
      <c r="E2046" s="25" t="s">
        <v>10</v>
      </c>
      <c r="F2046" s="24" t="s">
        <v>3072</v>
      </c>
      <c r="G2046" s="25">
        <v>44950</v>
      </c>
      <c r="H2046" s="25" t="s">
        <v>7521</v>
      </c>
      <c r="I2046" s="264">
        <v>72745</v>
      </c>
      <c r="J2046" s="24" t="s">
        <v>7522</v>
      </c>
      <c r="K2046" s="25">
        <v>45027</v>
      </c>
      <c r="L2046" s="24" t="s">
        <v>364</v>
      </c>
      <c r="M2046" s="24" t="s">
        <v>364</v>
      </c>
      <c r="N2046" s="24" t="s">
        <v>364</v>
      </c>
      <c r="O2046" s="24" t="s">
        <v>364</v>
      </c>
      <c r="P2046" s="468" t="s">
        <v>7523</v>
      </c>
      <c r="Q2046" s="264"/>
      <c r="R2046" s="264"/>
      <c r="S2046" s="343"/>
      <c r="T2046" s="512" t="e">
        <f>_xlfn.XLOOKUP(H2046,#REF!,#REF!,0,0)</f>
        <v>#REF!</v>
      </c>
    </row>
    <row r="2047" spans="1:20" s="295" customFormat="1" ht="18" customHeight="1" x14ac:dyDescent="0.4">
      <c r="A2047" s="5" t="s">
        <v>7524</v>
      </c>
      <c r="B2047" s="5" t="s">
        <v>7525</v>
      </c>
      <c r="C2047" s="5"/>
      <c r="D2047" s="5" t="s">
        <v>693</v>
      </c>
      <c r="E2047" s="4" t="s">
        <v>10</v>
      </c>
      <c r="F2047" s="5" t="s">
        <v>6484</v>
      </c>
      <c r="G2047" s="4"/>
      <c r="H2047" s="4" t="s">
        <v>175</v>
      </c>
      <c r="I2047" s="3"/>
      <c r="J2047" s="5"/>
      <c r="K2047" s="4">
        <v>45033</v>
      </c>
      <c r="L2047" s="5" t="s">
        <v>364</v>
      </c>
      <c r="M2047" s="5" t="s">
        <v>364</v>
      </c>
      <c r="N2047" s="5" t="s">
        <v>364</v>
      </c>
      <c r="O2047" s="5" t="s">
        <v>364</v>
      </c>
      <c r="P2047" s="474" t="s">
        <v>7526</v>
      </c>
      <c r="Q2047" s="3"/>
      <c r="R2047" s="3"/>
      <c r="S2047" s="1"/>
      <c r="T2047" s="512" t="e">
        <f>_xlfn.XLOOKUP(H2047,#REF!,#REF!,0,0)</f>
        <v>#REF!</v>
      </c>
    </row>
    <row r="2048" spans="1:20" s="295" customFormat="1" ht="18" customHeight="1" x14ac:dyDescent="0.4">
      <c r="A2048" s="5" t="s">
        <v>7527</v>
      </c>
      <c r="B2048" s="5" t="s">
        <v>7528</v>
      </c>
      <c r="C2048" s="5"/>
      <c r="D2048" s="5" t="s">
        <v>693</v>
      </c>
      <c r="E2048" s="4" t="s">
        <v>10</v>
      </c>
      <c r="F2048" s="5">
        <v>840</v>
      </c>
      <c r="G2048" s="4"/>
      <c r="H2048" s="4" t="s">
        <v>7529</v>
      </c>
      <c r="I2048" s="3"/>
      <c r="J2048" s="5"/>
      <c r="K2048" s="4">
        <v>45033</v>
      </c>
      <c r="L2048" s="5" t="s">
        <v>364</v>
      </c>
      <c r="M2048" s="5" t="s">
        <v>364</v>
      </c>
      <c r="N2048" s="5" t="s">
        <v>364</v>
      </c>
      <c r="O2048" s="5" t="s">
        <v>364</v>
      </c>
      <c r="P2048" s="474" t="s">
        <v>7530</v>
      </c>
      <c r="Q2048" s="3"/>
      <c r="R2048" s="3"/>
      <c r="S2048" s="1"/>
      <c r="T2048" s="512" t="e">
        <f>_xlfn.XLOOKUP(H2048,#REF!,#REF!,0,0)</f>
        <v>#REF!</v>
      </c>
    </row>
    <row r="2049" spans="1:20" s="295" customFormat="1" ht="18" customHeight="1" x14ac:dyDescent="0.4">
      <c r="A2049" s="5" t="s">
        <v>7531</v>
      </c>
      <c r="B2049" s="5" t="s">
        <v>7532</v>
      </c>
      <c r="C2049" s="5"/>
      <c r="D2049" s="5" t="s">
        <v>693</v>
      </c>
      <c r="E2049" s="4" t="s">
        <v>10</v>
      </c>
      <c r="F2049" s="5" t="s">
        <v>6484</v>
      </c>
      <c r="G2049" s="4"/>
      <c r="H2049" s="4" t="s">
        <v>188</v>
      </c>
      <c r="I2049" s="3"/>
      <c r="J2049" s="5"/>
      <c r="K2049" s="4">
        <v>45033</v>
      </c>
      <c r="L2049" s="5" t="s">
        <v>364</v>
      </c>
      <c r="M2049" s="5" t="s">
        <v>364</v>
      </c>
      <c r="N2049" s="5" t="s">
        <v>364</v>
      </c>
      <c r="O2049" s="5" t="s">
        <v>364</v>
      </c>
      <c r="P2049" s="474" t="s">
        <v>7533</v>
      </c>
      <c r="Q2049" s="3"/>
      <c r="R2049" s="3"/>
      <c r="S2049" s="1"/>
      <c r="T2049" s="512" t="e">
        <f>_xlfn.XLOOKUP(H2049,#REF!,#REF!,0,0)</f>
        <v>#REF!</v>
      </c>
    </row>
    <row r="2050" spans="1:20" s="299" customFormat="1" x14ac:dyDescent="0.4">
      <c r="A2050" s="10" t="s">
        <v>7534</v>
      </c>
      <c r="B2050" s="10" t="s">
        <v>7535</v>
      </c>
      <c r="C2050" s="19" t="s">
        <v>433</v>
      </c>
      <c r="D2050" s="10" t="s">
        <v>693</v>
      </c>
      <c r="E2050" s="18" t="s">
        <v>10</v>
      </c>
      <c r="F2050" s="10" t="s">
        <v>5179</v>
      </c>
      <c r="G2050" s="18">
        <v>44939</v>
      </c>
      <c r="H2050" s="18" t="s">
        <v>7536</v>
      </c>
      <c r="I2050" s="134">
        <v>72784</v>
      </c>
      <c r="J2050" s="10" t="s">
        <v>7537</v>
      </c>
      <c r="K2050" s="18"/>
      <c r="L2050" s="10" t="s">
        <v>364</v>
      </c>
      <c r="M2050" s="10" t="s">
        <v>364</v>
      </c>
      <c r="N2050" s="10" t="s">
        <v>364</v>
      </c>
      <c r="O2050" s="10" t="s">
        <v>364</v>
      </c>
      <c r="P2050" s="477" t="s">
        <v>7538</v>
      </c>
      <c r="Q2050" s="134"/>
      <c r="R2050" s="134"/>
      <c r="S2050" s="344"/>
      <c r="T2050" s="512" t="e">
        <f>_xlfn.XLOOKUP(H2050,#REF!,#REF!,0,0)</f>
        <v>#REF!</v>
      </c>
    </row>
    <row r="2051" spans="1:20" s="505" customFormat="1" x14ac:dyDescent="0.4">
      <c r="A2051" s="215" t="s">
        <v>7539</v>
      </c>
      <c r="B2051" s="215" t="s">
        <v>7540</v>
      </c>
      <c r="C2051" s="215"/>
      <c r="D2051" s="215" t="s">
        <v>693</v>
      </c>
      <c r="E2051" s="215" t="s">
        <v>10</v>
      </c>
      <c r="F2051" s="214" t="s">
        <v>3072</v>
      </c>
      <c r="G2051" s="215">
        <v>44950</v>
      </c>
      <c r="H2051" s="215" t="s">
        <v>7541</v>
      </c>
      <c r="I2051" s="354">
        <v>72748</v>
      </c>
      <c r="J2051" s="215" t="s">
        <v>7542</v>
      </c>
      <c r="K2051" s="215">
        <v>45033</v>
      </c>
      <c r="L2051" s="215" t="s">
        <v>364</v>
      </c>
      <c r="M2051" s="215" t="s">
        <v>364</v>
      </c>
      <c r="N2051" s="215" t="s">
        <v>364</v>
      </c>
      <c r="O2051" s="215" t="s">
        <v>364</v>
      </c>
      <c r="P2051" s="464" t="s">
        <v>6651</v>
      </c>
      <c r="Q2051" s="354"/>
      <c r="R2051" s="354"/>
      <c r="S2051" s="346"/>
      <c r="T2051" s="512" t="e">
        <f>_xlfn.XLOOKUP(H2051,#REF!,#REF!,0,0)</f>
        <v>#REF!</v>
      </c>
    </row>
    <row r="2052" spans="1:20" s="505" customFormat="1" x14ac:dyDescent="0.4">
      <c r="A2052" s="215" t="s">
        <v>7543</v>
      </c>
      <c r="B2052" s="215" t="s">
        <v>7544</v>
      </c>
      <c r="C2052" s="215"/>
      <c r="D2052" s="215" t="s">
        <v>3758</v>
      </c>
      <c r="E2052" s="215" t="s">
        <v>10</v>
      </c>
      <c r="F2052" s="214" t="s">
        <v>3072</v>
      </c>
      <c r="G2052" s="215">
        <v>44950</v>
      </c>
      <c r="H2052" s="215" t="s">
        <v>7545</v>
      </c>
      <c r="I2052" s="354">
        <v>72749</v>
      </c>
      <c r="J2052" s="215" t="s">
        <v>7546</v>
      </c>
      <c r="K2052" s="215">
        <v>45033</v>
      </c>
      <c r="L2052" s="215" t="s">
        <v>364</v>
      </c>
      <c r="M2052" s="215" t="s">
        <v>364</v>
      </c>
      <c r="N2052" s="215" t="s">
        <v>364</v>
      </c>
      <c r="O2052" s="215" t="s">
        <v>364</v>
      </c>
      <c r="P2052" s="464" t="s">
        <v>6651</v>
      </c>
      <c r="Q2052" s="354"/>
      <c r="R2052" s="354"/>
      <c r="S2052" s="346"/>
      <c r="T2052" s="512" t="e">
        <f>_xlfn.XLOOKUP(H2052,#REF!,#REF!,0,0)</f>
        <v>#REF!</v>
      </c>
    </row>
    <row r="2053" spans="1:20" s="505" customFormat="1" x14ac:dyDescent="0.4">
      <c r="A2053" s="215" t="s">
        <v>7547</v>
      </c>
      <c r="B2053" s="215" t="s">
        <v>7548</v>
      </c>
      <c r="C2053" s="215"/>
      <c r="D2053" s="215" t="s">
        <v>3758</v>
      </c>
      <c r="E2053" s="215" t="s">
        <v>10</v>
      </c>
      <c r="F2053" s="214" t="s">
        <v>3072</v>
      </c>
      <c r="G2053" s="215">
        <v>44950</v>
      </c>
      <c r="H2053" s="215" t="s">
        <v>7549</v>
      </c>
      <c r="I2053" s="354">
        <v>72750</v>
      </c>
      <c r="J2053" s="215" t="s">
        <v>7550</v>
      </c>
      <c r="K2053" s="215">
        <v>45033</v>
      </c>
      <c r="L2053" s="215" t="s">
        <v>364</v>
      </c>
      <c r="M2053" s="215" t="s">
        <v>364</v>
      </c>
      <c r="N2053" s="215" t="s">
        <v>364</v>
      </c>
      <c r="O2053" s="215" t="s">
        <v>364</v>
      </c>
      <c r="P2053" s="464" t="s">
        <v>6651</v>
      </c>
      <c r="Q2053" s="354"/>
      <c r="R2053" s="354"/>
      <c r="S2053" s="346"/>
      <c r="T2053" s="512" t="e">
        <f>_xlfn.XLOOKUP(H2053,#REF!,#REF!,0,0)</f>
        <v>#REF!</v>
      </c>
    </row>
    <row r="2054" spans="1:20" s="505" customFormat="1" x14ac:dyDescent="0.4">
      <c r="A2054" s="215" t="s">
        <v>7551</v>
      </c>
      <c r="B2054" s="215" t="s">
        <v>7552</v>
      </c>
      <c r="C2054" s="215"/>
      <c r="D2054" s="215" t="s">
        <v>3758</v>
      </c>
      <c r="E2054" s="215" t="s">
        <v>10</v>
      </c>
      <c r="F2054" s="214" t="s">
        <v>3072</v>
      </c>
      <c r="G2054" s="215">
        <v>44950</v>
      </c>
      <c r="H2054" s="215" t="s">
        <v>306</v>
      </c>
      <c r="I2054" s="354">
        <v>72751</v>
      </c>
      <c r="J2054" s="215" t="s">
        <v>7553</v>
      </c>
      <c r="K2054" s="215">
        <v>45033</v>
      </c>
      <c r="L2054" s="215" t="s">
        <v>364</v>
      </c>
      <c r="M2054" s="215" t="s">
        <v>364</v>
      </c>
      <c r="N2054" s="215" t="s">
        <v>364</v>
      </c>
      <c r="O2054" s="215" t="s">
        <v>364</v>
      </c>
      <c r="P2054" s="464" t="s">
        <v>6651</v>
      </c>
      <c r="Q2054" s="354"/>
      <c r="R2054" s="354"/>
      <c r="S2054" s="346"/>
      <c r="T2054" s="512" t="e">
        <f>_xlfn.XLOOKUP(H2054,#REF!,#REF!,0,0)</f>
        <v>#REF!</v>
      </c>
    </row>
    <row r="2055" spans="1:20" s="505" customFormat="1" x14ac:dyDescent="0.4">
      <c r="A2055" s="215" t="s">
        <v>7554</v>
      </c>
      <c r="B2055" s="215" t="s">
        <v>7555</v>
      </c>
      <c r="C2055" s="215"/>
      <c r="D2055" s="215" t="s">
        <v>3758</v>
      </c>
      <c r="E2055" s="215" t="s">
        <v>10</v>
      </c>
      <c r="F2055" s="214" t="s">
        <v>3072</v>
      </c>
      <c r="G2055" s="215">
        <v>44950</v>
      </c>
      <c r="H2055" s="215" t="s">
        <v>7556</v>
      </c>
      <c r="I2055" s="354">
        <v>72752</v>
      </c>
      <c r="J2055" s="215" t="s">
        <v>7557</v>
      </c>
      <c r="K2055" s="215">
        <v>45033</v>
      </c>
      <c r="L2055" s="215" t="s">
        <v>364</v>
      </c>
      <c r="M2055" s="215" t="s">
        <v>364</v>
      </c>
      <c r="N2055" s="215" t="s">
        <v>364</v>
      </c>
      <c r="O2055" s="215" t="s">
        <v>364</v>
      </c>
      <c r="P2055" s="464" t="s">
        <v>6651</v>
      </c>
      <c r="Q2055" s="354"/>
      <c r="R2055" s="354"/>
      <c r="S2055" s="346"/>
      <c r="T2055" s="512" t="e">
        <f>_xlfn.XLOOKUP(H2055,#REF!,#REF!,0,0)</f>
        <v>#REF!</v>
      </c>
    </row>
    <row r="2056" spans="1:20" s="505" customFormat="1" x14ac:dyDescent="0.4">
      <c r="A2056" s="215" t="s">
        <v>7558</v>
      </c>
      <c r="B2056" s="215" t="s">
        <v>7559</v>
      </c>
      <c r="C2056" s="215"/>
      <c r="D2056" s="215" t="s">
        <v>3758</v>
      </c>
      <c r="E2056" s="215" t="s">
        <v>10</v>
      </c>
      <c r="F2056" s="214" t="s">
        <v>3072</v>
      </c>
      <c r="G2056" s="215">
        <v>44950</v>
      </c>
      <c r="H2056" s="215" t="s">
        <v>7560</v>
      </c>
      <c r="I2056" s="354">
        <v>72753</v>
      </c>
      <c r="J2056" s="215" t="s">
        <v>7561</v>
      </c>
      <c r="K2056" s="215">
        <v>45033</v>
      </c>
      <c r="L2056" s="215" t="s">
        <v>364</v>
      </c>
      <c r="M2056" s="215" t="s">
        <v>364</v>
      </c>
      <c r="N2056" s="215" t="s">
        <v>364</v>
      </c>
      <c r="O2056" s="215" t="s">
        <v>364</v>
      </c>
      <c r="P2056" s="464" t="s">
        <v>6651</v>
      </c>
      <c r="Q2056" s="354"/>
      <c r="R2056" s="354"/>
      <c r="S2056" s="346"/>
      <c r="T2056" s="512" t="e">
        <f>_xlfn.XLOOKUP(H2056,#REF!,#REF!,0,0)</f>
        <v>#REF!</v>
      </c>
    </row>
    <row r="2057" spans="1:20" s="505" customFormat="1" x14ac:dyDescent="0.4">
      <c r="A2057" s="215" t="s">
        <v>7562</v>
      </c>
      <c r="B2057" s="215" t="s">
        <v>7563</v>
      </c>
      <c r="C2057" s="215"/>
      <c r="D2057" s="215" t="s">
        <v>3758</v>
      </c>
      <c r="E2057" s="215" t="s">
        <v>10</v>
      </c>
      <c r="F2057" s="214" t="s">
        <v>3072</v>
      </c>
      <c r="G2057" s="215">
        <v>44950</v>
      </c>
      <c r="H2057" s="215" t="s">
        <v>7564</v>
      </c>
      <c r="I2057" s="354">
        <v>72754</v>
      </c>
      <c r="J2057" s="215" t="s">
        <v>7565</v>
      </c>
      <c r="K2057" s="215">
        <v>45033</v>
      </c>
      <c r="L2057" s="215" t="s">
        <v>364</v>
      </c>
      <c r="M2057" s="215" t="s">
        <v>364</v>
      </c>
      <c r="N2057" s="215" t="s">
        <v>364</v>
      </c>
      <c r="O2057" s="215" t="s">
        <v>364</v>
      </c>
      <c r="P2057" s="464" t="s">
        <v>6651</v>
      </c>
      <c r="Q2057" s="354"/>
      <c r="R2057" s="354"/>
      <c r="S2057" s="346"/>
      <c r="T2057" s="512" t="e">
        <f>_xlfn.XLOOKUP(H2057,#REF!,#REF!,0,0)</f>
        <v>#REF!</v>
      </c>
    </row>
    <row r="2058" spans="1:20" s="505" customFormat="1" x14ac:dyDescent="0.4">
      <c r="A2058" s="215" t="s">
        <v>7566</v>
      </c>
      <c r="B2058" s="215" t="s">
        <v>7567</v>
      </c>
      <c r="C2058" s="215"/>
      <c r="D2058" s="215" t="s">
        <v>3758</v>
      </c>
      <c r="E2058" s="215" t="s">
        <v>10</v>
      </c>
      <c r="F2058" s="214" t="s">
        <v>3072</v>
      </c>
      <c r="G2058" s="215">
        <v>44950</v>
      </c>
      <c r="H2058" s="215" t="s">
        <v>7568</v>
      </c>
      <c r="I2058" s="354">
        <v>72755</v>
      </c>
      <c r="J2058" s="215" t="s">
        <v>7569</v>
      </c>
      <c r="K2058" s="215">
        <v>45033</v>
      </c>
      <c r="L2058" s="215" t="s">
        <v>364</v>
      </c>
      <c r="M2058" s="215" t="s">
        <v>364</v>
      </c>
      <c r="N2058" s="215" t="s">
        <v>364</v>
      </c>
      <c r="O2058" s="215" t="s">
        <v>364</v>
      </c>
      <c r="P2058" s="464" t="s">
        <v>6651</v>
      </c>
      <c r="Q2058" s="354"/>
      <c r="R2058" s="354"/>
      <c r="S2058" s="346"/>
      <c r="T2058" s="512" t="e">
        <f>_xlfn.XLOOKUP(H2058,#REF!,#REF!,0,0)</f>
        <v>#REF!</v>
      </c>
    </row>
    <row r="2059" spans="1:20" s="505" customFormat="1" x14ac:dyDescent="0.4">
      <c r="A2059" s="215" t="s">
        <v>7570</v>
      </c>
      <c r="B2059" s="215" t="s">
        <v>7571</v>
      </c>
      <c r="C2059" s="215"/>
      <c r="D2059" s="215" t="s">
        <v>3758</v>
      </c>
      <c r="E2059" s="215" t="s">
        <v>10</v>
      </c>
      <c r="F2059" s="214" t="s">
        <v>3072</v>
      </c>
      <c r="G2059" s="215">
        <v>44950</v>
      </c>
      <c r="H2059" s="215" t="s">
        <v>7572</v>
      </c>
      <c r="I2059" s="354">
        <v>72756</v>
      </c>
      <c r="J2059" s="215" t="s">
        <v>7573</v>
      </c>
      <c r="K2059" s="215">
        <v>45033</v>
      </c>
      <c r="L2059" s="215" t="s">
        <v>364</v>
      </c>
      <c r="M2059" s="215" t="s">
        <v>364</v>
      </c>
      <c r="N2059" s="215" t="s">
        <v>364</v>
      </c>
      <c r="O2059" s="215" t="s">
        <v>364</v>
      </c>
      <c r="P2059" s="464" t="s">
        <v>6651</v>
      </c>
      <c r="Q2059" s="354"/>
      <c r="R2059" s="354"/>
      <c r="S2059" s="346"/>
      <c r="T2059" s="512" t="e">
        <f>_xlfn.XLOOKUP(H2059,#REF!,#REF!,0,0)</f>
        <v>#REF!</v>
      </c>
    </row>
    <row r="2060" spans="1:20" s="505" customFormat="1" x14ac:dyDescent="0.4">
      <c r="A2060" s="215" t="s">
        <v>7574</v>
      </c>
      <c r="B2060" s="215" t="s">
        <v>7575</v>
      </c>
      <c r="C2060" s="215"/>
      <c r="D2060" s="215" t="s">
        <v>3758</v>
      </c>
      <c r="E2060" s="215" t="s">
        <v>10</v>
      </c>
      <c r="F2060" s="214" t="s">
        <v>3072</v>
      </c>
      <c r="G2060" s="215">
        <v>44950</v>
      </c>
      <c r="H2060" s="215" t="s">
        <v>7576</v>
      </c>
      <c r="I2060" s="354">
        <v>72757</v>
      </c>
      <c r="J2060" s="215" t="s">
        <v>7577</v>
      </c>
      <c r="K2060" s="215">
        <v>45033</v>
      </c>
      <c r="L2060" s="215" t="s">
        <v>364</v>
      </c>
      <c r="M2060" s="215" t="s">
        <v>364</v>
      </c>
      <c r="N2060" s="215" t="s">
        <v>364</v>
      </c>
      <c r="O2060" s="215" t="s">
        <v>364</v>
      </c>
      <c r="P2060" s="464" t="s">
        <v>6651</v>
      </c>
      <c r="Q2060" s="354"/>
      <c r="R2060" s="354"/>
      <c r="S2060" s="346"/>
      <c r="T2060" s="512" t="e">
        <f>_xlfn.XLOOKUP(H2060,#REF!,#REF!,0,0)</f>
        <v>#REF!</v>
      </c>
    </row>
    <row r="2061" spans="1:20" s="505" customFormat="1" x14ac:dyDescent="0.4">
      <c r="A2061" s="215" t="s">
        <v>7578</v>
      </c>
      <c r="B2061" s="215" t="s">
        <v>7579</v>
      </c>
      <c r="C2061" s="215"/>
      <c r="D2061" s="215" t="s">
        <v>3758</v>
      </c>
      <c r="E2061" s="215" t="s">
        <v>10</v>
      </c>
      <c r="F2061" s="214" t="s">
        <v>3072</v>
      </c>
      <c r="G2061" s="215">
        <v>44950</v>
      </c>
      <c r="H2061" s="215" t="s">
        <v>7580</v>
      </c>
      <c r="I2061" s="354">
        <v>72758</v>
      </c>
      <c r="J2061" s="215" t="s">
        <v>7581</v>
      </c>
      <c r="K2061" s="215">
        <v>45033</v>
      </c>
      <c r="L2061" s="215" t="s">
        <v>364</v>
      </c>
      <c r="M2061" s="215" t="s">
        <v>364</v>
      </c>
      <c r="N2061" s="215" t="s">
        <v>364</v>
      </c>
      <c r="O2061" s="215" t="s">
        <v>364</v>
      </c>
      <c r="P2061" s="464" t="s">
        <v>6651</v>
      </c>
      <c r="Q2061" s="354"/>
      <c r="R2061" s="354"/>
      <c r="S2061" s="346"/>
      <c r="T2061" s="512" t="e">
        <f>_xlfn.XLOOKUP(H2061,#REF!,#REF!,0,0)</f>
        <v>#REF!</v>
      </c>
    </row>
    <row r="2062" spans="1:20" s="505" customFormat="1" x14ac:dyDescent="0.4">
      <c r="A2062" s="215" t="s">
        <v>7582</v>
      </c>
      <c r="B2062" s="215" t="s">
        <v>7583</v>
      </c>
      <c r="C2062" s="215"/>
      <c r="D2062" s="215" t="s">
        <v>3758</v>
      </c>
      <c r="E2062" s="215" t="s">
        <v>10</v>
      </c>
      <c r="F2062" s="214" t="s">
        <v>3072</v>
      </c>
      <c r="G2062" s="215">
        <v>44950</v>
      </c>
      <c r="H2062" s="215" t="s">
        <v>7584</v>
      </c>
      <c r="I2062" s="354">
        <v>72759</v>
      </c>
      <c r="J2062" s="215" t="s">
        <v>7585</v>
      </c>
      <c r="K2062" s="215">
        <v>45033</v>
      </c>
      <c r="L2062" s="215" t="s">
        <v>364</v>
      </c>
      <c r="M2062" s="215" t="s">
        <v>364</v>
      </c>
      <c r="N2062" s="215" t="s">
        <v>364</v>
      </c>
      <c r="O2062" s="215" t="s">
        <v>364</v>
      </c>
      <c r="P2062" s="464" t="s">
        <v>6651</v>
      </c>
      <c r="Q2062" s="354"/>
      <c r="R2062" s="354"/>
      <c r="S2062" s="346"/>
      <c r="T2062" s="512" t="e">
        <f>_xlfn.XLOOKUP(H2062,#REF!,#REF!,0,0)</f>
        <v>#REF!</v>
      </c>
    </row>
    <row r="2063" spans="1:20" s="505" customFormat="1" x14ac:dyDescent="0.4">
      <c r="A2063" s="215" t="s">
        <v>7586</v>
      </c>
      <c r="B2063" s="215" t="s">
        <v>7587</v>
      </c>
      <c r="C2063" s="215"/>
      <c r="D2063" s="215" t="s">
        <v>3758</v>
      </c>
      <c r="E2063" s="215" t="s">
        <v>10</v>
      </c>
      <c r="F2063" s="214" t="s">
        <v>3072</v>
      </c>
      <c r="G2063" s="215">
        <v>44950</v>
      </c>
      <c r="H2063" s="215" t="s">
        <v>7588</v>
      </c>
      <c r="I2063" s="354">
        <v>72760</v>
      </c>
      <c r="J2063" s="215" t="s">
        <v>7589</v>
      </c>
      <c r="K2063" s="215">
        <v>45033</v>
      </c>
      <c r="L2063" s="215" t="s">
        <v>364</v>
      </c>
      <c r="M2063" s="215" t="s">
        <v>364</v>
      </c>
      <c r="N2063" s="215" t="s">
        <v>364</v>
      </c>
      <c r="O2063" s="215" t="s">
        <v>364</v>
      </c>
      <c r="P2063" s="464" t="s">
        <v>6651</v>
      </c>
      <c r="Q2063" s="354"/>
      <c r="R2063" s="354"/>
      <c r="S2063" s="346"/>
      <c r="T2063" s="512" t="e">
        <f>_xlfn.XLOOKUP(H2063,#REF!,#REF!,0,0)</f>
        <v>#REF!</v>
      </c>
    </row>
    <row r="2064" spans="1:20" s="505" customFormat="1" x14ac:dyDescent="0.4">
      <c r="A2064" s="215" t="s">
        <v>7590</v>
      </c>
      <c r="B2064" s="215" t="s">
        <v>7591</v>
      </c>
      <c r="C2064" s="215"/>
      <c r="D2064" s="215" t="s">
        <v>3758</v>
      </c>
      <c r="E2064" s="215" t="s">
        <v>10</v>
      </c>
      <c r="F2064" s="214" t="s">
        <v>3072</v>
      </c>
      <c r="G2064" s="215">
        <v>44950</v>
      </c>
      <c r="H2064" s="215" t="s">
        <v>7592</v>
      </c>
      <c r="I2064" s="354">
        <v>72761</v>
      </c>
      <c r="J2064" s="215" t="s">
        <v>7593</v>
      </c>
      <c r="K2064" s="215">
        <v>45033</v>
      </c>
      <c r="L2064" s="215" t="s">
        <v>364</v>
      </c>
      <c r="M2064" s="215" t="s">
        <v>364</v>
      </c>
      <c r="N2064" s="215" t="s">
        <v>364</v>
      </c>
      <c r="O2064" s="215" t="s">
        <v>364</v>
      </c>
      <c r="P2064" s="464" t="s">
        <v>6651</v>
      </c>
      <c r="Q2064" s="354"/>
      <c r="R2064" s="354"/>
      <c r="S2064" s="346"/>
      <c r="T2064" s="512" t="e">
        <f>_xlfn.XLOOKUP(H2064,#REF!,#REF!,0,0)</f>
        <v>#REF!</v>
      </c>
    </row>
    <row r="2065" spans="1:20" s="505" customFormat="1" x14ac:dyDescent="0.4">
      <c r="A2065" s="215" t="s">
        <v>7594</v>
      </c>
      <c r="B2065" s="215" t="s">
        <v>7595</v>
      </c>
      <c r="C2065" s="215"/>
      <c r="D2065" s="215" t="s">
        <v>3758</v>
      </c>
      <c r="E2065" s="215" t="s">
        <v>10</v>
      </c>
      <c r="F2065" s="214" t="s">
        <v>3072</v>
      </c>
      <c r="G2065" s="215">
        <v>44950</v>
      </c>
      <c r="H2065" s="215" t="s">
        <v>7596</v>
      </c>
      <c r="I2065" s="354">
        <v>72762</v>
      </c>
      <c r="J2065" s="215" t="s">
        <v>7597</v>
      </c>
      <c r="K2065" s="215">
        <v>45033</v>
      </c>
      <c r="L2065" s="215" t="s">
        <v>364</v>
      </c>
      <c r="M2065" s="215" t="s">
        <v>364</v>
      </c>
      <c r="N2065" s="215" t="s">
        <v>364</v>
      </c>
      <c r="O2065" s="215" t="s">
        <v>364</v>
      </c>
      <c r="P2065" s="464" t="s">
        <v>6651</v>
      </c>
      <c r="Q2065" s="354"/>
      <c r="R2065" s="354"/>
      <c r="S2065" s="346"/>
      <c r="T2065" s="512" t="e">
        <f>_xlfn.XLOOKUP(H2065,#REF!,#REF!,0,0)</f>
        <v>#REF!</v>
      </c>
    </row>
    <row r="2066" spans="1:20" s="505" customFormat="1" x14ac:dyDescent="0.4">
      <c r="A2066" s="215" t="s">
        <v>7598</v>
      </c>
      <c r="B2066" s="215" t="s">
        <v>7599</v>
      </c>
      <c r="C2066" s="215"/>
      <c r="D2066" s="215" t="s">
        <v>3758</v>
      </c>
      <c r="E2066" s="215" t="s">
        <v>10</v>
      </c>
      <c r="F2066" s="214" t="s">
        <v>3072</v>
      </c>
      <c r="G2066" s="215">
        <v>44950</v>
      </c>
      <c r="H2066" s="215" t="s">
        <v>7600</v>
      </c>
      <c r="I2066" s="354">
        <v>72763</v>
      </c>
      <c r="J2066" s="215" t="s">
        <v>7601</v>
      </c>
      <c r="K2066" s="215">
        <v>45033</v>
      </c>
      <c r="L2066" s="215" t="s">
        <v>364</v>
      </c>
      <c r="M2066" s="215" t="s">
        <v>364</v>
      </c>
      <c r="N2066" s="215" t="s">
        <v>364</v>
      </c>
      <c r="O2066" s="215" t="s">
        <v>364</v>
      </c>
      <c r="P2066" s="464" t="s">
        <v>6651</v>
      </c>
      <c r="Q2066" s="354"/>
      <c r="R2066" s="354"/>
      <c r="S2066" s="346"/>
      <c r="T2066" s="512" t="e">
        <f>_xlfn.XLOOKUP(H2066,#REF!,#REF!,0,0)</f>
        <v>#REF!</v>
      </c>
    </row>
    <row r="2067" spans="1:20" s="299" customFormat="1" x14ac:dyDescent="0.4">
      <c r="A2067" s="10" t="s">
        <v>7602</v>
      </c>
      <c r="B2067" s="10" t="s">
        <v>7603</v>
      </c>
      <c r="C2067" s="19" t="s">
        <v>433</v>
      </c>
      <c r="D2067" s="10" t="s">
        <v>3758</v>
      </c>
      <c r="E2067" s="18" t="s">
        <v>10</v>
      </c>
      <c r="F2067" s="10" t="s">
        <v>5179</v>
      </c>
      <c r="G2067" s="18">
        <v>44939</v>
      </c>
      <c r="H2067" s="18" t="s">
        <v>7604</v>
      </c>
      <c r="I2067" s="134">
        <v>72783</v>
      </c>
      <c r="J2067" s="10" t="s">
        <v>7605</v>
      </c>
      <c r="K2067" s="18">
        <v>45034</v>
      </c>
      <c r="L2067" s="10" t="s">
        <v>364</v>
      </c>
      <c r="M2067" s="10" t="s">
        <v>364</v>
      </c>
      <c r="N2067" s="10" t="s">
        <v>364</v>
      </c>
      <c r="O2067" s="10" t="s">
        <v>364</v>
      </c>
      <c r="P2067" s="477" t="s">
        <v>7606</v>
      </c>
      <c r="Q2067" s="134"/>
      <c r="R2067" s="134"/>
      <c r="S2067" s="344"/>
      <c r="T2067" s="512" t="e">
        <f>_xlfn.XLOOKUP(H2067,#REF!,#REF!,0,0)</f>
        <v>#REF!</v>
      </c>
    </row>
    <row r="2068" spans="1:20" s="505" customFormat="1" x14ac:dyDescent="0.4">
      <c r="A2068" s="215" t="s">
        <v>7607</v>
      </c>
      <c r="B2068" s="215" t="s">
        <v>7608</v>
      </c>
      <c r="C2068" s="215"/>
      <c r="D2068" s="215" t="s">
        <v>693</v>
      </c>
      <c r="E2068" s="215" t="s">
        <v>10</v>
      </c>
      <c r="F2068" s="214" t="s">
        <v>5179</v>
      </c>
      <c r="G2068" s="215">
        <v>44939</v>
      </c>
      <c r="H2068" s="215" t="s">
        <v>7609</v>
      </c>
      <c r="I2068" s="354">
        <v>72780</v>
      </c>
      <c r="J2068" s="215" t="s">
        <v>7610</v>
      </c>
      <c r="K2068" s="215">
        <v>45034</v>
      </c>
      <c r="L2068" s="215" t="s">
        <v>364</v>
      </c>
      <c r="M2068" s="215" t="s">
        <v>364</v>
      </c>
      <c r="N2068" s="215" t="s">
        <v>364</v>
      </c>
      <c r="O2068" s="215" t="s">
        <v>364</v>
      </c>
      <c r="P2068" s="464"/>
      <c r="Q2068" s="354"/>
      <c r="R2068" s="354"/>
      <c r="S2068" s="346"/>
      <c r="T2068" s="512" t="e">
        <f>_xlfn.XLOOKUP(H2068,#REF!,#REF!,0,0)</f>
        <v>#REF!</v>
      </c>
    </row>
    <row r="2069" spans="1:20" s="299" customFormat="1" x14ac:dyDescent="0.4">
      <c r="A2069" s="10" t="s">
        <v>7611</v>
      </c>
      <c r="B2069" s="10" t="s">
        <v>7612</v>
      </c>
      <c r="C2069" s="19" t="s">
        <v>433</v>
      </c>
      <c r="D2069" s="10" t="s">
        <v>693</v>
      </c>
      <c r="E2069" s="18" t="s">
        <v>10</v>
      </c>
      <c r="F2069" s="10" t="s">
        <v>5179</v>
      </c>
      <c r="G2069" s="18">
        <v>44939</v>
      </c>
      <c r="H2069" s="18" t="s">
        <v>7613</v>
      </c>
      <c r="I2069" s="134">
        <v>72786</v>
      </c>
      <c r="J2069" s="10" t="s">
        <v>7614</v>
      </c>
      <c r="K2069" s="18">
        <v>45035</v>
      </c>
      <c r="L2069" s="10" t="s">
        <v>364</v>
      </c>
      <c r="M2069" s="10" t="s">
        <v>364</v>
      </c>
      <c r="N2069" s="10" t="s">
        <v>364</v>
      </c>
      <c r="O2069" s="10" t="s">
        <v>364</v>
      </c>
      <c r="P2069" s="477"/>
      <c r="Q2069" s="134"/>
      <c r="R2069" s="134"/>
      <c r="S2069" s="344"/>
      <c r="T2069" s="512" t="e">
        <f>_xlfn.XLOOKUP(H2069,#REF!,#REF!,0,0)</f>
        <v>#REF!</v>
      </c>
    </row>
    <row r="2070" spans="1:20" s="507" customFormat="1" ht="18" customHeight="1" x14ac:dyDescent="0.4">
      <c r="A2070" s="24" t="s">
        <v>7615</v>
      </c>
      <c r="B2070" s="24" t="s">
        <v>7616</v>
      </c>
      <c r="C2070" s="24"/>
      <c r="D2070" s="24" t="s">
        <v>3758</v>
      </c>
      <c r="E2070" s="25" t="s">
        <v>10</v>
      </c>
      <c r="F2070" s="24" t="s">
        <v>3072</v>
      </c>
      <c r="G2070" s="25">
        <v>44950</v>
      </c>
      <c r="H2070" s="25" t="s">
        <v>7617</v>
      </c>
      <c r="I2070" s="264">
        <v>72764</v>
      </c>
      <c r="J2070" s="24" t="s">
        <v>7618</v>
      </c>
      <c r="K2070" s="25">
        <v>45035</v>
      </c>
      <c r="L2070" s="24" t="s">
        <v>364</v>
      </c>
      <c r="M2070" s="24" t="s">
        <v>364</v>
      </c>
      <c r="N2070" s="24" t="s">
        <v>364</v>
      </c>
      <c r="O2070" s="24" t="s">
        <v>364</v>
      </c>
      <c r="P2070" s="468" t="s">
        <v>6651</v>
      </c>
      <c r="Q2070" s="264"/>
      <c r="R2070" s="264"/>
      <c r="S2070" s="343"/>
      <c r="T2070" s="512" t="e">
        <f>_xlfn.XLOOKUP(H2070,#REF!,#REF!,0,0)</f>
        <v>#REF!</v>
      </c>
    </row>
    <row r="2071" spans="1:20" s="507" customFormat="1" ht="18" customHeight="1" x14ac:dyDescent="0.4">
      <c r="A2071" s="24" t="s">
        <v>7619</v>
      </c>
      <c r="B2071" s="24" t="s">
        <v>7620</v>
      </c>
      <c r="C2071" s="24"/>
      <c r="D2071" s="24" t="s">
        <v>693</v>
      </c>
      <c r="E2071" s="25" t="s">
        <v>10</v>
      </c>
      <c r="F2071" s="24" t="s">
        <v>3072</v>
      </c>
      <c r="G2071" s="25">
        <v>44950</v>
      </c>
      <c r="H2071" s="25" t="s">
        <v>7621</v>
      </c>
      <c r="I2071" s="264">
        <v>72765</v>
      </c>
      <c r="J2071" s="24" t="s">
        <v>7622</v>
      </c>
      <c r="K2071" s="25">
        <v>45035</v>
      </c>
      <c r="L2071" s="24" t="s">
        <v>364</v>
      </c>
      <c r="M2071" s="24" t="s">
        <v>364</v>
      </c>
      <c r="N2071" s="24" t="s">
        <v>364</v>
      </c>
      <c r="O2071" s="24" t="s">
        <v>364</v>
      </c>
      <c r="P2071" s="468" t="s">
        <v>7623</v>
      </c>
      <c r="Q2071" s="264"/>
      <c r="R2071" s="264"/>
      <c r="S2071" s="343"/>
      <c r="T2071" s="512" t="e">
        <f>_xlfn.XLOOKUP(H2071,#REF!,#REF!,0,0)</f>
        <v>#REF!</v>
      </c>
    </row>
    <row r="2072" spans="1:20" s="299" customFormat="1" x14ac:dyDescent="0.4">
      <c r="A2072" s="10" t="s">
        <v>7624</v>
      </c>
      <c r="B2072" s="10" t="s">
        <v>7625</v>
      </c>
      <c r="C2072" s="19" t="s">
        <v>433</v>
      </c>
      <c r="D2072" s="10" t="s">
        <v>693</v>
      </c>
      <c r="E2072" s="18" t="s">
        <v>10</v>
      </c>
      <c r="F2072" s="10" t="s">
        <v>3072</v>
      </c>
      <c r="G2072" s="18">
        <v>44950</v>
      </c>
      <c r="H2072" s="18" t="s">
        <v>7626</v>
      </c>
      <c r="I2072" s="134">
        <v>72769</v>
      </c>
      <c r="J2072" s="10" t="s">
        <v>7627</v>
      </c>
      <c r="K2072" s="18">
        <v>45042</v>
      </c>
      <c r="L2072" s="10" t="s">
        <v>364</v>
      </c>
      <c r="M2072" s="10" t="s">
        <v>364</v>
      </c>
      <c r="N2072" s="10" t="s">
        <v>364</v>
      </c>
      <c r="O2072" s="10" t="s">
        <v>364</v>
      </c>
      <c r="P2072" s="477" t="s">
        <v>7628</v>
      </c>
      <c r="Q2072" s="134"/>
      <c r="R2072" s="134"/>
      <c r="S2072" s="344"/>
      <c r="T2072" s="512" t="e">
        <f>_xlfn.XLOOKUP(H2072,#REF!,#REF!,0,0)</f>
        <v>#REF!</v>
      </c>
    </row>
    <row r="2073" spans="1:20" s="299" customFormat="1" x14ac:dyDescent="0.4">
      <c r="A2073" s="10" t="s">
        <v>7629</v>
      </c>
      <c r="B2073" s="10" t="s">
        <v>7630</v>
      </c>
      <c r="C2073" s="19" t="s">
        <v>433</v>
      </c>
      <c r="D2073" s="10" t="s">
        <v>693</v>
      </c>
      <c r="E2073" s="18" t="s">
        <v>10</v>
      </c>
      <c r="F2073" s="10" t="s">
        <v>3072</v>
      </c>
      <c r="G2073" s="18">
        <v>44950</v>
      </c>
      <c r="H2073" s="18" t="s">
        <v>7631</v>
      </c>
      <c r="I2073" s="134">
        <v>72767</v>
      </c>
      <c r="J2073" s="10" t="s">
        <v>7632</v>
      </c>
      <c r="K2073" s="18">
        <v>45042</v>
      </c>
      <c r="L2073" s="10" t="s">
        <v>364</v>
      </c>
      <c r="M2073" s="10" t="s">
        <v>364</v>
      </c>
      <c r="N2073" s="10" t="s">
        <v>364</v>
      </c>
      <c r="O2073" s="10" t="s">
        <v>364</v>
      </c>
      <c r="P2073" s="477" t="s">
        <v>7340</v>
      </c>
      <c r="Q2073" s="134"/>
      <c r="R2073" s="134"/>
      <c r="S2073" s="344"/>
      <c r="T2073" s="512" t="e">
        <f>_xlfn.XLOOKUP(H2073,#REF!,#REF!,0,0)</f>
        <v>#REF!</v>
      </c>
    </row>
    <row r="2074" spans="1:20" s="507" customFormat="1" ht="18" customHeight="1" x14ac:dyDescent="0.4">
      <c r="A2074" s="24" t="s">
        <v>7633</v>
      </c>
      <c r="B2074" s="24" t="s">
        <v>7634</v>
      </c>
      <c r="C2074" s="24"/>
      <c r="D2074" s="24" t="s">
        <v>6940</v>
      </c>
      <c r="E2074" s="25" t="s">
        <v>10</v>
      </c>
      <c r="F2074" s="24" t="s">
        <v>3072</v>
      </c>
      <c r="G2074" s="25">
        <v>44950</v>
      </c>
      <c r="H2074" s="25" t="s">
        <v>7635</v>
      </c>
      <c r="I2074" s="264">
        <v>72771</v>
      </c>
      <c r="J2074" s="24" t="s">
        <v>7636</v>
      </c>
      <c r="K2074" s="25">
        <v>45048</v>
      </c>
      <c r="L2074" s="24" t="s">
        <v>364</v>
      </c>
      <c r="M2074" s="24" t="s">
        <v>364</v>
      </c>
      <c r="N2074" s="24" t="s">
        <v>364</v>
      </c>
      <c r="O2074" s="24" t="s">
        <v>364</v>
      </c>
      <c r="P2074" s="468" t="s">
        <v>7637</v>
      </c>
      <c r="Q2074" s="264"/>
      <c r="R2074" s="264"/>
      <c r="S2074" s="343"/>
      <c r="T2074" s="512" t="e">
        <f>_xlfn.XLOOKUP(H2074,#REF!,#REF!,0,0)</f>
        <v>#REF!</v>
      </c>
    </row>
    <row r="2075" spans="1:20" s="507" customFormat="1" ht="18" customHeight="1" x14ac:dyDescent="0.4">
      <c r="A2075" s="24" t="s">
        <v>7638</v>
      </c>
      <c r="B2075" s="24" t="s">
        <v>7639</v>
      </c>
      <c r="C2075" s="24"/>
      <c r="D2075" s="24" t="s">
        <v>6940</v>
      </c>
      <c r="E2075" s="25" t="s">
        <v>10</v>
      </c>
      <c r="F2075" s="24" t="s">
        <v>3072</v>
      </c>
      <c r="G2075" s="25">
        <v>44950</v>
      </c>
      <c r="H2075" s="25" t="s">
        <v>7640</v>
      </c>
      <c r="I2075" s="264">
        <v>72772</v>
      </c>
      <c r="J2075" s="24" t="s">
        <v>7641</v>
      </c>
      <c r="K2075" s="25">
        <v>45048</v>
      </c>
      <c r="L2075" s="24" t="s">
        <v>364</v>
      </c>
      <c r="M2075" s="24" t="s">
        <v>364</v>
      </c>
      <c r="N2075" s="24" t="s">
        <v>364</v>
      </c>
      <c r="O2075" s="24" t="s">
        <v>364</v>
      </c>
      <c r="P2075" s="468" t="s">
        <v>7642</v>
      </c>
      <c r="Q2075" s="264"/>
      <c r="R2075" s="264"/>
      <c r="S2075" s="343"/>
      <c r="T2075" s="512" t="e">
        <f>_xlfn.XLOOKUP(H2075,#REF!,#REF!,0,0)</f>
        <v>#REF!</v>
      </c>
    </row>
    <row r="2076" spans="1:20" s="299" customFormat="1" x14ac:dyDescent="0.4">
      <c r="A2076" s="10" t="s">
        <v>7643</v>
      </c>
      <c r="B2076" s="10" t="s">
        <v>7644</v>
      </c>
      <c r="C2076" s="19" t="s">
        <v>433</v>
      </c>
      <c r="D2076" s="10" t="s">
        <v>693</v>
      </c>
      <c r="E2076" s="18" t="s">
        <v>10</v>
      </c>
      <c r="F2076" s="10" t="s">
        <v>5179</v>
      </c>
      <c r="G2076" s="18">
        <v>44939</v>
      </c>
      <c r="H2076" s="18" t="s">
        <v>7645</v>
      </c>
      <c r="I2076" s="134">
        <v>72781</v>
      </c>
      <c r="J2076" s="10" t="s">
        <v>7646</v>
      </c>
      <c r="K2076" s="18">
        <v>45049</v>
      </c>
      <c r="L2076" s="10" t="s">
        <v>364</v>
      </c>
      <c r="M2076" s="10" t="s">
        <v>364</v>
      </c>
      <c r="N2076" s="10" t="s">
        <v>364</v>
      </c>
      <c r="O2076" s="10" t="s">
        <v>364</v>
      </c>
      <c r="P2076" s="477" t="s">
        <v>7647</v>
      </c>
      <c r="Q2076" s="134"/>
      <c r="R2076" s="134"/>
      <c r="S2076" s="344"/>
      <c r="T2076" s="512" t="e">
        <f>_xlfn.XLOOKUP(H2076,#REF!,#REF!,0,0)</f>
        <v>#REF!</v>
      </c>
    </row>
    <row r="2077" spans="1:20" s="299" customFormat="1" x14ac:dyDescent="0.4">
      <c r="A2077" s="10" t="s">
        <v>7648</v>
      </c>
      <c r="B2077" s="10" t="s">
        <v>7649</v>
      </c>
      <c r="C2077" s="19" t="s">
        <v>433</v>
      </c>
      <c r="D2077" s="10" t="s">
        <v>6940</v>
      </c>
      <c r="E2077" s="18" t="s">
        <v>10</v>
      </c>
      <c r="F2077" s="10" t="s">
        <v>5179</v>
      </c>
      <c r="G2077" s="18">
        <v>44939</v>
      </c>
      <c r="H2077" s="18" t="s">
        <v>7650</v>
      </c>
      <c r="I2077" s="134">
        <v>72779</v>
      </c>
      <c r="J2077" s="10" t="s">
        <v>7651</v>
      </c>
      <c r="K2077" s="18">
        <v>45049</v>
      </c>
      <c r="L2077" s="10" t="s">
        <v>364</v>
      </c>
      <c r="M2077" s="10" t="s">
        <v>364</v>
      </c>
      <c r="N2077" s="10" t="s">
        <v>364</v>
      </c>
      <c r="O2077" s="10" t="s">
        <v>364</v>
      </c>
      <c r="P2077" s="477"/>
      <c r="Q2077" s="134"/>
      <c r="R2077" s="134"/>
      <c r="S2077" s="344"/>
      <c r="T2077" s="512" t="e">
        <f>_xlfn.XLOOKUP(H2077,#REF!,#REF!,0,0)</f>
        <v>#REF!</v>
      </c>
    </row>
    <row r="2078" spans="1:20" s="299" customFormat="1" x14ac:dyDescent="0.4">
      <c r="A2078" s="10" t="s">
        <v>7652</v>
      </c>
      <c r="B2078" s="10" t="s">
        <v>7653</v>
      </c>
      <c r="C2078" s="19" t="s">
        <v>433</v>
      </c>
      <c r="D2078" s="10" t="s">
        <v>693</v>
      </c>
      <c r="E2078" s="18" t="s">
        <v>10</v>
      </c>
      <c r="F2078" s="10" t="s">
        <v>5179</v>
      </c>
      <c r="G2078" s="18">
        <v>44974</v>
      </c>
      <c r="H2078" s="18" t="s">
        <v>7654</v>
      </c>
      <c r="I2078" s="134">
        <v>73108</v>
      </c>
      <c r="J2078" s="10" t="s">
        <v>7655</v>
      </c>
      <c r="K2078" s="18"/>
      <c r="L2078" s="10" t="s">
        <v>364</v>
      </c>
      <c r="M2078" s="10" t="s">
        <v>364</v>
      </c>
      <c r="N2078" s="10" t="s">
        <v>364</v>
      </c>
      <c r="O2078" s="10" t="s">
        <v>364</v>
      </c>
      <c r="P2078" s="477"/>
      <c r="Q2078" s="134"/>
      <c r="R2078" s="134"/>
      <c r="S2078" s="344"/>
      <c r="T2078" s="512" t="e">
        <f>_xlfn.XLOOKUP(H2078,#REF!,#REF!,0,0)</f>
        <v>#REF!</v>
      </c>
    </row>
    <row r="2079" spans="1:20" s="507" customFormat="1" ht="18" customHeight="1" x14ac:dyDescent="0.4">
      <c r="A2079" s="24" t="s">
        <v>7656</v>
      </c>
      <c r="B2079" s="24" t="s">
        <v>7657</v>
      </c>
      <c r="C2079" s="24"/>
      <c r="D2079" s="24" t="s">
        <v>693</v>
      </c>
      <c r="E2079" s="25" t="s">
        <v>10</v>
      </c>
      <c r="F2079" s="24" t="s">
        <v>3072</v>
      </c>
      <c r="G2079" s="25">
        <v>44950</v>
      </c>
      <c r="H2079" s="25" t="s">
        <v>7658</v>
      </c>
      <c r="I2079" s="264">
        <v>72770</v>
      </c>
      <c r="J2079" s="24" t="s">
        <v>7659</v>
      </c>
      <c r="K2079" s="25">
        <v>45050</v>
      </c>
      <c r="L2079" s="24" t="s">
        <v>364</v>
      </c>
      <c r="M2079" s="24" t="s">
        <v>364</v>
      </c>
      <c r="N2079" s="24" t="s">
        <v>364</v>
      </c>
      <c r="O2079" s="24" t="s">
        <v>364</v>
      </c>
      <c r="P2079" s="468" t="s">
        <v>7660</v>
      </c>
      <c r="Q2079" s="264"/>
      <c r="R2079" s="264"/>
      <c r="S2079" s="343"/>
      <c r="T2079" s="512" t="e">
        <f>_xlfn.XLOOKUP(H2079,#REF!,#REF!,0,0)</f>
        <v>#REF!</v>
      </c>
    </row>
    <row r="2080" spans="1:20" s="299" customFormat="1" x14ac:dyDescent="0.4">
      <c r="A2080" s="10" t="s">
        <v>7661</v>
      </c>
      <c r="B2080" s="10" t="s">
        <v>7662</v>
      </c>
      <c r="C2080" s="19" t="s">
        <v>433</v>
      </c>
      <c r="D2080" s="10" t="s">
        <v>693</v>
      </c>
      <c r="E2080" s="18" t="s">
        <v>10</v>
      </c>
      <c r="F2080" s="10" t="s">
        <v>5179</v>
      </c>
      <c r="G2080" s="18"/>
      <c r="H2080" s="18" t="s">
        <v>5355</v>
      </c>
      <c r="I2080" s="134">
        <v>70711</v>
      </c>
      <c r="J2080" s="10"/>
      <c r="K2080" s="18"/>
      <c r="L2080" s="10" t="s">
        <v>364</v>
      </c>
      <c r="M2080" s="10" t="s">
        <v>364</v>
      </c>
      <c r="N2080" s="10" t="s">
        <v>364</v>
      </c>
      <c r="O2080" s="10" t="s">
        <v>364</v>
      </c>
      <c r="P2080" s="477"/>
      <c r="Q2080" s="134"/>
      <c r="R2080" s="134"/>
      <c r="S2080" s="344"/>
      <c r="T2080" s="512" t="e">
        <f>_xlfn.XLOOKUP(H2080,#REF!,#REF!,0,0)</f>
        <v>#REF!</v>
      </c>
    </row>
    <row r="2081" spans="1:20" s="299" customFormat="1" x14ac:dyDescent="0.4">
      <c r="A2081" s="10" t="s">
        <v>7663</v>
      </c>
      <c r="B2081" s="10" t="s">
        <v>7664</v>
      </c>
      <c r="C2081" s="19" t="s">
        <v>433</v>
      </c>
      <c r="D2081" s="10" t="s">
        <v>693</v>
      </c>
      <c r="E2081" s="18" t="s">
        <v>10</v>
      </c>
      <c r="F2081" s="10" t="s">
        <v>5179</v>
      </c>
      <c r="G2081" s="18"/>
      <c r="H2081" s="18" t="s">
        <v>1168</v>
      </c>
      <c r="I2081" s="134">
        <v>70640</v>
      </c>
      <c r="J2081" s="10"/>
      <c r="K2081" s="18"/>
      <c r="L2081" s="10" t="s">
        <v>364</v>
      </c>
      <c r="M2081" s="10" t="s">
        <v>364</v>
      </c>
      <c r="N2081" s="10" t="s">
        <v>364</v>
      </c>
      <c r="O2081" s="10" t="s">
        <v>364</v>
      </c>
      <c r="P2081" s="477"/>
      <c r="Q2081" s="134"/>
      <c r="R2081" s="134"/>
      <c r="S2081" s="344"/>
      <c r="T2081" s="512" t="e">
        <f>_xlfn.XLOOKUP(H2081,#REF!,#REF!,0,0)</f>
        <v>#REF!</v>
      </c>
    </row>
    <row r="2082" spans="1:20" s="507" customFormat="1" ht="18" customHeight="1" x14ac:dyDescent="0.4">
      <c r="A2082" s="24" t="s">
        <v>7665</v>
      </c>
      <c r="B2082" s="24" t="s">
        <v>7666</v>
      </c>
      <c r="C2082" s="24"/>
      <c r="D2082" s="24" t="s">
        <v>693</v>
      </c>
      <c r="E2082" s="25" t="s">
        <v>10</v>
      </c>
      <c r="F2082" s="24" t="s">
        <v>5179</v>
      </c>
      <c r="G2082" s="25">
        <v>44974</v>
      </c>
      <c r="H2082" s="25" t="s">
        <v>7667</v>
      </c>
      <c r="I2082" s="264">
        <v>73109</v>
      </c>
      <c r="J2082" s="24" t="s">
        <v>7668</v>
      </c>
      <c r="K2082" s="25">
        <v>45056</v>
      </c>
      <c r="L2082" s="24" t="s">
        <v>364</v>
      </c>
      <c r="M2082" s="24" t="s">
        <v>364</v>
      </c>
      <c r="N2082" s="24" t="s">
        <v>364</v>
      </c>
      <c r="O2082" s="24" t="s">
        <v>364</v>
      </c>
      <c r="P2082" s="468" t="s">
        <v>7669</v>
      </c>
      <c r="Q2082" s="264"/>
      <c r="R2082" s="264"/>
      <c r="S2082" s="343"/>
      <c r="T2082" s="512" t="e">
        <f>_xlfn.XLOOKUP(H2082,#REF!,#REF!,0,0)</f>
        <v>#REF!</v>
      </c>
    </row>
    <row r="2083" spans="1:20" s="299" customFormat="1" x14ac:dyDescent="0.4">
      <c r="A2083" s="10" t="s">
        <v>7670</v>
      </c>
      <c r="B2083" s="10" t="s">
        <v>7671</v>
      </c>
      <c r="C2083" s="19" t="s">
        <v>433</v>
      </c>
      <c r="D2083" s="10" t="s">
        <v>693</v>
      </c>
      <c r="E2083" s="18" t="s">
        <v>10</v>
      </c>
      <c r="F2083" s="10" t="s">
        <v>3072</v>
      </c>
      <c r="G2083" s="18"/>
      <c r="H2083" s="18" t="s">
        <v>3096</v>
      </c>
      <c r="I2083" s="134">
        <v>69214</v>
      </c>
      <c r="J2083" s="10"/>
      <c r="K2083" s="18">
        <v>45051</v>
      </c>
      <c r="L2083" s="10" t="s">
        <v>364</v>
      </c>
      <c r="M2083" s="10" t="s">
        <v>364</v>
      </c>
      <c r="N2083" s="10" t="s">
        <v>364</v>
      </c>
      <c r="O2083" s="10" t="s">
        <v>364</v>
      </c>
      <c r="P2083" s="477" t="s">
        <v>7672</v>
      </c>
      <c r="Q2083" s="134"/>
      <c r="R2083" s="134"/>
      <c r="S2083" s="344"/>
      <c r="T2083" s="512" t="e">
        <f>_xlfn.XLOOKUP(H2083,#REF!,#REF!,0,0)</f>
        <v>#REF!</v>
      </c>
    </row>
    <row r="2084" spans="1:20" s="299" customFormat="1" x14ac:dyDescent="0.4">
      <c r="A2084" s="10" t="s">
        <v>7673</v>
      </c>
      <c r="B2084" s="10" t="s">
        <v>7674</v>
      </c>
      <c r="C2084" s="19" t="s">
        <v>433</v>
      </c>
      <c r="D2084" s="10" t="s">
        <v>693</v>
      </c>
      <c r="E2084" s="18" t="s">
        <v>10</v>
      </c>
      <c r="F2084" s="10" t="s">
        <v>3072</v>
      </c>
      <c r="G2084" s="18"/>
      <c r="H2084" s="18" t="s">
        <v>634</v>
      </c>
      <c r="I2084" s="134">
        <v>69317</v>
      </c>
      <c r="J2084" s="10"/>
      <c r="K2084" s="18">
        <v>45051</v>
      </c>
      <c r="L2084" s="10" t="s">
        <v>364</v>
      </c>
      <c r="M2084" s="10" t="s">
        <v>364</v>
      </c>
      <c r="N2084" s="10" t="s">
        <v>364</v>
      </c>
      <c r="O2084" s="10" t="s">
        <v>364</v>
      </c>
      <c r="P2084" s="477" t="s">
        <v>7672</v>
      </c>
      <c r="Q2084" s="134"/>
      <c r="R2084" s="134"/>
      <c r="S2084" s="344"/>
      <c r="T2084" s="512" t="e">
        <f>_xlfn.XLOOKUP(H2084,#REF!,#REF!,0,0)</f>
        <v>#REF!</v>
      </c>
    </row>
    <row r="2085" spans="1:20" s="299" customFormat="1" x14ac:dyDescent="0.4">
      <c r="A2085" s="10" t="s">
        <v>7675</v>
      </c>
      <c r="B2085" s="10" t="s">
        <v>7676</v>
      </c>
      <c r="C2085" s="19" t="s">
        <v>433</v>
      </c>
      <c r="D2085" s="10" t="s">
        <v>693</v>
      </c>
      <c r="E2085" s="18" t="s">
        <v>10</v>
      </c>
      <c r="F2085" s="10" t="s">
        <v>3072</v>
      </c>
      <c r="G2085" s="18">
        <v>44950</v>
      </c>
      <c r="H2085" s="18" t="s">
        <v>7677</v>
      </c>
      <c r="I2085" s="134">
        <v>72773</v>
      </c>
      <c r="J2085" s="10" t="s">
        <v>7678</v>
      </c>
      <c r="K2085" s="18">
        <v>45051</v>
      </c>
      <c r="L2085" s="10" t="s">
        <v>364</v>
      </c>
      <c r="M2085" s="10" t="s">
        <v>364</v>
      </c>
      <c r="N2085" s="10" t="s">
        <v>364</v>
      </c>
      <c r="O2085" s="10" t="s">
        <v>364</v>
      </c>
      <c r="P2085" s="477" t="s">
        <v>7679</v>
      </c>
      <c r="Q2085" s="134"/>
      <c r="R2085" s="134"/>
      <c r="S2085" s="344"/>
      <c r="T2085" s="512" t="e">
        <f>_xlfn.XLOOKUP(H2085,#REF!,#REF!,0,0)</f>
        <v>#REF!</v>
      </c>
    </row>
    <row r="2086" spans="1:20" s="299" customFormat="1" x14ac:dyDescent="0.4">
      <c r="A2086" s="10" t="s">
        <v>7680</v>
      </c>
      <c r="B2086" s="10" t="s">
        <v>7681</v>
      </c>
      <c r="C2086" s="19" t="s">
        <v>433</v>
      </c>
      <c r="D2086" s="10" t="s">
        <v>693</v>
      </c>
      <c r="E2086" s="18" t="s">
        <v>10</v>
      </c>
      <c r="F2086" s="10" t="s">
        <v>3072</v>
      </c>
      <c r="G2086" s="18">
        <v>44950</v>
      </c>
      <c r="H2086" s="18" t="s">
        <v>7682</v>
      </c>
      <c r="I2086" s="134">
        <v>72766</v>
      </c>
      <c r="J2086" s="10" t="s">
        <v>7683</v>
      </c>
      <c r="K2086" s="18">
        <v>45051</v>
      </c>
      <c r="L2086" s="10" t="s">
        <v>364</v>
      </c>
      <c r="M2086" s="10" t="s">
        <v>364</v>
      </c>
      <c r="N2086" s="10" t="s">
        <v>364</v>
      </c>
      <c r="O2086" s="10" t="s">
        <v>364</v>
      </c>
      <c r="P2086" s="477" t="s">
        <v>7684</v>
      </c>
      <c r="Q2086" s="134"/>
      <c r="R2086" s="134"/>
      <c r="S2086" s="344"/>
      <c r="T2086" s="512" t="e">
        <f>_xlfn.XLOOKUP(H2086,#REF!,#REF!,0,0)</f>
        <v>#REF!</v>
      </c>
    </row>
    <row r="2087" spans="1:20" s="295" customFormat="1" ht="18" customHeight="1" x14ac:dyDescent="0.4">
      <c r="A2087" s="5" t="s">
        <v>7685</v>
      </c>
      <c r="B2087" s="5" t="s">
        <v>7686</v>
      </c>
      <c r="C2087" s="5"/>
      <c r="D2087" s="5" t="s">
        <v>693</v>
      </c>
      <c r="E2087" s="4" t="s">
        <v>10</v>
      </c>
      <c r="F2087" s="5" t="s">
        <v>6484</v>
      </c>
      <c r="G2087" s="4"/>
      <c r="H2087" s="4" t="s">
        <v>7687</v>
      </c>
      <c r="I2087" s="3">
        <v>69782</v>
      </c>
      <c r="J2087" s="5"/>
      <c r="K2087" s="4">
        <v>45054</v>
      </c>
      <c r="L2087" s="5" t="s">
        <v>364</v>
      </c>
      <c r="M2087" s="5" t="s">
        <v>364</v>
      </c>
      <c r="N2087" s="5" t="s">
        <v>364</v>
      </c>
      <c r="O2087" s="5" t="s">
        <v>364</v>
      </c>
      <c r="P2087" s="474" t="s">
        <v>7688</v>
      </c>
      <c r="Q2087" s="3"/>
      <c r="R2087" s="3"/>
      <c r="S2087" s="1"/>
      <c r="T2087" s="512" t="e">
        <f>_xlfn.XLOOKUP(H2087,#REF!,#REF!,0,0)</f>
        <v>#REF!</v>
      </c>
    </row>
    <row r="2088" spans="1:20" s="507" customFormat="1" ht="18" customHeight="1" x14ac:dyDescent="0.4">
      <c r="A2088" s="24" t="s">
        <v>7689</v>
      </c>
      <c r="B2088" s="24" t="s">
        <v>7690</v>
      </c>
      <c r="C2088" s="24"/>
      <c r="D2088" s="24" t="s">
        <v>693</v>
      </c>
      <c r="E2088" s="25" t="s">
        <v>10</v>
      </c>
      <c r="F2088" s="24" t="s">
        <v>3072</v>
      </c>
      <c r="G2088" s="25">
        <v>44950</v>
      </c>
      <c r="H2088" s="25" t="s">
        <v>7691</v>
      </c>
      <c r="I2088" s="264">
        <v>72774</v>
      </c>
      <c r="J2088" s="24" t="s">
        <v>7692</v>
      </c>
      <c r="K2088" s="25"/>
      <c r="L2088" s="24" t="s">
        <v>364</v>
      </c>
      <c r="M2088" s="24" t="s">
        <v>364</v>
      </c>
      <c r="N2088" s="24" t="s">
        <v>364</v>
      </c>
      <c r="O2088" s="24" t="s">
        <v>364</v>
      </c>
      <c r="P2088" s="468"/>
      <c r="Q2088" s="264"/>
      <c r="R2088" s="264"/>
      <c r="S2088" s="343"/>
      <c r="T2088" s="512" t="e">
        <f>_xlfn.XLOOKUP(H2088,#REF!,#REF!,0,0)</f>
        <v>#REF!</v>
      </c>
    </row>
    <row r="2089" spans="1:20" s="507" customFormat="1" ht="18" customHeight="1" x14ac:dyDescent="0.4">
      <c r="A2089" s="24" t="s">
        <v>7693</v>
      </c>
      <c r="B2089" s="24" t="s">
        <v>7694</v>
      </c>
      <c r="C2089" s="24"/>
      <c r="D2089" s="24" t="s">
        <v>693</v>
      </c>
      <c r="E2089" s="25" t="s">
        <v>10</v>
      </c>
      <c r="F2089" s="24" t="s">
        <v>5179</v>
      </c>
      <c r="G2089" s="25">
        <v>44974</v>
      </c>
      <c r="H2089" s="25" t="s">
        <v>7695</v>
      </c>
      <c r="I2089" s="264">
        <v>73110</v>
      </c>
      <c r="J2089" s="24" t="s">
        <v>7696</v>
      </c>
      <c r="K2089" s="25">
        <v>45054</v>
      </c>
      <c r="L2089" s="24" t="s">
        <v>364</v>
      </c>
      <c r="M2089" s="24" t="s">
        <v>364</v>
      </c>
      <c r="N2089" s="24" t="s">
        <v>364</v>
      </c>
      <c r="O2089" s="24" t="s">
        <v>364</v>
      </c>
      <c r="P2089" s="468"/>
      <c r="Q2089" s="264"/>
      <c r="R2089" s="264"/>
      <c r="S2089" s="343"/>
      <c r="T2089" s="512" t="e">
        <f>_xlfn.XLOOKUP(H2089,#REF!,#REF!,0,0)</f>
        <v>#REF!</v>
      </c>
    </row>
    <row r="2090" spans="1:20" s="299" customFormat="1" x14ac:dyDescent="0.4">
      <c r="A2090" s="18" t="s">
        <v>7697</v>
      </c>
      <c r="B2090" s="18" t="s">
        <v>7698</v>
      </c>
      <c r="C2090" s="19" t="s">
        <v>433</v>
      </c>
      <c r="D2090" s="18" t="s">
        <v>7699</v>
      </c>
      <c r="E2090" s="18" t="s">
        <v>10</v>
      </c>
      <c r="F2090" s="10" t="s">
        <v>3072</v>
      </c>
      <c r="G2090" s="18">
        <v>44992</v>
      </c>
      <c r="H2090" s="18" t="s">
        <v>7700</v>
      </c>
      <c r="I2090" s="134">
        <v>72911</v>
      </c>
      <c r="J2090" s="18" t="s">
        <v>7701</v>
      </c>
      <c r="K2090" s="18"/>
      <c r="L2090" s="18" t="s">
        <v>364</v>
      </c>
      <c r="M2090" s="18" t="s">
        <v>364</v>
      </c>
      <c r="N2090" s="18" t="s">
        <v>364</v>
      </c>
      <c r="O2090" s="18" t="s">
        <v>364</v>
      </c>
      <c r="P2090" s="466"/>
      <c r="Q2090" s="134"/>
      <c r="R2090" s="134"/>
      <c r="S2090" s="344"/>
      <c r="T2090" s="512" t="e">
        <f>_xlfn.XLOOKUP(H2090,#REF!,#REF!,0,0)</f>
        <v>#REF!</v>
      </c>
    </row>
    <row r="2091" spans="1:20" s="299" customFormat="1" x14ac:dyDescent="0.4">
      <c r="A2091" s="18" t="s">
        <v>7702</v>
      </c>
      <c r="B2091" s="18" t="s">
        <v>7703</v>
      </c>
      <c r="C2091" s="19" t="s">
        <v>433</v>
      </c>
      <c r="D2091" s="18" t="s">
        <v>1097</v>
      </c>
      <c r="E2091" s="18" t="s">
        <v>10</v>
      </c>
      <c r="F2091" s="10">
        <v>840</v>
      </c>
      <c r="G2091" s="18"/>
      <c r="H2091" s="18" t="s">
        <v>5355</v>
      </c>
      <c r="I2091" s="134">
        <v>70711</v>
      </c>
      <c r="J2091" s="18"/>
      <c r="K2091" s="18">
        <v>45061</v>
      </c>
      <c r="L2091" s="18" t="s">
        <v>364</v>
      </c>
      <c r="M2091" s="18" t="s">
        <v>364</v>
      </c>
      <c r="N2091" s="18" t="s">
        <v>364</v>
      </c>
      <c r="O2091" s="18" t="s">
        <v>364</v>
      </c>
      <c r="P2091" s="466" t="s">
        <v>7704</v>
      </c>
      <c r="Q2091" s="134"/>
      <c r="R2091" s="134"/>
      <c r="S2091" s="344"/>
      <c r="T2091" s="512" t="e">
        <f>_xlfn.XLOOKUP(H2091,#REF!,#REF!,0,0)</f>
        <v>#REF!</v>
      </c>
    </row>
    <row r="2092" spans="1:20" s="505" customFormat="1" x14ac:dyDescent="0.4">
      <c r="A2092" s="214" t="s">
        <v>7705</v>
      </c>
      <c r="B2092" s="214" t="s">
        <v>7706</v>
      </c>
      <c r="C2092" s="214"/>
      <c r="D2092" s="214" t="s">
        <v>3778</v>
      </c>
      <c r="E2092" s="215" t="s">
        <v>10</v>
      </c>
      <c r="F2092" s="214">
        <v>840</v>
      </c>
      <c r="G2092" s="215"/>
      <c r="H2092" s="215" t="s">
        <v>6311</v>
      </c>
      <c r="I2092" s="354">
        <v>71226</v>
      </c>
      <c r="J2092" s="214"/>
      <c r="K2092" s="215">
        <v>45061</v>
      </c>
      <c r="L2092" s="214" t="s">
        <v>364</v>
      </c>
      <c r="M2092" s="214" t="s">
        <v>364</v>
      </c>
      <c r="N2092" s="214" t="s">
        <v>364</v>
      </c>
      <c r="O2092" s="214" t="s">
        <v>364</v>
      </c>
      <c r="P2092" s="478" t="s">
        <v>7707</v>
      </c>
      <c r="Q2092" s="354"/>
      <c r="R2092" s="354"/>
      <c r="S2092" s="346"/>
      <c r="T2092" s="512" t="e">
        <f>_xlfn.XLOOKUP(H2092,#REF!,#REF!,0,0)</f>
        <v>#REF!</v>
      </c>
    </row>
    <row r="2093" spans="1:20" s="507" customFormat="1" ht="18" customHeight="1" x14ac:dyDescent="0.4">
      <c r="A2093" s="264" t="s">
        <v>7708</v>
      </c>
      <c r="B2093" s="264" t="s">
        <v>7709</v>
      </c>
      <c r="C2093" s="264"/>
      <c r="D2093" s="264" t="s">
        <v>1097</v>
      </c>
      <c r="E2093" s="25" t="s">
        <v>10</v>
      </c>
      <c r="F2093" s="24" t="s">
        <v>3072</v>
      </c>
      <c r="G2093" s="25">
        <v>44992</v>
      </c>
      <c r="H2093" s="25" t="s">
        <v>7710</v>
      </c>
      <c r="I2093" s="264">
        <v>72912</v>
      </c>
      <c r="J2093" s="264" t="s">
        <v>7711</v>
      </c>
      <c r="K2093" s="25">
        <v>45061</v>
      </c>
      <c r="L2093" s="264" t="s">
        <v>364</v>
      </c>
      <c r="M2093" s="264" t="s">
        <v>364</v>
      </c>
      <c r="N2093" s="264" t="s">
        <v>364</v>
      </c>
      <c r="O2093" s="264" t="s">
        <v>364</v>
      </c>
      <c r="P2093" s="472" t="s">
        <v>6278</v>
      </c>
      <c r="Q2093" s="264"/>
      <c r="R2093" s="264"/>
      <c r="S2093" s="343"/>
      <c r="T2093" s="512" t="e">
        <f>_xlfn.XLOOKUP(H2093,#REF!,#REF!,0,0)</f>
        <v>#REF!</v>
      </c>
    </row>
    <row r="2094" spans="1:20" s="299" customFormat="1" x14ac:dyDescent="0.4">
      <c r="A2094" s="18" t="s">
        <v>7712</v>
      </c>
      <c r="B2094" s="18" t="s">
        <v>7713</v>
      </c>
      <c r="C2094" s="19" t="s">
        <v>433</v>
      </c>
      <c r="D2094" s="18" t="s">
        <v>3778</v>
      </c>
      <c r="E2094" s="18" t="s">
        <v>10</v>
      </c>
      <c r="F2094" s="10" t="s">
        <v>6484</v>
      </c>
      <c r="G2094" s="18"/>
      <c r="H2094" s="18" t="s">
        <v>5815</v>
      </c>
      <c r="I2094" s="134">
        <v>70929</v>
      </c>
      <c r="J2094" s="18"/>
      <c r="K2094" s="18">
        <v>45062</v>
      </c>
      <c r="L2094" s="18" t="s">
        <v>364</v>
      </c>
      <c r="M2094" s="18" t="s">
        <v>364</v>
      </c>
      <c r="N2094" s="18" t="s">
        <v>364</v>
      </c>
      <c r="O2094" s="18" t="s">
        <v>364</v>
      </c>
      <c r="P2094" s="466" t="s">
        <v>7714</v>
      </c>
      <c r="Q2094" s="134"/>
      <c r="R2094" s="134"/>
      <c r="S2094" s="344"/>
      <c r="T2094" s="512" t="e">
        <f>_xlfn.XLOOKUP(H2094,#REF!,#REF!,0,0)</f>
        <v>#REF!</v>
      </c>
    </row>
    <row r="2095" spans="1:20" s="299" customFormat="1" x14ac:dyDescent="0.4">
      <c r="A2095" s="18" t="s">
        <v>7715</v>
      </c>
      <c r="B2095" s="18" t="s">
        <v>7716</v>
      </c>
      <c r="C2095" s="19" t="s">
        <v>433</v>
      </c>
      <c r="D2095" s="18" t="s">
        <v>3778</v>
      </c>
      <c r="E2095" s="18" t="s">
        <v>10</v>
      </c>
      <c r="F2095" s="10" t="s">
        <v>3072</v>
      </c>
      <c r="G2095" s="18">
        <v>44950</v>
      </c>
      <c r="H2095" s="18" t="s">
        <v>7717</v>
      </c>
      <c r="I2095" s="134">
        <v>72768</v>
      </c>
      <c r="J2095" s="18" t="s">
        <v>7718</v>
      </c>
      <c r="K2095" s="18">
        <v>45061</v>
      </c>
      <c r="L2095" s="18" t="s">
        <v>364</v>
      </c>
      <c r="M2095" s="18" t="s">
        <v>364</v>
      </c>
      <c r="N2095" s="18" t="s">
        <v>364</v>
      </c>
      <c r="O2095" s="18" t="s">
        <v>364</v>
      </c>
      <c r="P2095" s="466"/>
      <c r="Q2095" s="134"/>
      <c r="R2095" s="134"/>
      <c r="S2095" s="344"/>
      <c r="T2095" s="512" t="e">
        <f>_xlfn.XLOOKUP(H2095,#REF!,#REF!,0,0)</f>
        <v>#REF!</v>
      </c>
    </row>
    <row r="2096" spans="1:20" s="299" customFormat="1" x14ac:dyDescent="0.4">
      <c r="A2096" s="18" t="s">
        <v>7719</v>
      </c>
      <c r="B2096" s="18" t="s">
        <v>7720</v>
      </c>
      <c r="C2096" s="19" t="s">
        <v>433</v>
      </c>
      <c r="D2096" s="18" t="s">
        <v>3778</v>
      </c>
      <c r="E2096" s="18" t="s">
        <v>10</v>
      </c>
      <c r="F2096" s="10">
        <v>840</v>
      </c>
      <c r="G2096" s="18"/>
      <c r="H2096" s="18" t="s">
        <v>267</v>
      </c>
      <c r="I2096" s="134">
        <v>70712</v>
      </c>
      <c r="J2096" s="18"/>
      <c r="K2096" s="18">
        <v>45061</v>
      </c>
      <c r="L2096" s="18" t="s">
        <v>364</v>
      </c>
      <c r="M2096" s="18" t="s">
        <v>364</v>
      </c>
      <c r="N2096" s="18" t="s">
        <v>364</v>
      </c>
      <c r="O2096" s="18" t="s">
        <v>364</v>
      </c>
      <c r="P2096" s="466"/>
      <c r="Q2096" s="134"/>
      <c r="R2096" s="134"/>
      <c r="S2096" s="344"/>
      <c r="T2096" s="512" t="e">
        <f>_xlfn.XLOOKUP(H2096,#REF!,#REF!,0,0)</f>
        <v>#REF!</v>
      </c>
    </row>
    <row r="2097" spans="1:20" s="299" customFormat="1" x14ac:dyDescent="0.4">
      <c r="A2097" s="18" t="s">
        <v>7721</v>
      </c>
      <c r="B2097" s="18" t="s">
        <v>7722</v>
      </c>
      <c r="C2097" s="19" t="s">
        <v>433</v>
      </c>
      <c r="D2097" s="18" t="s">
        <v>693</v>
      </c>
      <c r="E2097" s="18" t="s">
        <v>10</v>
      </c>
      <c r="F2097" s="10">
        <v>840</v>
      </c>
      <c r="G2097" s="18"/>
      <c r="H2097" s="18" t="s">
        <v>6865</v>
      </c>
      <c r="I2097" s="134">
        <v>71539</v>
      </c>
      <c r="J2097" s="18"/>
      <c r="K2097" s="18"/>
      <c r="L2097" s="18" t="s">
        <v>364</v>
      </c>
      <c r="M2097" s="18" t="s">
        <v>364</v>
      </c>
      <c r="N2097" s="18" t="s">
        <v>364</v>
      </c>
      <c r="O2097" s="18" t="s">
        <v>364</v>
      </c>
      <c r="P2097" s="466" t="s">
        <v>7723</v>
      </c>
      <c r="Q2097" s="134"/>
      <c r="R2097" s="134"/>
      <c r="S2097" s="344"/>
      <c r="T2097" s="512" t="e">
        <f>_xlfn.XLOOKUP(H2097,#REF!,#REF!,0,0)</f>
        <v>#REF!</v>
      </c>
    </row>
    <row r="2098" spans="1:20" s="299" customFormat="1" x14ac:dyDescent="0.4">
      <c r="A2098" s="18" t="s">
        <v>7724</v>
      </c>
      <c r="B2098" s="18" t="s">
        <v>7725</v>
      </c>
      <c r="C2098" s="19" t="s">
        <v>433</v>
      </c>
      <c r="D2098" s="18" t="s">
        <v>693</v>
      </c>
      <c r="E2098" s="18" t="s">
        <v>10</v>
      </c>
      <c r="F2098" s="10" t="s">
        <v>3072</v>
      </c>
      <c r="G2098" s="18">
        <v>44992</v>
      </c>
      <c r="H2098" s="18" t="s">
        <v>7726</v>
      </c>
      <c r="I2098" s="134">
        <v>72913</v>
      </c>
      <c r="J2098" s="18" t="s">
        <v>7727</v>
      </c>
      <c r="K2098" s="18"/>
      <c r="L2098" s="18" t="s">
        <v>364</v>
      </c>
      <c r="M2098" s="18" t="s">
        <v>364</v>
      </c>
      <c r="N2098" s="18" t="s">
        <v>364</v>
      </c>
      <c r="O2098" s="18" t="s">
        <v>364</v>
      </c>
      <c r="P2098" s="466"/>
      <c r="Q2098" s="134"/>
      <c r="R2098" s="134"/>
      <c r="S2098" s="344"/>
      <c r="T2098" s="512" t="e">
        <f>_xlfn.XLOOKUP(H2098,#REF!,#REF!,0,0)</f>
        <v>#REF!</v>
      </c>
    </row>
    <row r="2099" spans="1:20" s="507" customFormat="1" ht="18" customHeight="1" x14ac:dyDescent="0.4">
      <c r="A2099" s="264" t="s">
        <v>7728</v>
      </c>
      <c r="B2099" s="264" t="s">
        <v>7729</v>
      </c>
      <c r="C2099" s="264"/>
      <c r="D2099" s="264" t="s">
        <v>693</v>
      </c>
      <c r="E2099" s="25" t="s">
        <v>10</v>
      </c>
      <c r="F2099" s="24" t="s">
        <v>3072</v>
      </c>
      <c r="G2099" s="25">
        <v>44992</v>
      </c>
      <c r="H2099" s="25" t="s">
        <v>7730</v>
      </c>
      <c r="I2099" s="264">
        <v>72910</v>
      </c>
      <c r="J2099" s="264" t="s">
        <v>7731</v>
      </c>
      <c r="K2099" s="25">
        <v>45061</v>
      </c>
      <c r="L2099" s="264" t="s">
        <v>364</v>
      </c>
      <c r="M2099" s="264" t="s">
        <v>364</v>
      </c>
      <c r="N2099" s="264" t="s">
        <v>364</v>
      </c>
      <c r="O2099" s="264" t="s">
        <v>364</v>
      </c>
      <c r="P2099" s="472" t="s">
        <v>7732</v>
      </c>
      <c r="Q2099" s="264"/>
      <c r="R2099" s="264"/>
      <c r="S2099" s="343"/>
      <c r="T2099" s="512" t="e">
        <f>_xlfn.XLOOKUP(H2099,#REF!,#REF!,0,0)</f>
        <v>#REF!</v>
      </c>
    </row>
    <row r="2100" spans="1:20" s="299" customFormat="1" x14ac:dyDescent="0.4">
      <c r="A2100" s="18" t="s">
        <v>7733</v>
      </c>
      <c r="B2100" s="18" t="s">
        <v>7734</v>
      </c>
      <c r="C2100" s="19" t="s">
        <v>433</v>
      </c>
      <c r="D2100" s="18" t="s">
        <v>693</v>
      </c>
      <c r="E2100" s="18" t="s">
        <v>3016</v>
      </c>
      <c r="F2100" s="10" t="s">
        <v>7735</v>
      </c>
      <c r="G2100" s="18"/>
      <c r="H2100" s="18" t="s">
        <v>7736</v>
      </c>
      <c r="I2100" s="134">
        <v>72954</v>
      </c>
      <c r="J2100" s="18" t="s">
        <v>7737</v>
      </c>
      <c r="K2100" s="18">
        <v>45064</v>
      </c>
      <c r="L2100" s="18" t="s">
        <v>364</v>
      </c>
      <c r="M2100" s="18" t="s">
        <v>364</v>
      </c>
      <c r="N2100" s="18" t="s">
        <v>364</v>
      </c>
      <c r="O2100" s="18" t="s">
        <v>364</v>
      </c>
      <c r="P2100" s="466" t="s">
        <v>7738</v>
      </c>
      <c r="Q2100" s="134"/>
      <c r="R2100" s="134"/>
      <c r="S2100" s="344"/>
      <c r="T2100" s="512" t="e">
        <f>_xlfn.XLOOKUP(H2100,#REF!,#REF!,0,0)</f>
        <v>#REF!</v>
      </c>
    </row>
    <row r="2101" spans="1:20" s="299" customFormat="1" x14ac:dyDescent="0.4">
      <c r="A2101" s="18" t="s">
        <v>7739</v>
      </c>
      <c r="B2101" s="18" t="s">
        <v>7740</v>
      </c>
      <c r="C2101" s="19" t="s">
        <v>433</v>
      </c>
      <c r="D2101" s="18" t="s">
        <v>693</v>
      </c>
      <c r="E2101" s="18" t="s">
        <v>10</v>
      </c>
      <c r="F2101" s="10">
        <v>840</v>
      </c>
      <c r="G2101" s="18"/>
      <c r="H2101" s="18" t="s">
        <v>1168</v>
      </c>
      <c r="I2101" s="134">
        <v>70640</v>
      </c>
      <c r="J2101" s="18"/>
      <c r="K2101" s="18">
        <v>45065</v>
      </c>
      <c r="L2101" s="18" t="s">
        <v>364</v>
      </c>
      <c r="M2101" s="18" t="s">
        <v>364</v>
      </c>
      <c r="N2101" s="18" t="s">
        <v>364</v>
      </c>
      <c r="O2101" s="18" t="s">
        <v>364</v>
      </c>
      <c r="P2101" s="466" t="s">
        <v>7741</v>
      </c>
      <c r="Q2101" s="134"/>
      <c r="R2101" s="134"/>
      <c r="S2101" s="344"/>
      <c r="T2101" s="512" t="e">
        <f>_xlfn.XLOOKUP(H2101,#REF!,#REF!,0,0)</f>
        <v>#REF!</v>
      </c>
    </row>
    <row r="2102" spans="1:20" s="299" customFormat="1" x14ac:dyDescent="0.4">
      <c r="A2102" s="18" t="s">
        <v>7742</v>
      </c>
      <c r="B2102" s="18" t="s">
        <v>7743</v>
      </c>
      <c r="C2102" s="19" t="s">
        <v>433</v>
      </c>
      <c r="D2102" s="18" t="s">
        <v>693</v>
      </c>
      <c r="E2102" s="18" t="s">
        <v>10</v>
      </c>
      <c r="F2102" s="10" t="s">
        <v>6484</v>
      </c>
      <c r="G2102" s="18"/>
      <c r="H2102" s="18" t="s">
        <v>247</v>
      </c>
      <c r="I2102" s="134">
        <v>69826</v>
      </c>
      <c r="J2102" s="18"/>
      <c r="K2102" s="18">
        <v>45054</v>
      </c>
      <c r="L2102" s="18" t="s">
        <v>364</v>
      </c>
      <c r="M2102" s="18" t="s">
        <v>364</v>
      </c>
      <c r="N2102" s="18" t="s">
        <v>364</v>
      </c>
      <c r="O2102" s="18" t="s">
        <v>364</v>
      </c>
      <c r="P2102" s="466" t="s">
        <v>7744</v>
      </c>
      <c r="Q2102" s="134"/>
      <c r="R2102" s="134"/>
      <c r="S2102" s="344"/>
      <c r="T2102" s="512" t="e">
        <f>_xlfn.XLOOKUP(H2102,#REF!,#REF!,0,0)</f>
        <v>#REF!</v>
      </c>
    </row>
    <row r="2103" spans="1:20" s="507" customFormat="1" ht="18" customHeight="1" x14ac:dyDescent="0.4">
      <c r="A2103" s="24" t="s">
        <v>7745</v>
      </c>
      <c r="B2103" s="24" t="s">
        <v>7746</v>
      </c>
      <c r="C2103" s="24"/>
      <c r="D2103" s="24" t="s">
        <v>693</v>
      </c>
      <c r="E2103" s="25" t="s">
        <v>10</v>
      </c>
      <c r="F2103" s="24" t="s">
        <v>5179</v>
      </c>
      <c r="G2103" s="25">
        <v>44974</v>
      </c>
      <c r="H2103" s="25" t="s">
        <v>7747</v>
      </c>
      <c r="I2103" s="264">
        <v>73114</v>
      </c>
      <c r="J2103" s="24" t="s">
        <v>7748</v>
      </c>
      <c r="K2103" s="25">
        <v>45082</v>
      </c>
      <c r="L2103" s="24" t="s">
        <v>364</v>
      </c>
      <c r="M2103" s="24" t="s">
        <v>364</v>
      </c>
      <c r="N2103" s="24" t="s">
        <v>364</v>
      </c>
      <c r="O2103" s="24" t="s">
        <v>364</v>
      </c>
      <c r="P2103" s="468" t="s">
        <v>7749</v>
      </c>
      <c r="Q2103" s="264"/>
      <c r="R2103" s="264"/>
      <c r="S2103" s="343"/>
      <c r="T2103" s="512" t="e">
        <f>_xlfn.XLOOKUP(H2103,#REF!,#REF!,0,0)</f>
        <v>#REF!</v>
      </c>
    </row>
    <row r="2104" spans="1:20" s="299" customFormat="1" x14ac:dyDescent="0.4">
      <c r="A2104" s="18" t="s">
        <v>7750</v>
      </c>
      <c r="B2104" s="18" t="s">
        <v>7751</v>
      </c>
      <c r="C2104" s="19" t="s">
        <v>433</v>
      </c>
      <c r="D2104" s="18" t="s">
        <v>693</v>
      </c>
      <c r="E2104" s="18" t="s">
        <v>10</v>
      </c>
      <c r="F2104" s="10" t="s">
        <v>3072</v>
      </c>
      <c r="G2104" s="18">
        <v>44992</v>
      </c>
      <c r="H2104" s="18" t="s">
        <v>7752</v>
      </c>
      <c r="I2104" s="134">
        <v>72917</v>
      </c>
      <c r="J2104" s="18" t="s">
        <v>7753</v>
      </c>
      <c r="K2104" s="18">
        <v>45072</v>
      </c>
      <c r="L2104" s="18" t="s">
        <v>364</v>
      </c>
      <c r="M2104" s="18" t="s">
        <v>364</v>
      </c>
      <c r="N2104" s="18" t="s">
        <v>364</v>
      </c>
      <c r="O2104" s="18" t="s">
        <v>364</v>
      </c>
      <c r="P2104" s="466" t="s">
        <v>6278</v>
      </c>
      <c r="Q2104" s="134"/>
      <c r="R2104" s="134"/>
      <c r="S2104" s="344"/>
      <c r="T2104" s="512" t="e">
        <f>_xlfn.XLOOKUP(H2104,#REF!,#REF!,0,0)</f>
        <v>#REF!</v>
      </c>
    </row>
    <row r="2105" spans="1:20" s="299" customFormat="1" x14ac:dyDescent="0.4">
      <c r="A2105" s="18" t="s">
        <v>7754</v>
      </c>
      <c r="B2105" s="18" t="s">
        <v>7755</v>
      </c>
      <c r="C2105" s="19" t="s">
        <v>433</v>
      </c>
      <c r="D2105" s="18" t="s">
        <v>693</v>
      </c>
      <c r="E2105" s="18" t="s">
        <v>10</v>
      </c>
      <c r="F2105" s="10" t="s">
        <v>5179</v>
      </c>
      <c r="G2105" s="18">
        <v>44974</v>
      </c>
      <c r="H2105" s="18" t="s">
        <v>7756</v>
      </c>
      <c r="I2105" s="134">
        <v>73111</v>
      </c>
      <c r="J2105" s="18" t="s">
        <v>7757</v>
      </c>
      <c r="K2105" s="18">
        <v>45076</v>
      </c>
      <c r="L2105" s="18" t="s">
        <v>364</v>
      </c>
      <c r="M2105" s="18" t="s">
        <v>364</v>
      </c>
      <c r="N2105" s="18" t="s">
        <v>364</v>
      </c>
      <c r="O2105" s="18" t="s">
        <v>364</v>
      </c>
      <c r="P2105" s="466" t="s">
        <v>7758</v>
      </c>
      <c r="Q2105" s="134"/>
      <c r="R2105" s="134"/>
      <c r="S2105" s="344"/>
      <c r="T2105" s="512" t="e">
        <f>_xlfn.XLOOKUP(H2105,#REF!,#REF!,0,0)</f>
        <v>#REF!</v>
      </c>
    </row>
    <row r="2106" spans="1:20" s="299" customFormat="1" x14ac:dyDescent="0.4">
      <c r="A2106" s="18" t="s">
        <v>7759</v>
      </c>
      <c r="B2106" s="18" t="s">
        <v>7760</v>
      </c>
      <c r="C2106" s="19" t="s">
        <v>433</v>
      </c>
      <c r="D2106" s="18" t="s">
        <v>3778</v>
      </c>
      <c r="E2106" s="18" t="s">
        <v>10</v>
      </c>
      <c r="F2106" s="10" t="s">
        <v>3072</v>
      </c>
      <c r="G2106" s="18">
        <v>44992</v>
      </c>
      <c r="H2106" s="18" t="s">
        <v>7761</v>
      </c>
      <c r="I2106" s="134">
        <v>72915</v>
      </c>
      <c r="J2106" s="18" t="s">
        <v>7762</v>
      </c>
      <c r="K2106" s="18"/>
      <c r="L2106" s="18" t="s">
        <v>364</v>
      </c>
      <c r="M2106" s="18" t="s">
        <v>364</v>
      </c>
      <c r="N2106" s="18" t="s">
        <v>364</v>
      </c>
      <c r="O2106" s="18" t="s">
        <v>364</v>
      </c>
      <c r="P2106" s="466" t="s">
        <v>7763</v>
      </c>
      <c r="Q2106" s="134"/>
      <c r="R2106" s="134"/>
      <c r="S2106" s="344"/>
      <c r="T2106" s="512" t="e">
        <f>_xlfn.XLOOKUP(H2106,#REF!,#REF!,0,0)</f>
        <v>#REF!</v>
      </c>
    </row>
    <row r="2107" spans="1:20" s="507" customFormat="1" ht="18" customHeight="1" x14ac:dyDescent="0.4">
      <c r="A2107" s="24" t="s">
        <v>7764</v>
      </c>
      <c r="B2107" s="24" t="s">
        <v>7765</v>
      </c>
      <c r="C2107" s="24"/>
      <c r="D2107" s="24" t="s">
        <v>693</v>
      </c>
      <c r="E2107" s="25" t="s">
        <v>10</v>
      </c>
      <c r="F2107" s="24" t="s">
        <v>5179</v>
      </c>
      <c r="G2107" s="25">
        <v>44974</v>
      </c>
      <c r="H2107" s="25" t="s">
        <v>7766</v>
      </c>
      <c r="I2107" s="264">
        <v>73115</v>
      </c>
      <c r="J2107" s="24" t="s">
        <v>7767</v>
      </c>
      <c r="K2107" s="25">
        <v>45078</v>
      </c>
      <c r="L2107" s="24" t="s">
        <v>364</v>
      </c>
      <c r="M2107" s="24" t="s">
        <v>364</v>
      </c>
      <c r="N2107" s="24" t="s">
        <v>364</v>
      </c>
      <c r="O2107" s="24" t="s">
        <v>364</v>
      </c>
      <c r="P2107" s="479" t="s">
        <v>7768</v>
      </c>
      <c r="Q2107" s="264"/>
      <c r="R2107" s="264"/>
      <c r="S2107" s="343"/>
      <c r="T2107" s="512" t="e">
        <f>_xlfn.XLOOKUP(H2107,#REF!,#REF!,0,0)</f>
        <v>#REF!</v>
      </c>
    </row>
    <row r="2108" spans="1:20" s="507" customFormat="1" ht="18" customHeight="1" x14ac:dyDescent="0.4">
      <c r="A2108" s="24" t="s">
        <v>7769</v>
      </c>
      <c r="B2108" s="24" t="s">
        <v>7770</v>
      </c>
      <c r="C2108" s="24"/>
      <c r="D2108" s="24" t="s">
        <v>693</v>
      </c>
      <c r="E2108" s="25" t="s">
        <v>10</v>
      </c>
      <c r="F2108" s="24" t="s">
        <v>3072</v>
      </c>
      <c r="G2108" s="25">
        <v>44992</v>
      </c>
      <c r="H2108" s="25" t="s">
        <v>7771</v>
      </c>
      <c r="I2108" s="264">
        <v>72914</v>
      </c>
      <c r="J2108" s="24" t="s">
        <v>7772</v>
      </c>
      <c r="K2108" s="25">
        <v>45078</v>
      </c>
      <c r="L2108" s="24" t="s">
        <v>364</v>
      </c>
      <c r="M2108" s="24" t="s">
        <v>364</v>
      </c>
      <c r="N2108" s="24" t="s">
        <v>364</v>
      </c>
      <c r="O2108" s="24" t="s">
        <v>364</v>
      </c>
      <c r="P2108" s="468" t="s">
        <v>7773</v>
      </c>
      <c r="Q2108" s="264"/>
      <c r="R2108" s="264"/>
      <c r="S2108" s="343"/>
      <c r="T2108" s="512" t="e">
        <f>_xlfn.XLOOKUP(H2108,#REF!,#REF!,0,0)</f>
        <v>#REF!</v>
      </c>
    </row>
    <row r="2109" spans="1:20" s="507" customFormat="1" ht="18" customHeight="1" x14ac:dyDescent="0.4">
      <c r="A2109" s="24" t="s">
        <v>7774</v>
      </c>
      <c r="B2109" s="24" t="s">
        <v>7775</v>
      </c>
      <c r="C2109" s="24"/>
      <c r="D2109" s="24" t="s">
        <v>693</v>
      </c>
      <c r="E2109" s="25" t="s">
        <v>10</v>
      </c>
      <c r="F2109" s="24" t="s">
        <v>3072</v>
      </c>
      <c r="G2109" s="25">
        <v>44992</v>
      </c>
      <c r="H2109" s="25" t="s">
        <v>7776</v>
      </c>
      <c r="I2109" s="264">
        <v>72916</v>
      </c>
      <c r="J2109" s="24" t="s">
        <v>7777</v>
      </c>
      <c r="K2109" s="25">
        <v>45078</v>
      </c>
      <c r="L2109" s="24" t="s">
        <v>364</v>
      </c>
      <c r="M2109" s="24" t="s">
        <v>364</v>
      </c>
      <c r="N2109" s="24" t="s">
        <v>364</v>
      </c>
      <c r="O2109" s="24" t="s">
        <v>364</v>
      </c>
      <c r="P2109" s="468" t="s">
        <v>6278</v>
      </c>
      <c r="Q2109" s="264"/>
      <c r="R2109" s="264"/>
      <c r="S2109" s="343"/>
      <c r="T2109" s="512" t="e">
        <f>_xlfn.XLOOKUP(H2109,#REF!,#REF!,0,0)</f>
        <v>#REF!</v>
      </c>
    </row>
    <row r="2110" spans="1:20" s="507" customFormat="1" ht="18" customHeight="1" x14ac:dyDescent="0.4">
      <c r="A2110" s="24" t="s">
        <v>7778</v>
      </c>
      <c r="B2110" s="24" t="s">
        <v>7779</v>
      </c>
      <c r="C2110" s="24"/>
      <c r="D2110" s="24" t="s">
        <v>693</v>
      </c>
      <c r="E2110" s="25" t="s">
        <v>10</v>
      </c>
      <c r="F2110" s="24" t="s">
        <v>3072</v>
      </c>
      <c r="G2110" s="25">
        <v>44992</v>
      </c>
      <c r="H2110" s="25" t="s">
        <v>7780</v>
      </c>
      <c r="I2110" s="264">
        <v>72918</v>
      </c>
      <c r="J2110" s="24" t="s">
        <v>7781</v>
      </c>
      <c r="K2110" s="25">
        <v>45078</v>
      </c>
      <c r="L2110" s="24" t="s">
        <v>364</v>
      </c>
      <c r="M2110" s="24" t="s">
        <v>364</v>
      </c>
      <c r="N2110" s="24" t="s">
        <v>364</v>
      </c>
      <c r="O2110" s="24" t="s">
        <v>364</v>
      </c>
      <c r="P2110" s="468" t="s">
        <v>6278</v>
      </c>
      <c r="Q2110" s="264"/>
      <c r="R2110" s="264"/>
      <c r="S2110" s="343"/>
      <c r="T2110" s="512" t="e">
        <f>_xlfn.XLOOKUP(H2110,#REF!,#REF!,0,0)</f>
        <v>#REF!</v>
      </c>
    </row>
    <row r="2111" spans="1:20" s="507" customFormat="1" ht="18" customHeight="1" x14ac:dyDescent="0.4">
      <c r="A2111" s="24"/>
      <c r="B2111" s="24" t="s">
        <v>7782</v>
      </c>
      <c r="C2111" s="24"/>
      <c r="D2111" s="24" t="s">
        <v>3778</v>
      </c>
      <c r="E2111" s="25" t="s">
        <v>10</v>
      </c>
      <c r="F2111" s="24" t="s">
        <v>3072</v>
      </c>
      <c r="G2111" s="25"/>
      <c r="H2111" s="25" t="s">
        <v>7588</v>
      </c>
      <c r="I2111" s="264">
        <v>72760</v>
      </c>
      <c r="J2111" s="24"/>
      <c r="K2111" s="25">
        <v>45078</v>
      </c>
      <c r="L2111" s="24" t="s">
        <v>364</v>
      </c>
      <c r="M2111" s="24" t="s">
        <v>364</v>
      </c>
      <c r="N2111" s="24" t="s">
        <v>364</v>
      </c>
      <c r="O2111" s="24" t="s">
        <v>364</v>
      </c>
      <c r="P2111" s="468" t="s">
        <v>6493</v>
      </c>
      <c r="Q2111" s="264"/>
      <c r="R2111" s="264"/>
      <c r="S2111" s="343"/>
      <c r="T2111" s="512" t="e">
        <f>_xlfn.XLOOKUP(H2111,#REF!,#REF!,0,0)</f>
        <v>#REF!</v>
      </c>
    </row>
    <row r="2112" spans="1:20" s="299" customFormat="1" x14ac:dyDescent="0.4">
      <c r="A2112" s="18" t="s">
        <v>7783</v>
      </c>
      <c r="B2112" s="18" t="s">
        <v>7784</v>
      </c>
      <c r="C2112" s="19" t="s">
        <v>433</v>
      </c>
      <c r="D2112" s="18" t="s">
        <v>693</v>
      </c>
      <c r="E2112" s="18" t="s">
        <v>10</v>
      </c>
      <c r="F2112" s="10" t="s">
        <v>5179</v>
      </c>
      <c r="G2112" s="18">
        <v>44974</v>
      </c>
      <c r="H2112" s="18" t="s">
        <v>7785</v>
      </c>
      <c r="I2112" s="134">
        <v>73112</v>
      </c>
      <c r="J2112" s="18" t="s">
        <v>7786</v>
      </c>
      <c r="K2112" s="18"/>
      <c r="L2112" s="18" t="s">
        <v>364</v>
      </c>
      <c r="M2112" s="18" t="s">
        <v>364</v>
      </c>
      <c r="N2112" s="18" t="s">
        <v>364</v>
      </c>
      <c r="O2112" s="18" t="s">
        <v>364</v>
      </c>
      <c r="P2112" s="466"/>
      <c r="Q2112" s="134"/>
      <c r="R2112" s="134"/>
      <c r="S2112" s="344"/>
      <c r="T2112" s="512" t="e">
        <f>_xlfn.XLOOKUP(H2112,#REF!,#REF!,0,0)</f>
        <v>#REF!</v>
      </c>
    </row>
    <row r="2113" spans="1:20" s="507" customFormat="1" ht="18" customHeight="1" x14ac:dyDescent="0.4">
      <c r="A2113" s="24" t="s">
        <v>7787</v>
      </c>
      <c r="B2113" s="24" t="s">
        <v>7788</v>
      </c>
      <c r="C2113" s="24"/>
      <c r="D2113" s="24" t="s">
        <v>3778</v>
      </c>
      <c r="E2113" s="25" t="s">
        <v>10</v>
      </c>
      <c r="F2113" s="24" t="s">
        <v>5179</v>
      </c>
      <c r="G2113" s="25">
        <v>44974</v>
      </c>
      <c r="H2113" s="25" t="s">
        <v>7789</v>
      </c>
      <c r="I2113" s="264">
        <v>73113</v>
      </c>
      <c r="J2113" s="24" t="s">
        <v>7790</v>
      </c>
      <c r="K2113" s="25">
        <v>45078</v>
      </c>
      <c r="L2113" s="24" t="s">
        <v>364</v>
      </c>
      <c r="M2113" s="24" t="s">
        <v>364</v>
      </c>
      <c r="N2113" s="24" t="s">
        <v>364</v>
      </c>
      <c r="O2113" s="24" t="s">
        <v>364</v>
      </c>
      <c r="P2113" s="479" t="s">
        <v>7791</v>
      </c>
      <c r="Q2113" s="264"/>
      <c r="R2113" s="264"/>
      <c r="S2113" s="343"/>
      <c r="T2113" s="512" t="e">
        <f>_xlfn.XLOOKUP(H2113,#REF!,#REF!,0,0)</f>
        <v>#REF!</v>
      </c>
    </row>
    <row r="2114" spans="1:20" s="507" customFormat="1" ht="18" customHeight="1" x14ac:dyDescent="0.4">
      <c r="A2114" s="24" t="s">
        <v>7792</v>
      </c>
      <c r="B2114" s="24" t="s">
        <v>7793</v>
      </c>
      <c r="C2114" s="24"/>
      <c r="D2114" s="24" t="s">
        <v>3778</v>
      </c>
      <c r="E2114" s="25" t="s">
        <v>10</v>
      </c>
      <c r="F2114" s="24" t="s">
        <v>5179</v>
      </c>
      <c r="G2114" s="25">
        <v>44974</v>
      </c>
      <c r="H2114" s="25" t="s">
        <v>308</v>
      </c>
      <c r="I2114" s="264">
        <v>73116</v>
      </c>
      <c r="J2114" s="24" t="s">
        <v>7794</v>
      </c>
      <c r="K2114" s="25">
        <v>45078</v>
      </c>
      <c r="L2114" s="24" t="s">
        <v>364</v>
      </c>
      <c r="M2114" s="24" t="s">
        <v>364</v>
      </c>
      <c r="N2114" s="24" t="s">
        <v>364</v>
      </c>
      <c r="O2114" s="24" t="s">
        <v>364</v>
      </c>
      <c r="P2114" s="479" t="s">
        <v>7795</v>
      </c>
      <c r="Q2114" s="264"/>
      <c r="R2114" s="264"/>
      <c r="S2114" s="343"/>
      <c r="T2114" s="512" t="e">
        <f>_xlfn.XLOOKUP(H2114,#REF!,#REF!,0,0)</f>
        <v>#REF!</v>
      </c>
    </row>
    <row r="2115" spans="1:20" s="299" customFormat="1" x14ac:dyDescent="0.4">
      <c r="A2115" s="18" t="s">
        <v>7796</v>
      </c>
      <c r="B2115" s="18" t="s">
        <v>7797</v>
      </c>
      <c r="C2115" s="19" t="s">
        <v>433</v>
      </c>
      <c r="D2115" s="18" t="s">
        <v>693</v>
      </c>
      <c r="E2115" s="18" t="s">
        <v>10</v>
      </c>
      <c r="F2115" s="10" t="s">
        <v>3072</v>
      </c>
      <c r="G2115" s="18">
        <v>44992</v>
      </c>
      <c r="H2115" s="18" t="s">
        <v>7798</v>
      </c>
      <c r="I2115" s="134">
        <v>72919</v>
      </c>
      <c r="J2115" s="18" t="s">
        <v>7799</v>
      </c>
      <c r="K2115" s="18">
        <v>45082</v>
      </c>
      <c r="L2115" s="18" t="s">
        <v>364</v>
      </c>
      <c r="M2115" s="18" t="s">
        <v>364</v>
      </c>
      <c r="N2115" s="18" t="s">
        <v>364</v>
      </c>
      <c r="O2115" s="18" t="s">
        <v>364</v>
      </c>
      <c r="P2115" s="466"/>
      <c r="Q2115" s="134"/>
      <c r="R2115" s="134"/>
      <c r="S2115" s="344"/>
      <c r="T2115" s="512" t="e">
        <f>_xlfn.XLOOKUP(H2115,#REF!,#REF!,0,0)</f>
        <v>#REF!</v>
      </c>
    </row>
    <row r="2116" spans="1:20" s="299" customFormat="1" x14ac:dyDescent="0.4">
      <c r="A2116" s="18" t="s">
        <v>7800</v>
      </c>
      <c r="B2116" s="18" t="s">
        <v>7801</v>
      </c>
      <c r="C2116" s="19" t="s">
        <v>433</v>
      </c>
      <c r="D2116" s="18" t="s">
        <v>693</v>
      </c>
      <c r="E2116" s="18" t="s">
        <v>10</v>
      </c>
      <c r="F2116" s="10" t="s">
        <v>3072</v>
      </c>
      <c r="G2116" s="18">
        <v>44992</v>
      </c>
      <c r="H2116" s="18" t="s">
        <v>7802</v>
      </c>
      <c r="I2116" s="134">
        <v>72920</v>
      </c>
      <c r="J2116" s="18" t="s">
        <v>7803</v>
      </c>
      <c r="K2116" s="18">
        <v>45082</v>
      </c>
      <c r="L2116" s="134" t="s">
        <v>570</v>
      </c>
      <c r="M2116" s="134" t="s">
        <v>570</v>
      </c>
      <c r="N2116" s="134" t="s">
        <v>570</v>
      </c>
      <c r="O2116" s="134" t="s">
        <v>570</v>
      </c>
      <c r="P2116" s="466" t="s">
        <v>7804</v>
      </c>
      <c r="Q2116" s="134"/>
      <c r="R2116" s="134"/>
      <c r="S2116" s="344"/>
      <c r="T2116" s="512" t="e">
        <f>_xlfn.XLOOKUP(H2116,#REF!,#REF!,0,0)</f>
        <v>#REF!</v>
      </c>
    </row>
    <row r="2117" spans="1:20" s="299" customFormat="1" x14ac:dyDescent="0.4">
      <c r="A2117" s="18" t="s">
        <v>7805</v>
      </c>
      <c r="B2117" s="18" t="s">
        <v>7806</v>
      </c>
      <c r="C2117" s="19" t="s">
        <v>433</v>
      </c>
      <c r="D2117" s="18" t="s">
        <v>693</v>
      </c>
      <c r="E2117" s="18" t="s">
        <v>10</v>
      </c>
      <c r="F2117" s="10" t="s">
        <v>5179</v>
      </c>
      <c r="G2117" s="18">
        <v>44939</v>
      </c>
      <c r="H2117" s="18" t="s">
        <v>7807</v>
      </c>
      <c r="I2117" s="134">
        <v>72785</v>
      </c>
      <c r="J2117" s="18" t="s">
        <v>7808</v>
      </c>
      <c r="K2117" s="18"/>
      <c r="L2117" s="134" t="s">
        <v>570</v>
      </c>
      <c r="M2117" s="134" t="s">
        <v>570</v>
      </c>
      <c r="N2117" s="134" t="s">
        <v>570</v>
      </c>
      <c r="O2117" s="134" t="s">
        <v>570</v>
      </c>
      <c r="P2117" s="466" t="s">
        <v>7809</v>
      </c>
      <c r="Q2117" s="134"/>
      <c r="R2117" s="134"/>
      <c r="S2117" s="344"/>
      <c r="T2117" s="512" t="e">
        <f>_xlfn.XLOOKUP(H2117,#REF!,#REF!,0,0)</f>
        <v>#REF!</v>
      </c>
    </row>
    <row r="2118" spans="1:20" s="299" customFormat="1" x14ac:dyDescent="0.4">
      <c r="A2118" s="18" t="s">
        <v>7810</v>
      </c>
      <c r="B2118" s="18" t="s">
        <v>7811</v>
      </c>
      <c r="C2118" s="19" t="s">
        <v>433</v>
      </c>
      <c r="D2118" s="18" t="s">
        <v>693</v>
      </c>
      <c r="E2118" s="18" t="s">
        <v>10</v>
      </c>
      <c r="F2118" s="10" t="s">
        <v>5179</v>
      </c>
      <c r="G2118" s="18">
        <v>44974</v>
      </c>
      <c r="H2118" s="18" t="s">
        <v>7812</v>
      </c>
      <c r="I2118" s="134">
        <v>73117</v>
      </c>
      <c r="J2118" s="18" t="s">
        <v>7813</v>
      </c>
      <c r="K2118" s="18"/>
      <c r="L2118" s="134" t="s">
        <v>570</v>
      </c>
      <c r="M2118" s="134" t="s">
        <v>570</v>
      </c>
      <c r="N2118" s="134" t="s">
        <v>570</v>
      </c>
      <c r="O2118" s="134" t="s">
        <v>570</v>
      </c>
      <c r="P2118" s="466" t="s">
        <v>7814</v>
      </c>
      <c r="Q2118" s="134"/>
      <c r="R2118" s="134"/>
      <c r="S2118" s="344"/>
      <c r="T2118" s="512" t="e">
        <f>_xlfn.XLOOKUP(H2118,#REF!,#REF!,0,0)</f>
        <v>#REF!</v>
      </c>
    </row>
    <row r="2119" spans="1:20" s="509" customFormat="1" x14ac:dyDescent="0.4">
      <c r="A2119" s="18" t="s">
        <v>7815</v>
      </c>
      <c r="B2119" s="18" t="s">
        <v>7816</v>
      </c>
      <c r="C2119" s="19" t="s">
        <v>433</v>
      </c>
      <c r="D2119" s="18" t="s">
        <v>1097</v>
      </c>
      <c r="E2119" s="18" t="s">
        <v>10</v>
      </c>
      <c r="F2119" s="10" t="s">
        <v>3072</v>
      </c>
      <c r="G2119" s="18"/>
      <c r="H2119" s="18" t="s">
        <v>7817</v>
      </c>
      <c r="I2119" s="134">
        <v>69790</v>
      </c>
      <c r="J2119" s="18" t="s">
        <v>570</v>
      </c>
      <c r="K2119" s="18">
        <v>45089</v>
      </c>
      <c r="L2119" s="134" t="s">
        <v>570</v>
      </c>
      <c r="M2119" s="134" t="s">
        <v>570</v>
      </c>
      <c r="N2119" s="134" t="s">
        <v>570</v>
      </c>
      <c r="O2119" s="134" t="s">
        <v>570</v>
      </c>
      <c r="P2119" s="466"/>
      <c r="Q2119" s="134"/>
      <c r="R2119" s="216"/>
      <c r="S2119" s="339"/>
      <c r="T2119" s="512" t="e">
        <f>_xlfn.XLOOKUP(H2119,#REF!,#REF!,0,0)</f>
        <v>#REF!</v>
      </c>
    </row>
    <row r="2120" spans="1:20" s="295" customFormat="1" x14ac:dyDescent="0.4">
      <c r="A2120" s="10" t="s">
        <v>7818</v>
      </c>
      <c r="B2120" s="10" t="s">
        <v>7819</v>
      </c>
      <c r="C2120" s="19" t="s">
        <v>433</v>
      </c>
      <c r="D2120" s="10" t="s">
        <v>1097</v>
      </c>
      <c r="E2120" s="18" t="s">
        <v>10</v>
      </c>
      <c r="F2120" s="10" t="s">
        <v>5179</v>
      </c>
      <c r="G2120" s="217">
        <v>44974</v>
      </c>
      <c r="H2120" s="18" t="s">
        <v>7820</v>
      </c>
      <c r="I2120" s="134">
        <v>73119</v>
      </c>
      <c r="J2120" s="10" t="s">
        <v>7821</v>
      </c>
      <c r="K2120" s="18">
        <v>45091</v>
      </c>
      <c r="L2120" s="10" t="s">
        <v>570</v>
      </c>
      <c r="M2120" s="10" t="s">
        <v>570</v>
      </c>
      <c r="N2120" s="10" t="s">
        <v>570</v>
      </c>
      <c r="O2120" s="134" t="s">
        <v>570</v>
      </c>
      <c r="P2120" s="477"/>
      <c r="Q2120" s="134"/>
      <c r="R2120" s="134"/>
      <c r="S2120" s="344"/>
      <c r="T2120" s="512" t="e">
        <f>_xlfn.XLOOKUP(H2120,#REF!,#REF!,0,0)</f>
        <v>#REF!</v>
      </c>
    </row>
    <row r="2121" spans="1:20" s="299" customFormat="1" x14ac:dyDescent="0.4">
      <c r="A2121" s="18" t="s">
        <v>7822</v>
      </c>
      <c r="B2121" s="18" t="s">
        <v>7823</v>
      </c>
      <c r="C2121" s="19" t="s">
        <v>433</v>
      </c>
      <c r="D2121" s="18" t="s">
        <v>3778</v>
      </c>
      <c r="E2121" s="18" t="s">
        <v>10</v>
      </c>
      <c r="F2121" s="10" t="s">
        <v>5179</v>
      </c>
      <c r="G2121" s="18">
        <v>44974</v>
      </c>
      <c r="H2121" s="18" t="s">
        <v>7824</v>
      </c>
      <c r="I2121" s="134">
        <v>73118</v>
      </c>
      <c r="J2121" s="18" t="s">
        <v>7825</v>
      </c>
      <c r="K2121" s="18" t="s">
        <v>7826</v>
      </c>
      <c r="L2121" s="134" t="s">
        <v>570</v>
      </c>
      <c r="M2121" s="134" t="s">
        <v>570</v>
      </c>
      <c r="N2121" s="134" t="s">
        <v>570</v>
      </c>
      <c r="O2121" s="134" t="s">
        <v>570</v>
      </c>
      <c r="P2121" s="466"/>
      <c r="Q2121" s="134"/>
      <c r="R2121" s="134"/>
      <c r="S2121" s="344"/>
      <c r="T2121" s="512" t="e">
        <f>_xlfn.XLOOKUP(H2121,#REF!,#REF!,0,0)</f>
        <v>#REF!</v>
      </c>
    </row>
    <row r="2122" spans="1:20" s="299" customFormat="1" x14ac:dyDescent="0.4">
      <c r="A2122" s="18" t="s">
        <v>7827</v>
      </c>
      <c r="B2122" s="18" t="s">
        <v>7828</v>
      </c>
      <c r="C2122" s="19" t="s">
        <v>433</v>
      </c>
      <c r="D2122" s="18" t="s">
        <v>3778</v>
      </c>
      <c r="E2122" s="18" t="s">
        <v>10</v>
      </c>
      <c r="F2122" s="10" t="s">
        <v>5179</v>
      </c>
      <c r="G2122" s="18">
        <v>44974</v>
      </c>
      <c r="H2122" s="18" t="s">
        <v>7829</v>
      </c>
      <c r="I2122" s="134">
        <v>73120</v>
      </c>
      <c r="J2122" s="18" t="s">
        <v>7830</v>
      </c>
      <c r="K2122" s="18">
        <v>44933</v>
      </c>
      <c r="L2122" s="134" t="s">
        <v>570</v>
      </c>
      <c r="M2122" s="134" t="s">
        <v>570</v>
      </c>
      <c r="N2122" s="134" t="s">
        <v>570</v>
      </c>
      <c r="O2122" s="134" t="s">
        <v>570</v>
      </c>
      <c r="P2122" s="466" t="s">
        <v>7831</v>
      </c>
      <c r="Q2122" s="134"/>
      <c r="R2122" s="134"/>
      <c r="S2122" s="344"/>
      <c r="T2122" s="512" t="e">
        <f>_xlfn.XLOOKUP(H2122,#REF!,#REF!,0,0)</f>
        <v>#REF!</v>
      </c>
    </row>
    <row r="2123" spans="1:20" s="299" customFormat="1" x14ac:dyDescent="0.4">
      <c r="A2123" s="18" t="s">
        <v>7827</v>
      </c>
      <c r="B2123" s="18" t="s">
        <v>7832</v>
      </c>
      <c r="C2123" s="19" t="s">
        <v>433</v>
      </c>
      <c r="D2123" s="18" t="s">
        <v>3778</v>
      </c>
      <c r="E2123" s="18" t="s">
        <v>10</v>
      </c>
      <c r="F2123" s="10" t="s">
        <v>5179</v>
      </c>
      <c r="G2123" s="18">
        <v>44974</v>
      </c>
      <c r="H2123" s="18" t="s">
        <v>7833</v>
      </c>
      <c r="I2123" s="134">
        <v>73121</v>
      </c>
      <c r="J2123" s="18" t="s">
        <v>7834</v>
      </c>
      <c r="K2123" s="18">
        <v>44933</v>
      </c>
      <c r="L2123" s="134" t="s">
        <v>570</v>
      </c>
      <c r="M2123" s="134" t="s">
        <v>570</v>
      </c>
      <c r="N2123" s="134" t="s">
        <v>570</v>
      </c>
      <c r="O2123" s="134" t="s">
        <v>570</v>
      </c>
      <c r="P2123" s="466" t="s">
        <v>7831</v>
      </c>
      <c r="Q2123" s="134"/>
      <c r="R2123" s="134"/>
      <c r="S2123" s="344"/>
      <c r="T2123" s="512" t="e">
        <f>_xlfn.XLOOKUP(H2123,#REF!,#REF!,0,0)</f>
        <v>#REF!</v>
      </c>
    </row>
    <row r="2124" spans="1:20" s="299" customFormat="1" x14ac:dyDescent="0.4">
      <c r="A2124" s="18" t="s">
        <v>7835</v>
      </c>
      <c r="B2124" s="18" t="s">
        <v>2850</v>
      </c>
      <c r="C2124" s="19" t="s">
        <v>433</v>
      </c>
      <c r="D2124" s="18" t="s">
        <v>3778</v>
      </c>
      <c r="E2124" s="18" t="s">
        <v>10</v>
      </c>
      <c r="F2124" s="10" t="s">
        <v>3072</v>
      </c>
      <c r="G2124" s="18" t="s">
        <v>7836</v>
      </c>
      <c r="H2124" s="18" t="s">
        <v>7837</v>
      </c>
      <c r="I2124" s="134">
        <v>72738</v>
      </c>
      <c r="J2124" s="18" t="s">
        <v>7838</v>
      </c>
      <c r="K2124" s="18"/>
      <c r="L2124" s="134" t="s">
        <v>570</v>
      </c>
      <c r="M2124" s="134" t="s">
        <v>570</v>
      </c>
      <c r="N2124" s="134" t="s">
        <v>570</v>
      </c>
      <c r="O2124" s="134" t="s">
        <v>570</v>
      </c>
      <c r="P2124" s="466"/>
      <c r="Q2124" s="134"/>
      <c r="R2124" s="134"/>
      <c r="S2124" s="344"/>
      <c r="T2124" s="512" t="e">
        <f>_xlfn.XLOOKUP(H2124,#REF!,#REF!,0,0)</f>
        <v>#REF!</v>
      </c>
    </row>
    <row r="2125" spans="1:20" s="299" customFormat="1" x14ac:dyDescent="0.4">
      <c r="A2125" s="18" t="s">
        <v>7839</v>
      </c>
      <c r="B2125" s="18" t="s">
        <v>7840</v>
      </c>
      <c r="C2125" s="19" t="s">
        <v>433</v>
      </c>
      <c r="D2125" s="18" t="s">
        <v>3778</v>
      </c>
      <c r="E2125" s="18" t="s">
        <v>10</v>
      </c>
      <c r="F2125" s="10" t="s">
        <v>3072</v>
      </c>
      <c r="G2125" s="18" t="s">
        <v>7841</v>
      </c>
      <c r="H2125" s="18" t="s">
        <v>7842</v>
      </c>
      <c r="I2125" s="134">
        <v>72921</v>
      </c>
      <c r="J2125" s="18" t="s">
        <v>7843</v>
      </c>
      <c r="K2125" s="18" t="s">
        <v>7841</v>
      </c>
      <c r="L2125" s="134" t="s">
        <v>570</v>
      </c>
      <c r="M2125" s="134" t="s">
        <v>570</v>
      </c>
      <c r="N2125" s="134" t="s">
        <v>570</v>
      </c>
      <c r="O2125" s="134" t="s">
        <v>570</v>
      </c>
      <c r="P2125" s="466"/>
      <c r="Q2125" s="134"/>
      <c r="R2125" s="134"/>
      <c r="S2125" s="344"/>
      <c r="T2125" s="512" t="e">
        <f>_xlfn.XLOOKUP(H2125,#REF!,#REF!,0,0)</f>
        <v>#REF!</v>
      </c>
    </row>
    <row r="2126" spans="1:20" s="299" customFormat="1" x14ac:dyDescent="0.4">
      <c r="A2126" s="18" t="s">
        <v>7827</v>
      </c>
      <c r="B2126" s="18" t="s">
        <v>7844</v>
      </c>
      <c r="C2126" s="19" t="s">
        <v>433</v>
      </c>
      <c r="D2126" s="18" t="s">
        <v>3778</v>
      </c>
      <c r="E2126" s="18" t="s">
        <v>10</v>
      </c>
      <c r="F2126" s="10" t="s">
        <v>3072</v>
      </c>
      <c r="G2126" s="18">
        <v>44992</v>
      </c>
      <c r="H2126" s="18" t="s">
        <v>7845</v>
      </c>
      <c r="I2126" s="134">
        <v>72923</v>
      </c>
      <c r="J2126" s="18" t="s">
        <v>7846</v>
      </c>
      <c r="K2126" s="18"/>
      <c r="L2126" s="134" t="s">
        <v>570</v>
      </c>
      <c r="M2126" s="134" t="s">
        <v>570</v>
      </c>
      <c r="N2126" s="134" t="s">
        <v>570</v>
      </c>
      <c r="O2126" s="134" t="s">
        <v>570</v>
      </c>
      <c r="P2126" s="466"/>
      <c r="Q2126" s="134"/>
      <c r="R2126" s="134"/>
      <c r="S2126" s="344"/>
      <c r="T2126" s="512" t="e">
        <f>_xlfn.XLOOKUP(H2126,#REF!,#REF!,0,0)</f>
        <v>#REF!</v>
      </c>
    </row>
    <row r="2127" spans="1:20" s="299" customFormat="1" x14ac:dyDescent="0.4">
      <c r="A2127" s="18" t="s">
        <v>7847</v>
      </c>
      <c r="B2127" s="18" t="s">
        <v>4934</v>
      </c>
      <c r="C2127" s="19" t="s">
        <v>433</v>
      </c>
      <c r="D2127" s="18" t="s">
        <v>3778</v>
      </c>
      <c r="E2127" s="18" t="s">
        <v>10</v>
      </c>
      <c r="F2127" s="10" t="s">
        <v>3072</v>
      </c>
      <c r="G2127" s="18" t="s">
        <v>7848</v>
      </c>
      <c r="H2127" s="18" t="s">
        <v>6475</v>
      </c>
      <c r="I2127" s="134">
        <v>72260</v>
      </c>
      <c r="J2127" s="18" t="s">
        <v>6476</v>
      </c>
      <c r="K2127" s="18"/>
      <c r="L2127" s="134" t="s">
        <v>570</v>
      </c>
      <c r="M2127" s="134" t="s">
        <v>570</v>
      </c>
      <c r="N2127" s="134" t="s">
        <v>570</v>
      </c>
      <c r="O2127" s="134" t="s">
        <v>570</v>
      </c>
      <c r="P2127" s="466"/>
      <c r="Q2127" s="134"/>
      <c r="R2127" s="134"/>
      <c r="S2127" s="344"/>
      <c r="T2127" s="512" t="e">
        <f>_xlfn.XLOOKUP(H2127,#REF!,#REF!,0,0)</f>
        <v>#REF!</v>
      </c>
    </row>
    <row r="2128" spans="1:20" s="299" customFormat="1" x14ac:dyDescent="0.4">
      <c r="A2128" s="18" t="s">
        <v>7849</v>
      </c>
      <c r="B2128" s="18" t="s">
        <v>7850</v>
      </c>
      <c r="C2128" s="19" t="s">
        <v>433</v>
      </c>
      <c r="D2128" s="18" t="s">
        <v>6559</v>
      </c>
      <c r="E2128" s="18" t="s">
        <v>10</v>
      </c>
      <c r="F2128" s="10">
        <v>840</v>
      </c>
      <c r="G2128" s="18"/>
      <c r="H2128" s="18" t="s">
        <v>261</v>
      </c>
      <c r="I2128" s="134">
        <v>70679</v>
      </c>
      <c r="J2128" s="18" t="s">
        <v>364</v>
      </c>
      <c r="K2128" s="18"/>
      <c r="L2128" s="134" t="s">
        <v>570</v>
      </c>
      <c r="M2128" s="134" t="s">
        <v>570</v>
      </c>
      <c r="N2128" s="134" t="s">
        <v>570</v>
      </c>
      <c r="O2128" s="134" t="s">
        <v>570</v>
      </c>
      <c r="P2128" s="466"/>
      <c r="Q2128" s="134"/>
      <c r="R2128" s="134"/>
      <c r="S2128" s="344"/>
      <c r="T2128" s="512" t="e">
        <f>_xlfn.XLOOKUP(H2128,#REF!,#REF!,0,0)</f>
        <v>#REF!</v>
      </c>
    </row>
    <row r="2129" spans="1:20" s="299" customFormat="1" x14ac:dyDescent="0.4">
      <c r="A2129" s="18" t="s">
        <v>7851</v>
      </c>
      <c r="B2129" s="18" t="s">
        <v>7852</v>
      </c>
      <c r="C2129" s="19" t="s">
        <v>433</v>
      </c>
      <c r="D2129" s="18" t="s">
        <v>6559</v>
      </c>
      <c r="E2129" s="18" t="s">
        <v>10</v>
      </c>
      <c r="F2129" s="10">
        <v>840</v>
      </c>
      <c r="G2129" s="18"/>
      <c r="H2129" s="18" t="s">
        <v>1172</v>
      </c>
      <c r="I2129" s="134">
        <v>70642</v>
      </c>
      <c r="J2129" s="18" t="s">
        <v>570</v>
      </c>
      <c r="K2129" s="18"/>
      <c r="L2129" s="134" t="s">
        <v>570</v>
      </c>
      <c r="M2129" s="134" t="s">
        <v>570</v>
      </c>
      <c r="N2129" s="134" t="s">
        <v>570</v>
      </c>
      <c r="O2129" s="134" t="s">
        <v>570</v>
      </c>
      <c r="P2129" s="466"/>
      <c r="Q2129" s="134"/>
      <c r="R2129" s="134"/>
      <c r="S2129" s="344"/>
      <c r="T2129" s="512" t="e">
        <f>_xlfn.XLOOKUP(H2129,#REF!,#REF!,0,0)</f>
        <v>#REF!</v>
      </c>
    </row>
    <row r="2130" spans="1:20" s="299" customFormat="1" x14ac:dyDescent="0.4">
      <c r="A2130" s="10"/>
      <c r="B2130" s="10" t="s">
        <v>7853</v>
      </c>
      <c r="C2130" s="19" t="s">
        <v>433</v>
      </c>
      <c r="D2130" s="10" t="s">
        <v>3778</v>
      </c>
      <c r="E2130" s="18" t="s">
        <v>10</v>
      </c>
      <c r="F2130" s="10" t="s">
        <v>5179</v>
      </c>
      <c r="G2130" s="18">
        <v>44974</v>
      </c>
      <c r="H2130" s="18" t="s">
        <v>309</v>
      </c>
      <c r="I2130" s="134">
        <v>73122</v>
      </c>
      <c r="J2130" s="10" t="s">
        <v>7854</v>
      </c>
      <c r="K2130" s="18">
        <v>44933</v>
      </c>
      <c r="L2130" s="10" t="s">
        <v>570</v>
      </c>
      <c r="M2130" s="10" t="s">
        <v>570</v>
      </c>
      <c r="N2130" s="10" t="s">
        <v>570</v>
      </c>
      <c r="O2130" s="10" t="s">
        <v>570</v>
      </c>
      <c r="P2130" s="477"/>
      <c r="Q2130" s="134"/>
      <c r="R2130" s="134"/>
      <c r="S2130" s="344"/>
      <c r="T2130" s="512" t="e">
        <f>_xlfn.XLOOKUP(H2130,#REF!,#REF!,0,0)</f>
        <v>#REF!</v>
      </c>
    </row>
    <row r="2131" spans="1:20" s="299" customFormat="1" x14ac:dyDescent="0.4">
      <c r="A2131" s="10"/>
      <c r="B2131" s="10" t="s">
        <v>7855</v>
      </c>
      <c r="C2131" s="19" t="s">
        <v>433</v>
      </c>
      <c r="D2131" s="10" t="s">
        <v>3778</v>
      </c>
      <c r="E2131" s="18" t="s">
        <v>10</v>
      </c>
      <c r="F2131" s="10" t="s">
        <v>5179</v>
      </c>
      <c r="G2131" s="18">
        <v>44974</v>
      </c>
      <c r="H2131" s="18" t="s">
        <v>7856</v>
      </c>
      <c r="I2131" s="134">
        <v>73123</v>
      </c>
      <c r="J2131" s="10" t="s">
        <v>7857</v>
      </c>
      <c r="K2131" s="25">
        <v>44933</v>
      </c>
      <c r="L2131" s="10" t="s">
        <v>570</v>
      </c>
      <c r="M2131" s="10" t="s">
        <v>570</v>
      </c>
      <c r="N2131" s="10" t="s">
        <v>570</v>
      </c>
      <c r="O2131" s="10" t="s">
        <v>570</v>
      </c>
      <c r="P2131" s="477"/>
      <c r="Q2131" s="134"/>
      <c r="R2131" s="134"/>
      <c r="S2131" s="344"/>
      <c r="T2131" s="512" t="e">
        <f>_xlfn.XLOOKUP(H2131,#REF!,#REF!,0,0)</f>
        <v>#REF!</v>
      </c>
    </row>
    <row r="2132" spans="1:20" s="299" customFormat="1" x14ac:dyDescent="0.4">
      <c r="A2132" s="10"/>
      <c r="B2132" s="10" t="s">
        <v>7858</v>
      </c>
      <c r="C2132" s="19" t="s">
        <v>433</v>
      </c>
      <c r="D2132" s="10" t="s">
        <v>3778</v>
      </c>
      <c r="E2132" s="18" t="s">
        <v>10</v>
      </c>
      <c r="F2132" s="10" t="s">
        <v>5179</v>
      </c>
      <c r="G2132" s="18">
        <v>44974</v>
      </c>
      <c r="H2132" s="18" t="s">
        <v>7859</v>
      </c>
      <c r="I2132" s="134">
        <v>73124</v>
      </c>
      <c r="J2132" s="10" t="s">
        <v>7860</v>
      </c>
      <c r="K2132" s="25">
        <v>44933</v>
      </c>
      <c r="L2132" s="10" t="s">
        <v>570</v>
      </c>
      <c r="M2132" s="10" t="s">
        <v>570</v>
      </c>
      <c r="N2132" s="10" t="s">
        <v>570</v>
      </c>
      <c r="O2132" s="10" t="s">
        <v>570</v>
      </c>
      <c r="P2132" s="477"/>
      <c r="Q2132" s="134"/>
      <c r="R2132" s="134"/>
      <c r="S2132" s="344"/>
      <c r="T2132" s="512" t="e">
        <f>_xlfn.XLOOKUP(H2132,#REF!,#REF!,0,0)</f>
        <v>#REF!</v>
      </c>
    </row>
    <row r="2133" spans="1:20" s="299" customFormat="1" x14ac:dyDescent="0.4">
      <c r="A2133" s="10"/>
      <c r="B2133" s="10" t="s">
        <v>7861</v>
      </c>
      <c r="C2133" s="19" t="s">
        <v>433</v>
      </c>
      <c r="D2133" s="10" t="s">
        <v>3778</v>
      </c>
      <c r="E2133" s="18" t="s">
        <v>10</v>
      </c>
      <c r="F2133" s="10" t="s">
        <v>3072</v>
      </c>
      <c r="G2133" s="18">
        <v>44992</v>
      </c>
      <c r="H2133" s="18" t="s">
        <v>307</v>
      </c>
      <c r="I2133" s="134">
        <v>72922</v>
      </c>
      <c r="J2133" s="10" t="s">
        <v>7862</v>
      </c>
      <c r="K2133" s="18"/>
      <c r="L2133" s="10" t="s">
        <v>570</v>
      </c>
      <c r="M2133" s="10" t="s">
        <v>570</v>
      </c>
      <c r="N2133" s="10" t="s">
        <v>570</v>
      </c>
      <c r="O2133" s="10" t="s">
        <v>570</v>
      </c>
      <c r="P2133" s="477"/>
      <c r="Q2133" s="134"/>
      <c r="R2133" s="134"/>
      <c r="S2133" s="344"/>
      <c r="T2133" s="512" t="e">
        <f>_xlfn.XLOOKUP(H2133,#REF!,#REF!,0,0)</f>
        <v>#REF!</v>
      </c>
    </row>
    <row r="2134" spans="1:20" s="299" customFormat="1" x14ac:dyDescent="0.4">
      <c r="A2134" s="10"/>
      <c r="B2134" s="10" t="s">
        <v>7863</v>
      </c>
      <c r="C2134" s="19" t="s">
        <v>433</v>
      </c>
      <c r="D2134" s="10" t="s">
        <v>3778</v>
      </c>
      <c r="E2134" s="18" t="s">
        <v>10</v>
      </c>
      <c r="F2134" s="10" t="s">
        <v>3072</v>
      </c>
      <c r="G2134" s="18">
        <v>44992</v>
      </c>
      <c r="H2134" s="18" t="s">
        <v>7864</v>
      </c>
      <c r="I2134" s="134">
        <v>72925</v>
      </c>
      <c r="J2134" s="10" t="s">
        <v>7865</v>
      </c>
      <c r="K2134" s="18"/>
      <c r="L2134" s="10" t="s">
        <v>570</v>
      </c>
      <c r="M2134" s="10" t="s">
        <v>570</v>
      </c>
      <c r="N2134" s="10" t="s">
        <v>570</v>
      </c>
      <c r="O2134" s="10" t="s">
        <v>570</v>
      </c>
      <c r="P2134" s="477"/>
      <c r="Q2134" s="134"/>
      <c r="R2134" s="134"/>
      <c r="S2134" s="344"/>
      <c r="T2134" s="512" t="e">
        <f>_xlfn.XLOOKUP(H2134,#REF!,#REF!,0,0)</f>
        <v>#REF!</v>
      </c>
    </row>
    <row r="2135" spans="1:20" s="299" customFormat="1" x14ac:dyDescent="0.4">
      <c r="A2135" s="10"/>
      <c r="B2135" s="10" t="s">
        <v>7866</v>
      </c>
      <c r="C2135" s="19" t="s">
        <v>433</v>
      </c>
      <c r="D2135" s="10" t="s">
        <v>3778</v>
      </c>
      <c r="E2135" s="18" t="s">
        <v>10</v>
      </c>
      <c r="F2135" s="10" t="s">
        <v>3072</v>
      </c>
      <c r="G2135" s="18">
        <v>44992</v>
      </c>
      <c r="H2135" s="18" t="s">
        <v>7867</v>
      </c>
      <c r="I2135" s="134">
        <v>72924</v>
      </c>
      <c r="J2135" s="10" t="s">
        <v>7868</v>
      </c>
      <c r="K2135" s="18"/>
      <c r="L2135" s="10" t="s">
        <v>570</v>
      </c>
      <c r="M2135" s="10" t="s">
        <v>570</v>
      </c>
      <c r="N2135" s="10" t="s">
        <v>570</v>
      </c>
      <c r="O2135" s="10" t="s">
        <v>570</v>
      </c>
      <c r="P2135" s="477"/>
      <c r="Q2135" s="134"/>
      <c r="R2135" s="134"/>
      <c r="S2135" s="344"/>
      <c r="T2135" s="512" t="e">
        <f>_xlfn.XLOOKUP(H2135,#REF!,#REF!,0,0)</f>
        <v>#REF!</v>
      </c>
    </row>
    <row r="2136" spans="1:20" s="299" customFormat="1" x14ac:dyDescent="0.4">
      <c r="A2136" s="134" t="s">
        <v>7869</v>
      </c>
      <c r="B2136" s="134" t="s">
        <v>7870</v>
      </c>
      <c r="C2136" s="19" t="s">
        <v>433</v>
      </c>
      <c r="D2136" s="134" t="s">
        <v>7699</v>
      </c>
      <c r="E2136" s="18" t="s">
        <v>10</v>
      </c>
      <c r="F2136" s="134" t="s">
        <v>5179</v>
      </c>
      <c r="G2136" s="18">
        <v>44974</v>
      </c>
      <c r="H2136" s="18" t="s">
        <v>7871</v>
      </c>
      <c r="I2136" s="134">
        <v>73475</v>
      </c>
      <c r="J2136" s="134" t="s">
        <v>7872</v>
      </c>
      <c r="K2136" s="18"/>
      <c r="L2136" s="134" t="s">
        <v>570</v>
      </c>
      <c r="M2136" s="134" t="s">
        <v>570</v>
      </c>
      <c r="N2136" s="134" t="s">
        <v>570</v>
      </c>
      <c r="O2136" s="134" t="s">
        <v>570</v>
      </c>
      <c r="P2136" s="480"/>
      <c r="Q2136" s="134"/>
      <c r="R2136" s="134"/>
      <c r="S2136" s="1">
        <f t="shared" ref="S2136:S2199" si="0">IF(AND(A2136&lt;&gt;"",A2136&lt;&gt;"SCORTA 10"),1,"")</f>
        <v>1</v>
      </c>
      <c r="T2136" s="512" t="e">
        <f>_xlfn.XLOOKUP(H2136,#REF!,#REF!,0,0)</f>
        <v>#REF!</v>
      </c>
    </row>
    <row r="2137" spans="1:20" s="299" customFormat="1" x14ac:dyDescent="0.4">
      <c r="A2137" s="134" t="s">
        <v>7873</v>
      </c>
      <c r="B2137" s="134" t="s">
        <v>7874</v>
      </c>
      <c r="C2137" s="19" t="s">
        <v>433</v>
      </c>
      <c r="D2137" s="134" t="s">
        <v>7699</v>
      </c>
      <c r="E2137" s="18" t="s">
        <v>10</v>
      </c>
      <c r="F2137" s="134" t="s">
        <v>5179</v>
      </c>
      <c r="G2137" s="18"/>
      <c r="H2137" s="18" t="s">
        <v>7462</v>
      </c>
      <c r="I2137" s="134">
        <v>72446</v>
      </c>
      <c r="J2137" s="134"/>
      <c r="K2137" s="18"/>
      <c r="L2137" s="134" t="s">
        <v>570</v>
      </c>
      <c r="M2137" s="134" t="s">
        <v>570</v>
      </c>
      <c r="N2137" s="134" t="s">
        <v>570</v>
      </c>
      <c r="O2137" s="134" t="s">
        <v>570</v>
      </c>
      <c r="P2137" s="480"/>
      <c r="Q2137" s="134"/>
      <c r="R2137" s="134"/>
      <c r="S2137" s="1">
        <f t="shared" si="0"/>
        <v>1</v>
      </c>
      <c r="T2137" s="512" t="e">
        <f>_xlfn.XLOOKUP(H2137,#REF!,#REF!,0,0)</f>
        <v>#REF!</v>
      </c>
    </row>
    <row r="2138" spans="1:20" s="299" customFormat="1" x14ac:dyDescent="0.4">
      <c r="A2138" s="134"/>
      <c r="B2138" s="134" t="s">
        <v>7875</v>
      </c>
      <c r="C2138" s="19" t="s">
        <v>433</v>
      </c>
      <c r="D2138" s="134" t="s">
        <v>3778</v>
      </c>
      <c r="E2138" s="18" t="s">
        <v>10</v>
      </c>
      <c r="F2138" s="134" t="s">
        <v>5179</v>
      </c>
      <c r="G2138" s="18">
        <v>44974</v>
      </c>
      <c r="H2138" s="18" t="s">
        <v>7876</v>
      </c>
      <c r="I2138" s="134">
        <v>73125</v>
      </c>
      <c r="J2138" s="134" t="s">
        <v>7877</v>
      </c>
      <c r="K2138" s="18">
        <v>44933</v>
      </c>
      <c r="L2138" s="134" t="s">
        <v>570</v>
      </c>
      <c r="M2138" s="134" t="s">
        <v>570</v>
      </c>
      <c r="N2138" s="134" t="s">
        <v>570</v>
      </c>
      <c r="O2138" s="134" t="s">
        <v>570</v>
      </c>
      <c r="P2138" s="480"/>
      <c r="Q2138" s="134"/>
      <c r="R2138" s="134"/>
      <c r="S2138" s="1" t="str">
        <f t="shared" si="0"/>
        <v/>
      </c>
      <c r="T2138" s="512" t="e">
        <f>_xlfn.XLOOKUP(H2138,#REF!,#REF!,0,0)</f>
        <v>#REF!</v>
      </c>
    </row>
    <row r="2139" spans="1:20" s="299" customFormat="1" x14ac:dyDescent="0.4">
      <c r="A2139" s="134" t="s">
        <v>7878</v>
      </c>
      <c r="B2139" s="134" t="s">
        <v>7879</v>
      </c>
      <c r="C2139" s="19" t="s">
        <v>433</v>
      </c>
      <c r="D2139" s="134" t="s">
        <v>693</v>
      </c>
      <c r="E2139" s="18" t="s">
        <v>10</v>
      </c>
      <c r="F2139" s="134" t="s">
        <v>5179</v>
      </c>
      <c r="G2139" s="18">
        <v>44974</v>
      </c>
      <c r="H2139" s="18" t="s">
        <v>7880</v>
      </c>
      <c r="I2139" s="134">
        <v>73127</v>
      </c>
      <c r="J2139" s="134" t="s">
        <v>7881</v>
      </c>
      <c r="K2139" s="18">
        <v>45118</v>
      </c>
      <c r="L2139" s="134" t="s">
        <v>364</v>
      </c>
      <c r="M2139" s="134" t="s">
        <v>364</v>
      </c>
      <c r="N2139" s="134" t="s">
        <v>364</v>
      </c>
      <c r="O2139" s="134" t="s">
        <v>364</v>
      </c>
      <c r="P2139" s="480" t="s">
        <v>7882</v>
      </c>
      <c r="Q2139" s="134"/>
      <c r="R2139" s="134"/>
      <c r="S2139" s="1">
        <f t="shared" si="0"/>
        <v>1</v>
      </c>
      <c r="T2139" s="512" t="e">
        <f>_xlfn.XLOOKUP(H2139,#REF!,#REF!,0,0)</f>
        <v>#REF!</v>
      </c>
    </row>
    <row r="2140" spans="1:20" s="299" customFormat="1" x14ac:dyDescent="0.4">
      <c r="A2140" s="134" t="s">
        <v>7883</v>
      </c>
      <c r="B2140" s="134" t="s">
        <v>7884</v>
      </c>
      <c r="C2140" s="19" t="s">
        <v>433</v>
      </c>
      <c r="D2140" s="134" t="s">
        <v>693</v>
      </c>
      <c r="E2140" s="18" t="s">
        <v>10</v>
      </c>
      <c r="F2140" s="134" t="s">
        <v>5179</v>
      </c>
      <c r="G2140" s="18">
        <v>44974</v>
      </c>
      <c r="H2140" s="18" t="s">
        <v>7885</v>
      </c>
      <c r="I2140" s="134">
        <v>73128</v>
      </c>
      <c r="J2140" s="134" t="s">
        <v>7886</v>
      </c>
      <c r="K2140" s="18">
        <v>45119</v>
      </c>
      <c r="L2140" s="134" t="s">
        <v>570</v>
      </c>
      <c r="M2140" s="134" t="s">
        <v>570</v>
      </c>
      <c r="N2140" s="134" t="s">
        <v>570</v>
      </c>
      <c r="O2140" s="134" t="s">
        <v>570</v>
      </c>
      <c r="P2140" s="480" t="s">
        <v>7887</v>
      </c>
      <c r="Q2140" s="134"/>
      <c r="R2140" s="134"/>
      <c r="S2140" s="1">
        <f t="shared" si="0"/>
        <v>1</v>
      </c>
      <c r="T2140" s="512" t="e">
        <f>_xlfn.XLOOKUP(H2140,#REF!,#REF!,0,0)</f>
        <v>#REF!</v>
      </c>
    </row>
    <row r="2141" spans="1:20" s="507" customFormat="1" ht="18" customHeight="1" x14ac:dyDescent="0.4">
      <c r="A2141" s="24" t="s">
        <v>7888</v>
      </c>
      <c r="B2141" s="24" t="s">
        <v>7889</v>
      </c>
      <c r="C2141" s="24"/>
      <c r="D2141" s="24" t="s">
        <v>693</v>
      </c>
      <c r="E2141" s="25" t="s">
        <v>10</v>
      </c>
      <c r="F2141" s="24" t="s">
        <v>5179</v>
      </c>
      <c r="G2141" s="25">
        <v>45107</v>
      </c>
      <c r="H2141" s="25" t="s">
        <v>7890</v>
      </c>
      <c r="I2141" s="264">
        <v>73449</v>
      </c>
      <c r="J2141" s="24" t="s">
        <v>7891</v>
      </c>
      <c r="K2141" s="25">
        <v>45117</v>
      </c>
      <c r="L2141" s="24" t="s">
        <v>364</v>
      </c>
      <c r="M2141" s="24" t="s">
        <v>364</v>
      </c>
      <c r="N2141" s="24" t="s">
        <v>364</v>
      </c>
      <c r="O2141" s="24" t="s">
        <v>364</v>
      </c>
      <c r="P2141" s="468" t="s">
        <v>7892</v>
      </c>
      <c r="Q2141" s="264"/>
      <c r="R2141" s="264"/>
      <c r="S2141" s="1">
        <f t="shared" si="0"/>
        <v>1</v>
      </c>
      <c r="T2141" s="512" t="e">
        <f>_xlfn.XLOOKUP(H2141,#REF!,#REF!,0,0)</f>
        <v>#REF!</v>
      </c>
    </row>
    <row r="2142" spans="1:20" s="295" customFormat="1" ht="18" customHeight="1" x14ac:dyDescent="0.4">
      <c r="A2142" s="5" t="s">
        <v>7893</v>
      </c>
      <c r="B2142" s="5" t="s">
        <v>7894</v>
      </c>
      <c r="C2142" s="5"/>
      <c r="D2142" s="5" t="s">
        <v>693</v>
      </c>
      <c r="E2142" s="4" t="s">
        <v>10</v>
      </c>
      <c r="F2142" s="5" t="s">
        <v>3072</v>
      </c>
      <c r="G2142" s="4"/>
      <c r="H2142" s="4" t="s">
        <v>7391</v>
      </c>
      <c r="I2142" s="3">
        <v>72735</v>
      </c>
      <c r="J2142" s="5"/>
      <c r="K2142" s="4">
        <v>45124</v>
      </c>
      <c r="L2142" s="5" t="s">
        <v>364</v>
      </c>
      <c r="M2142" s="5" t="s">
        <v>364</v>
      </c>
      <c r="N2142" s="5" t="s">
        <v>364</v>
      </c>
      <c r="O2142" s="5" t="s">
        <v>364</v>
      </c>
      <c r="P2142" s="474" t="s">
        <v>7895</v>
      </c>
      <c r="Q2142" s="3"/>
      <c r="R2142" s="3"/>
      <c r="S2142" s="1">
        <f t="shared" si="0"/>
        <v>1</v>
      </c>
      <c r="T2142" s="512" t="e">
        <f>_xlfn.XLOOKUP(H2142,#REF!,#REF!,0,0)</f>
        <v>#REF!</v>
      </c>
    </row>
    <row r="2143" spans="1:20" s="507" customFormat="1" ht="18" customHeight="1" x14ac:dyDescent="0.4">
      <c r="A2143" s="24" t="s">
        <v>7896</v>
      </c>
      <c r="B2143" s="24" t="s">
        <v>7897</v>
      </c>
      <c r="C2143" s="24"/>
      <c r="D2143" s="24" t="s">
        <v>7898</v>
      </c>
      <c r="E2143" s="25" t="s">
        <v>10</v>
      </c>
      <c r="F2143" s="24" t="s">
        <v>5179</v>
      </c>
      <c r="G2143" s="25">
        <v>45107</v>
      </c>
      <c r="H2143" s="25" t="s">
        <v>7899</v>
      </c>
      <c r="I2143" s="264">
        <v>73450</v>
      </c>
      <c r="J2143" s="24" t="s">
        <v>7900</v>
      </c>
      <c r="K2143" s="25">
        <v>45117</v>
      </c>
      <c r="L2143" s="24" t="s">
        <v>364</v>
      </c>
      <c r="M2143" s="24" t="s">
        <v>364</v>
      </c>
      <c r="N2143" s="24" t="s">
        <v>364</v>
      </c>
      <c r="O2143" s="24" t="s">
        <v>364</v>
      </c>
      <c r="P2143" s="468"/>
      <c r="Q2143" s="264"/>
      <c r="R2143" s="264"/>
      <c r="S2143" s="1">
        <f t="shared" si="0"/>
        <v>1</v>
      </c>
      <c r="T2143" s="512" t="e">
        <f>_xlfn.XLOOKUP(H2143,#REF!,#REF!,0,0)</f>
        <v>#REF!</v>
      </c>
    </row>
    <row r="2144" spans="1:20" s="295" customFormat="1" ht="18" customHeight="1" x14ac:dyDescent="0.4">
      <c r="A2144" s="5" t="s">
        <v>7901</v>
      </c>
      <c r="B2144" s="5" t="s">
        <v>7902</v>
      </c>
      <c r="C2144" s="5"/>
      <c r="D2144" s="5" t="s">
        <v>3778</v>
      </c>
      <c r="E2144" s="4" t="s">
        <v>10</v>
      </c>
      <c r="F2144" s="5" t="s">
        <v>3072</v>
      </c>
      <c r="G2144" s="4"/>
      <c r="H2144" s="4" t="s">
        <v>7903</v>
      </c>
      <c r="I2144" s="3">
        <v>70564</v>
      </c>
      <c r="J2144" s="5"/>
      <c r="K2144" s="4">
        <v>45124</v>
      </c>
      <c r="L2144" s="5" t="s">
        <v>364</v>
      </c>
      <c r="M2144" s="5" t="s">
        <v>364</v>
      </c>
      <c r="N2144" s="5" t="s">
        <v>364</v>
      </c>
      <c r="O2144" s="5" t="s">
        <v>364</v>
      </c>
      <c r="P2144" s="474" t="s">
        <v>7904</v>
      </c>
      <c r="Q2144" s="3"/>
      <c r="R2144" s="3"/>
      <c r="S2144" s="1">
        <f t="shared" si="0"/>
        <v>1</v>
      </c>
      <c r="T2144" s="512" t="e">
        <f>_xlfn.XLOOKUP(H2144,#REF!,#REF!,0,0)</f>
        <v>#REF!</v>
      </c>
    </row>
    <row r="2145" spans="1:20" s="507" customFormat="1" ht="18" customHeight="1" x14ac:dyDescent="0.4">
      <c r="A2145" s="24" t="s">
        <v>7905</v>
      </c>
      <c r="B2145" s="24" t="s">
        <v>7906</v>
      </c>
      <c r="C2145" s="24"/>
      <c r="D2145" s="24" t="s">
        <v>3778</v>
      </c>
      <c r="E2145" s="25" t="s">
        <v>10</v>
      </c>
      <c r="F2145" s="24" t="s">
        <v>5179</v>
      </c>
      <c r="G2145" s="25">
        <v>44974</v>
      </c>
      <c r="H2145" s="25" t="s">
        <v>7907</v>
      </c>
      <c r="I2145" s="264">
        <v>73129</v>
      </c>
      <c r="J2145" s="24" t="s">
        <v>7908</v>
      </c>
      <c r="K2145" s="25">
        <v>45124</v>
      </c>
      <c r="L2145" s="24" t="s">
        <v>364</v>
      </c>
      <c r="M2145" s="24" t="s">
        <v>364</v>
      </c>
      <c r="N2145" s="24" t="s">
        <v>364</v>
      </c>
      <c r="O2145" s="24" t="s">
        <v>364</v>
      </c>
      <c r="P2145" s="468" t="s">
        <v>7909</v>
      </c>
      <c r="Q2145" s="264"/>
      <c r="R2145" s="264"/>
      <c r="S2145" s="1">
        <f t="shared" si="0"/>
        <v>1</v>
      </c>
      <c r="T2145" s="512" t="e">
        <f>_xlfn.XLOOKUP(H2145,#REF!,#REF!,0,0)</f>
        <v>#REF!</v>
      </c>
    </row>
    <row r="2146" spans="1:20" s="507" customFormat="1" ht="18" customHeight="1" x14ac:dyDescent="0.4">
      <c r="A2146" s="24" t="s">
        <v>7910</v>
      </c>
      <c r="B2146" s="24" t="s">
        <v>7911</v>
      </c>
      <c r="C2146" s="24"/>
      <c r="D2146" s="24" t="s">
        <v>693</v>
      </c>
      <c r="E2146" s="25" t="s">
        <v>10</v>
      </c>
      <c r="F2146" s="24" t="s">
        <v>5179</v>
      </c>
      <c r="G2146" s="25">
        <v>44974</v>
      </c>
      <c r="H2146" s="25" t="s">
        <v>7912</v>
      </c>
      <c r="I2146" s="264">
        <v>73126</v>
      </c>
      <c r="J2146" s="24" t="s">
        <v>7913</v>
      </c>
      <c r="K2146" s="25">
        <v>45124</v>
      </c>
      <c r="L2146" s="24" t="s">
        <v>364</v>
      </c>
      <c r="M2146" s="24" t="s">
        <v>364</v>
      </c>
      <c r="N2146" s="24" t="s">
        <v>364</v>
      </c>
      <c r="O2146" s="24" t="s">
        <v>364</v>
      </c>
      <c r="P2146" s="468"/>
      <c r="Q2146" s="264"/>
      <c r="R2146" s="264"/>
      <c r="S2146" s="1">
        <f t="shared" si="0"/>
        <v>1</v>
      </c>
      <c r="T2146" s="512" t="e">
        <f>_xlfn.XLOOKUP(H2146,#REF!,#REF!,0,0)</f>
        <v>#REF!</v>
      </c>
    </row>
    <row r="2147" spans="1:20" s="299" customFormat="1" x14ac:dyDescent="0.4">
      <c r="A2147" s="134" t="s">
        <v>7914</v>
      </c>
      <c r="B2147" s="134" t="s">
        <v>7915</v>
      </c>
      <c r="C2147" s="19" t="s">
        <v>433</v>
      </c>
      <c r="D2147" s="134" t="s">
        <v>7916</v>
      </c>
      <c r="E2147" s="18" t="s">
        <v>3785</v>
      </c>
      <c r="F2147" s="134" t="s">
        <v>3072</v>
      </c>
      <c r="G2147" s="18">
        <v>45103</v>
      </c>
      <c r="H2147" s="18" t="s">
        <v>7917</v>
      </c>
      <c r="I2147" s="134">
        <v>71751</v>
      </c>
      <c r="J2147" s="134" t="s">
        <v>7918</v>
      </c>
      <c r="K2147" s="18"/>
      <c r="L2147" s="134" t="s">
        <v>364</v>
      </c>
      <c r="M2147" s="134" t="s">
        <v>364</v>
      </c>
      <c r="N2147" s="134" t="s">
        <v>364</v>
      </c>
      <c r="O2147" s="134" t="s">
        <v>364</v>
      </c>
      <c r="P2147" s="480"/>
      <c r="Q2147" s="134"/>
      <c r="R2147" s="134"/>
      <c r="S2147" s="1">
        <f t="shared" si="0"/>
        <v>1</v>
      </c>
      <c r="T2147" s="512" t="e">
        <f>_xlfn.XLOOKUP(H2147,#REF!,#REF!,0,0)</f>
        <v>#REF!</v>
      </c>
    </row>
    <row r="2148" spans="1:20" s="299" customFormat="1" x14ac:dyDescent="0.4">
      <c r="A2148" s="134" t="s">
        <v>7919</v>
      </c>
      <c r="B2148" s="134" t="s">
        <v>7920</v>
      </c>
      <c r="C2148" s="19" t="s">
        <v>433</v>
      </c>
      <c r="D2148" s="134" t="s">
        <v>693</v>
      </c>
      <c r="E2148" s="18" t="s">
        <v>10</v>
      </c>
      <c r="F2148" s="134" t="s">
        <v>5179</v>
      </c>
      <c r="G2148" s="18">
        <v>44974</v>
      </c>
      <c r="H2148" s="18" t="s">
        <v>7921</v>
      </c>
      <c r="I2148" s="134">
        <v>73131</v>
      </c>
      <c r="J2148" s="134" t="s">
        <v>7922</v>
      </c>
      <c r="K2148" s="18"/>
      <c r="L2148" s="134" t="s">
        <v>364</v>
      </c>
      <c r="M2148" s="134" t="s">
        <v>364</v>
      </c>
      <c r="N2148" s="134" t="s">
        <v>364</v>
      </c>
      <c r="O2148" s="134" t="s">
        <v>364</v>
      </c>
      <c r="P2148" s="480"/>
      <c r="Q2148" s="134"/>
      <c r="R2148" s="134"/>
      <c r="S2148" s="1">
        <f t="shared" si="0"/>
        <v>1</v>
      </c>
      <c r="T2148" s="512" t="e">
        <f>_xlfn.XLOOKUP(H2148,#REF!,#REF!,0,0)</f>
        <v>#REF!</v>
      </c>
    </row>
    <row r="2149" spans="1:20" s="299" customFormat="1" x14ac:dyDescent="0.4">
      <c r="A2149" s="18" t="s">
        <v>7923</v>
      </c>
      <c r="B2149" s="18" t="s">
        <v>7924</v>
      </c>
      <c r="C2149" s="19" t="s">
        <v>433</v>
      </c>
      <c r="D2149" s="18" t="s">
        <v>7699</v>
      </c>
      <c r="E2149" s="18" t="s">
        <v>10</v>
      </c>
      <c r="F2149" s="18" t="s">
        <v>5179</v>
      </c>
      <c r="G2149" s="18">
        <v>44974</v>
      </c>
      <c r="H2149" s="18" t="s">
        <v>7925</v>
      </c>
      <c r="I2149" s="134">
        <v>73130</v>
      </c>
      <c r="J2149" s="18" t="s">
        <v>7926</v>
      </c>
      <c r="K2149" s="18"/>
      <c r="L2149" s="134" t="s">
        <v>364</v>
      </c>
      <c r="M2149" s="134" t="s">
        <v>364</v>
      </c>
      <c r="N2149" s="134" t="s">
        <v>364</v>
      </c>
      <c r="O2149" s="134" t="s">
        <v>364</v>
      </c>
      <c r="P2149" s="466"/>
      <c r="Q2149" s="134"/>
      <c r="R2149" s="134"/>
      <c r="S2149" s="1">
        <f t="shared" si="0"/>
        <v>1</v>
      </c>
      <c r="T2149" s="512" t="e">
        <f>_xlfn.XLOOKUP(H2149,#REF!,#REF!,0,0)</f>
        <v>#REF!</v>
      </c>
    </row>
    <row r="2150" spans="1:20" s="299" customFormat="1" x14ac:dyDescent="0.4">
      <c r="A2150" s="18" t="s">
        <v>7927</v>
      </c>
      <c r="B2150" s="18" t="s">
        <v>7928</v>
      </c>
      <c r="C2150" s="19" t="s">
        <v>433</v>
      </c>
      <c r="D2150" s="18" t="s">
        <v>7699</v>
      </c>
      <c r="E2150" s="18" t="s">
        <v>10</v>
      </c>
      <c r="F2150" s="18" t="s">
        <v>5179</v>
      </c>
      <c r="G2150" s="18">
        <v>45107</v>
      </c>
      <c r="H2150" s="18" t="s">
        <v>7929</v>
      </c>
      <c r="I2150" s="134">
        <v>73451</v>
      </c>
      <c r="J2150" s="18" t="s">
        <v>7930</v>
      </c>
      <c r="K2150" s="18"/>
      <c r="L2150" s="134" t="s">
        <v>364</v>
      </c>
      <c r="M2150" s="134" t="s">
        <v>364</v>
      </c>
      <c r="N2150" s="134" t="s">
        <v>364</v>
      </c>
      <c r="O2150" s="134" t="s">
        <v>364</v>
      </c>
      <c r="P2150" s="466"/>
      <c r="Q2150" s="134"/>
      <c r="R2150" s="134"/>
      <c r="S2150" s="1">
        <f t="shared" si="0"/>
        <v>1</v>
      </c>
      <c r="T2150" s="512" t="e">
        <f>_xlfn.XLOOKUP(H2150,#REF!,#REF!,0,0)</f>
        <v>#REF!</v>
      </c>
    </row>
    <row r="2151" spans="1:20" s="295" customFormat="1" ht="18" customHeight="1" x14ac:dyDescent="0.4">
      <c r="A2151" s="5" t="s">
        <v>7931</v>
      </c>
      <c r="B2151" s="5" t="s">
        <v>7932</v>
      </c>
      <c r="C2151" s="5"/>
      <c r="D2151" s="5" t="s">
        <v>693</v>
      </c>
      <c r="E2151" s="4" t="s">
        <v>10</v>
      </c>
      <c r="F2151" s="5">
        <v>840</v>
      </c>
      <c r="G2151" s="4"/>
      <c r="H2151" s="4" t="s">
        <v>7933</v>
      </c>
      <c r="I2151" s="3">
        <v>70474</v>
      </c>
      <c r="J2151" s="5"/>
      <c r="K2151" s="4">
        <v>45131</v>
      </c>
      <c r="L2151" s="5" t="s">
        <v>364</v>
      </c>
      <c r="M2151" s="5" t="s">
        <v>364</v>
      </c>
      <c r="N2151" s="5" t="s">
        <v>364</v>
      </c>
      <c r="O2151" s="5" t="s">
        <v>364</v>
      </c>
      <c r="P2151" s="474"/>
      <c r="Q2151" s="3"/>
      <c r="R2151" s="3"/>
      <c r="S2151" s="1">
        <f t="shared" si="0"/>
        <v>1</v>
      </c>
      <c r="T2151" s="512" t="e">
        <f>_xlfn.XLOOKUP(H2151,#REF!,#REF!,0,0)</f>
        <v>#REF!</v>
      </c>
    </row>
    <row r="2152" spans="1:20" s="507" customFormat="1" ht="18" customHeight="1" x14ac:dyDescent="0.4">
      <c r="A2152" s="24" t="s">
        <v>7934</v>
      </c>
      <c r="B2152" s="24" t="s">
        <v>7935</v>
      </c>
      <c r="C2152" s="24"/>
      <c r="D2152" s="24" t="s">
        <v>693</v>
      </c>
      <c r="E2152" s="25" t="s">
        <v>10</v>
      </c>
      <c r="F2152" s="24" t="s">
        <v>5179</v>
      </c>
      <c r="G2152" s="25">
        <v>45107</v>
      </c>
      <c r="H2152" s="25" t="s">
        <v>7936</v>
      </c>
      <c r="I2152" s="264">
        <v>73453</v>
      </c>
      <c r="J2152" s="24" t="s">
        <v>7937</v>
      </c>
      <c r="K2152" s="25" t="s">
        <v>7538</v>
      </c>
      <c r="L2152" s="24" t="s">
        <v>364</v>
      </c>
      <c r="M2152" s="24" t="s">
        <v>364</v>
      </c>
      <c r="N2152" s="24" t="s">
        <v>364</v>
      </c>
      <c r="O2152" s="24" t="s">
        <v>364</v>
      </c>
      <c r="P2152" s="468" t="s">
        <v>7938</v>
      </c>
      <c r="Q2152" s="264"/>
      <c r="R2152" s="264"/>
      <c r="S2152" s="1">
        <f t="shared" si="0"/>
        <v>1</v>
      </c>
      <c r="T2152" s="512" t="e">
        <f>_xlfn.XLOOKUP(H2152,#REF!,#REF!,0,0)</f>
        <v>#REF!</v>
      </c>
    </row>
    <row r="2153" spans="1:20" s="507" customFormat="1" ht="18" customHeight="1" x14ac:dyDescent="0.4">
      <c r="A2153" s="24" t="s">
        <v>7939</v>
      </c>
      <c r="B2153" s="24" t="s">
        <v>7940</v>
      </c>
      <c r="C2153" s="24"/>
      <c r="D2153" s="24" t="s">
        <v>693</v>
      </c>
      <c r="E2153" s="25" t="s">
        <v>3785</v>
      </c>
      <c r="F2153" s="24" t="s">
        <v>3072</v>
      </c>
      <c r="G2153" s="25">
        <v>45103</v>
      </c>
      <c r="H2153" s="25" t="s">
        <v>7941</v>
      </c>
      <c r="I2153" s="264">
        <v>71754</v>
      </c>
      <c r="J2153" s="24" t="s">
        <v>7942</v>
      </c>
      <c r="K2153" s="25">
        <v>45170</v>
      </c>
      <c r="L2153" s="24" t="s">
        <v>364</v>
      </c>
      <c r="M2153" s="24" t="s">
        <v>364</v>
      </c>
      <c r="N2153" s="24" t="s">
        <v>364</v>
      </c>
      <c r="O2153" s="24" t="s">
        <v>364</v>
      </c>
      <c r="P2153" s="468" t="s">
        <v>7943</v>
      </c>
      <c r="Q2153" s="264"/>
      <c r="R2153" s="264"/>
      <c r="S2153" s="1">
        <f t="shared" si="0"/>
        <v>1</v>
      </c>
      <c r="T2153" s="512" t="e">
        <f>_xlfn.XLOOKUP(H2153,#REF!,#REF!,0,0)</f>
        <v>#REF!</v>
      </c>
    </row>
    <row r="2154" spans="1:20" s="507" customFormat="1" ht="18" customHeight="1" x14ac:dyDescent="0.4">
      <c r="A2154" s="24" t="s">
        <v>7944</v>
      </c>
      <c r="B2154" s="24" t="s">
        <v>7945</v>
      </c>
      <c r="C2154" s="24"/>
      <c r="D2154" s="24" t="s">
        <v>693</v>
      </c>
      <c r="E2154" s="25" t="s">
        <v>10</v>
      </c>
      <c r="F2154" s="24" t="s">
        <v>5179</v>
      </c>
      <c r="G2154" s="25">
        <v>45107</v>
      </c>
      <c r="H2154" s="25" t="s">
        <v>7946</v>
      </c>
      <c r="I2154" s="264">
        <v>73454</v>
      </c>
      <c r="J2154" s="24" t="s">
        <v>7947</v>
      </c>
      <c r="K2154" s="25">
        <v>45170</v>
      </c>
      <c r="L2154" s="24" t="s">
        <v>364</v>
      </c>
      <c r="M2154" s="24" t="s">
        <v>364</v>
      </c>
      <c r="N2154" s="24" t="s">
        <v>364</v>
      </c>
      <c r="O2154" s="24" t="s">
        <v>364</v>
      </c>
      <c r="P2154" s="468" t="s">
        <v>7948</v>
      </c>
      <c r="Q2154" s="264"/>
      <c r="R2154" s="264"/>
      <c r="S2154" s="1">
        <f t="shared" si="0"/>
        <v>1</v>
      </c>
      <c r="T2154" s="512" t="e">
        <f>_xlfn.XLOOKUP(H2154,#REF!,#REF!,0,0)</f>
        <v>#REF!</v>
      </c>
    </row>
    <row r="2155" spans="1:20" s="507" customFormat="1" ht="18" customHeight="1" x14ac:dyDescent="0.4">
      <c r="A2155" s="24" t="s">
        <v>7949</v>
      </c>
      <c r="B2155" s="24" t="s">
        <v>7950</v>
      </c>
      <c r="C2155" s="24"/>
      <c r="D2155" s="24" t="s">
        <v>693</v>
      </c>
      <c r="E2155" s="25" t="s">
        <v>10</v>
      </c>
      <c r="F2155" s="24" t="s">
        <v>5179</v>
      </c>
      <c r="G2155" s="25">
        <v>45107</v>
      </c>
      <c r="H2155" s="25" t="s">
        <v>311</v>
      </c>
      <c r="I2155" s="264">
        <v>73455</v>
      </c>
      <c r="J2155" s="24" t="s">
        <v>7951</v>
      </c>
      <c r="K2155" s="25">
        <v>45170</v>
      </c>
      <c r="L2155" s="24" t="s">
        <v>364</v>
      </c>
      <c r="M2155" s="24" t="s">
        <v>364</v>
      </c>
      <c r="N2155" s="24" t="s">
        <v>364</v>
      </c>
      <c r="O2155" s="24" t="s">
        <v>364</v>
      </c>
      <c r="P2155" s="468" t="s">
        <v>7948</v>
      </c>
      <c r="Q2155" s="264"/>
      <c r="R2155" s="264"/>
      <c r="S2155" s="1">
        <f t="shared" si="0"/>
        <v>1</v>
      </c>
      <c r="T2155" s="512" t="e">
        <f>_xlfn.XLOOKUP(H2155,#REF!,#REF!,0,0)</f>
        <v>#REF!</v>
      </c>
    </row>
    <row r="2156" spans="1:20" s="507" customFormat="1" ht="18" customHeight="1" x14ac:dyDescent="0.4">
      <c r="A2156" s="24" t="s">
        <v>7952</v>
      </c>
      <c r="B2156" s="24" t="s">
        <v>7953</v>
      </c>
      <c r="C2156" s="24"/>
      <c r="D2156" s="24" t="s">
        <v>693</v>
      </c>
      <c r="E2156" s="25" t="s">
        <v>10</v>
      </c>
      <c r="F2156" s="24" t="s">
        <v>5179</v>
      </c>
      <c r="G2156" s="25">
        <v>45107</v>
      </c>
      <c r="H2156" s="25" t="s">
        <v>7954</v>
      </c>
      <c r="I2156" s="264">
        <v>73456</v>
      </c>
      <c r="J2156" s="24" t="s">
        <v>7955</v>
      </c>
      <c r="K2156" s="25">
        <v>45170</v>
      </c>
      <c r="L2156" s="24" t="s">
        <v>364</v>
      </c>
      <c r="M2156" s="24" t="s">
        <v>364</v>
      </c>
      <c r="N2156" s="24" t="s">
        <v>364</v>
      </c>
      <c r="O2156" s="24" t="s">
        <v>364</v>
      </c>
      <c r="P2156" s="468" t="s">
        <v>7948</v>
      </c>
      <c r="Q2156" s="264"/>
      <c r="R2156" s="264"/>
      <c r="S2156" s="1">
        <f t="shared" si="0"/>
        <v>1</v>
      </c>
      <c r="T2156" s="512" t="e">
        <f>_xlfn.XLOOKUP(H2156,#REF!,#REF!,0,0)</f>
        <v>#REF!</v>
      </c>
    </row>
    <row r="2157" spans="1:20" s="507" customFormat="1" ht="18" customHeight="1" x14ac:dyDescent="0.4">
      <c r="A2157" s="24" t="s">
        <v>7956</v>
      </c>
      <c r="B2157" s="24" t="s">
        <v>7957</v>
      </c>
      <c r="C2157" s="24"/>
      <c r="D2157" s="24" t="s">
        <v>693</v>
      </c>
      <c r="E2157" s="25" t="s">
        <v>10</v>
      </c>
      <c r="F2157" s="24" t="s">
        <v>5179</v>
      </c>
      <c r="G2157" s="25">
        <v>45107</v>
      </c>
      <c r="H2157" s="25" t="s">
        <v>7958</v>
      </c>
      <c r="I2157" s="264">
        <v>73457</v>
      </c>
      <c r="J2157" s="24" t="s">
        <v>7959</v>
      </c>
      <c r="K2157" s="25">
        <v>45170</v>
      </c>
      <c r="L2157" s="24" t="s">
        <v>364</v>
      </c>
      <c r="M2157" s="24" t="s">
        <v>364</v>
      </c>
      <c r="N2157" s="24" t="s">
        <v>364</v>
      </c>
      <c r="O2157" s="24" t="s">
        <v>364</v>
      </c>
      <c r="P2157" s="468" t="s">
        <v>7948</v>
      </c>
      <c r="Q2157" s="264"/>
      <c r="R2157" s="264"/>
      <c r="S2157" s="1">
        <f t="shared" si="0"/>
        <v>1</v>
      </c>
      <c r="T2157" s="512" t="e">
        <f>_xlfn.XLOOKUP(H2157,#REF!,#REF!,0,0)</f>
        <v>#REF!</v>
      </c>
    </row>
    <row r="2158" spans="1:20" s="507" customFormat="1" ht="18" customHeight="1" x14ac:dyDescent="0.4">
      <c r="A2158" s="24" t="s">
        <v>7960</v>
      </c>
      <c r="B2158" s="24" t="s">
        <v>7961</v>
      </c>
      <c r="C2158" s="24"/>
      <c r="D2158" s="24" t="s">
        <v>693</v>
      </c>
      <c r="E2158" s="25" t="s">
        <v>10</v>
      </c>
      <c r="F2158" s="24" t="s">
        <v>5179</v>
      </c>
      <c r="G2158" s="25">
        <v>45107</v>
      </c>
      <c r="H2158" s="25" t="s">
        <v>7962</v>
      </c>
      <c r="I2158" s="264">
        <v>73458</v>
      </c>
      <c r="J2158" s="24" t="s">
        <v>7963</v>
      </c>
      <c r="K2158" s="25">
        <v>45170</v>
      </c>
      <c r="L2158" s="24" t="s">
        <v>364</v>
      </c>
      <c r="M2158" s="24" t="s">
        <v>364</v>
      </c>
      <c r="N2158" s="24" t="s">
        <v>364</v>
      </c>
      <c r="O2158" s="24" t="s">
        <v>364</v>
      </c>
      <c r="P2158" s="468"/>
      <c r="Q2158" s="264"/>
      <c r="R2158" s="264"/>
      <c r="S2158" s="1">
        <f t="shared" si="0"/>
        <v>1</v>
      </c>
      <c r="T2158" s="512" t="e">
        <f>_xlfn.XLOOKUP(H2158,#REF!,#REF!,0,0)</f>
        <v>#REF!</v>
      </c>
    </row>
    <row r="2159" spans="1:20" s="507" customFormat="1" ht="18" customHeight="1" x14ac:dyDescent="0.4">
      <c r="A2159" s="24" t="s">
        <v>7964</v>
      </c>
      <c r="B2159" s="24" t="s">
        <v>7965</v>
      </c>
      <c r="C2159" s="24"/>
      <c r="D2159" s="24" t="s">
        <v>693</v>
      </c>
      <c r="E2159" s="25" t="s">
        <v>10</v>
      </c>
      <c r="F2159" s="24" t="s">
        <v>5179</v>
      </c>
      <c r="G2159" s="25">
        <v>45107</v>
      </c>
      <c r="H2159" s="25" t="s">
        <v>7966</v>
      </c>
      <c r="I2159" s="264">
        <v>73459</v>
      </c>
      <c r="J2159" s="24" t="s">
        <v>7967</v>
      </c>
      <c r="K2159" s="25">
        <v>45170</v>
      </c>
      <c r="L2159" s="24" t="s">
        <v>364</v>
      </c>
      <c r="M2159" s="24" t="s">
        <v>364</v>
      </c>
      <c r="N2159" s="24" t="s">
        <v>364</v>
      </c>
      <c r="O2159" s="24" t="s">
        <v>364</v>
      </c>
      <c r="P2159" s="468"/>
      <c r="Q2159" s="264"/>
      <c r="R2159" s="264"/>
      <c r="S2159" s="1">
        <f t="shared" si="0"/>
        <v>1</v>
      </c>
      <c r="T2159" s="512" t="e">
        <f>_xlfn.XLOOKUP(H2159,#REF!,#REF!,0,0)</f>
        <v>#REF!</v>
      </c>
    </row>
    <row r="2160" spans="1:20" s="507" customFormat="1" ht="18" customHeight="1" x14ac:dyDescent="0.4">
      <c r="A2160" s="24" t="s">
        <v>7968</v>
      </c>
      <c r="B2160" s="24" t="s">
        <v>7969</v>
      </c>
      <c r="C2160" s="24"/>
      <c r="D2160" s="24" t="s">
        <v>704</v>
      </c>
      <c r="E2160" s="25" t="s">
        <v>10</v>
      </c>
      <c r="F2160" s="24" t="s">
        <v>5179</v>
      </c>
      <c r="G2160" s="25">
        <v>45107</v>
      </c>
      <c r="H2160" s="25" t="s">
        <v>7970</v>
      </c>
      <c r="I2160" s="264">
        <v>73461</v>
      </c>
      <c r="J2160" s="24" t="s">
        <v>7971</v>
      </c>
      <c r="K2160" s="25">
        <v>45170</v>
      </c>
      <c r="L2160" s="24" t="s">
        <v>364</v>
      </c>
      <c r="M2160" s="24" t="s">
        <v>364</v>
      </c>
      <c r="N2160" s="24" t="s">
        <v>364</v>
      </c>
      <c r="O2160" s="24" t="s">
        <v>364</v>
      </c>
      <c r="P2160" s="468"/>
      <c r="Q2160" s="264"/>
      <c r="R2160" s="264"/>
      <c r="S2160" s="1">
        <f t="shared" si="0"/>
        <v>1</v>
      </c>
      <c r="T2160" s="512" t="e">
        <f>_xlfn.XLOOKUP(H2160,#REF!,#REF!,0,0)</f>
        <v>#REF!</v>
      </c>
    </row>
    <row r="2161" spans="1:20" s="507" customFormat="1" ht="18" customHeight="1" x14ac:dyDescent="0.4">
      <c r="A2161" s="24" t="s">
        <v>7972</v>
      </c>
      <c r="B2161" s="24" t="s">
        <v>7973</v>
      </c>
      <c r="C2161" s="24"/>
      <c r="D2161" s="24" t="s">
        <v>693</v>
      </c>
      <c r="E2161" s="25" t="s">
        <v>10</v>
      </c>
      <c r="F2161" s="24" t="s">
        <v>5179</v>
      </c>
      <c r="G2161" s="25">
        <v>45107</v>
      </c>
      <c r="H2161" s="25" t="s">
        <v>7974</v>
      </c>
      <c r="I2161" s="264">
        <v>73462</v>
      </c>
      <c r="J2161" s="24" t="s">
        <v>7975</v>
      </c>
      <c r="K2161" s="25">
        <v>45170</v>
      </c>
      <c r="L2161" s="24" t="s">
        <v>364</v>
      </c>
      <c r="M2161" s="24" t="s">
        <v>364</v>
      </c>
      <c r="N2161" s="24" t="s">
        <v>364</v>
      </c>
      <c r="O2161" s="24" t="s">
        <v>364</v>
      </c>
      <c r="P2161" s="468" t="s">
        <v>7976</v>
      </c>
      <c r="Q2161" s="264"/>
      <c r="R2161" s="264"/>
      <c r="S2161" s="1">
        <f t="shared" si="0"/>
        <v>1</v>
      </c>
      <c r="T2161" s="512" t="e">
        <f>_xlfn.XLOOKUP(H2161,#REF!,#REF!,0,0)</f>
        <v>#REF!</v>
      </c>
    </row>
    <row r="2162" spans="1:20" s="507" customFormat="1" ht="18" customHeight="1" x14ac:dyDescent="0.4">
      <c r="A2162" s="24" t="s">
        <v>7977</v>
      </c>
      <c r="B2162" s="24" t="s">
        <v>7978</v>
      </c>
      <c r="C2162" s="24"/>
      <c r="D2162" s="24" t="s">
        <v>693</v>
      </c>
      <c r="E2162" s="25" t="s">
        <v>3785</v>
      </c>
      <c r="F2162" s="24" t="s">
        <v>3072</v>
      </c>
      <c r="G2162" s="25">
        <v>45103</v>
      </c>
      <c r="H2162" s="25" t="s">
        <v>7979</v>
      </c>
      <c r="I2162" s="264">
        <v>71752</v>
      </c>
      <c r="J2162" s="24" t="s">
        <v>7980</v>
      </c>
      <c r="K2162" s="25">
        <v>45170</v>
      </c>
      <c r="L2162" s="24" t="s">
        <v>364</v>
      </c>
      <c r="M2162" s="24" t="s">
        <v>364</v>
      </c>
      <c r="N2162" s="24" t="s">
        <v>364</v>
      </c>
      <c r="O2162" s="24" t="s">
        <v>364</v>
      </c>
      <c r="P2162" s="468" t="s">
        <v>7623</v>
      </c>
      <c r="Q2162" s="264"/>
      <c r="R2162" s="264"/>
      <c r="S2162" s="1">
        <f t="shared" si="0"/>
        <v>1</v>
      </c>
      <c r="T2162" s="512" t="e">
        <f>_xlfn.XLOOKUP(H2162,#REF!,#REF!,0,0)</f>
        <v>#REF!</v>
      </c>
    </row>
    <row r="2163" spans="1:20" s="507" customFormat="1" ht="18" customHeight="1" x14ac:dyDescent="0.4">
      <c r="A2163" s="24" t="s">
        <v>7981</v>
      </c>
      <c r="B2163" s="24" t="s">
        <v>7982</v>
      </c>
      <c r="C2163" s="24"/>
      <c r="D2163" s="24" t="s">
        <v>693</v>
      </c>
      <c r="E2163" s="25" t="s">
        <v>3785</v>
      </c>
      <c r="F2163" s="24" t="s">
        <v>3072</v>
      </c>
      <c r="G2163" s="25">
        <v>45103</v>
      </c>
      <c r="H2163" s="25" t="s">
        <v>7983</v>
      </c>
      <c r="I2163" s="264">
        <v>71753</v>
      </c>
      <c r="J2163" s="24" t="s">
        <v>7984</v>
      </c>
      <c r="K2163" s="25">
        <v>45170</v>
      </c>
      <c r="L2163" s="24" t="s">
        <v>364</v>
      </c>
      <c r="M2163" s="24" t="s">
        <v>364</v>
      </c>
      <c r="N2163" s="24" t="s">
        <v>364</v>
      </c>
      <c r="O2163" s="24" t="s">
        <v>364</v>
      </c>
      <c r="P2163" s="468" t="s">
        <v>6651</v>
      </c>
      <c r="Q2163" s="264"/>
      <c r="R2163" s="264"/>
      <c r="S2163" s="1">
        <f t="shared" si="0"/>
        <v>1</v>
      </c>
      <c r="T2163" s="512" t="e">
        <f>_xlfn.XLOOKUP(H2163,#REF!,#REF!,0,0)</f>
        <v>#REF!</v>
      </c>
    </row>
    <row r="2164" spans="1:20" s="507" customFormat="1" ht="18" customHeight="1" x14ac:dyDescent="0.4">
      <c r="A2164" s="24" t="s">
        <v>7985</v>
      </c>
      <c r="B2164" s="24" t="s">
        <v>7986</v>
      </c>
      <c r="C2164" s="24"/>
      <c r="D2164" s="24" t="s">
        <v>1097</v>
      </c>
      <c r="E2164" s="25" t="s">
        <v>10</v>
      </c>
      <c r="F2164" s="24" t="s">
        <v>5179</v>
      </c>
      <c r="G2164" s="25">
        <v>45107</v>
      </c>
      <c r="H2164" s="25" t="s">
        <v>7987</v>
      </c>
      <c r="I2164" s="264">
        <v>73460</v>
      </c>
      <c r="J2164" s="24" t="s">
        <v>7988</v>
      </c>
      <c r="K2164" s="25">
        <v>45170</v>
      </c>
      <c r="L2164" s="24" t="s">
        <v>364</v>
      </c>
      <c r="M2164" s="24" t="s">
        <v>364</v>
      </c>
      <c r="N2164" s="24" t="s">
        <v>364</v>
      </c>
      <c r="O2164" s="24" t="s">
        <v>364</v>
      </c>
      <c r="P2164" s="468"/>
      <c r="Q2164" s="264"/>
      <c r="R2164" s="264"/>
      <c r="S2164" s="1">
        <f t="shared" si="0"/>
        <v>1</v>
      </c>
      <c r="T2164" s="512" t="e">
        <f>_xlfn.XLOOKUP(H2164,#REF!,#REF!,0,0)</f>
        <v>#REF!</v>
      </c>
    </row>
    <row r="2165" spans="1:20" s="295" customFormat="1" ht="18" customHeight="1" x14ac:dyDescent="0.4">
      <c r="A2165" s="5" t="s">
        <v>7989</v>
      </c>
      <c r="B2165" s="5" t="s">
        <v>7990</v>
      </c>
      <c r="C2165" s="5"/>
      <c r="D2165" s="5" t="s">
        <v>693</v>
      </c>
      <c r="E2165" s="4" t="s">
        <v>10</v>
      </c>
      <c r="F2165" s="5">
        <v>840</v>
      </c>
      <c r="G2165" s="4"/>
      <c r="H2165" s="4" t="s">
        <v>314</v>
      </c>
      <c r="I2165" s="3">
        <v>70717</v>
      </c>
      <c r="J2165" s="5"/>
      <c r="K2165" s="4">
        <v>45173</v>
      </c>
      <c r="L2165" s="5" t="s">
        <v>364</v>
      </c>
      <c r="M2165" s="5" t="s">
        <v>364</v>
      </c>
      <c r="N2165" s="5" t="s">
        <v>364</v>
      </c>
      <c r="O2165" s="5" t="s">
        <v>364</v>
      </c>
      <c r="P2165" s="474"/>
      <c r="Q2165" s="3"/>
      <c r="R2165" s="3"/>
      <c r="S2165" s="1">
        <f t="shared" si="0"/>
        <v>1</v>
      </c>
      <c r="T2165" s="512" t="e">
        <f>_xlfn.XLOOKUP(H2165,#REF!,#REF!,0,0)</f>
        <v>#REF!</v>
      </c>
    </row>
    <row r="2166" spans="1:20" s="509" customFormat="1" x14ac:dyDescent="0.4">
      <c r="A2166" s="219" t="s">
        <v>7991</v>
      </c>
      <c r="B2166" s="219" t="s">
        <v>7992</v>
      </c>
      <c r="C2166" s="19" t="s">
        <v>433</v>
      </c>
      <c r="D2166" s="219" t="s">
        <v>3778</v>
      </c>
      <c r="E2166" s="220" t="s">
        <v>3785</v>
      </c>
      <c r="F2166" s="219" t="s">
        <v>3072</v>
      </c>
      <c r="G2166" s="220">
        <v>45103</v>
      </c>
      <c r="H2166" s="220" t="s">
        <v>7993</v>
      </c>
      <c r="I2166" s="350">
        <v>71776</v>
      </c>
      <c r="J2166" s="219" t="s">
        <v>7994</v>
      </c>
      <c r="K2166" s="220">
        <v>45149</v>
      </c>
      <c r="L2166" s="219" t="s">
        <v>364</v>
      </c>
      <c r="M2166" s="219" t="s">
        <v>364</v>
      </c>
      <c r="N2166" s="219" t="s">
        <v>364</v>
      </c>
      <c r="O2166" s="219" t="s">
        <v>364</v>
      </c>
      <c r="P2166" s="481" t="s">
        <v>6278</v>
      </c>
      <c r="Q2166" s="350"/>
      <c r="R2166" s="350"/>
      <c r="S2166" s="1">
        <f t="shared" si="0"/>
        <v>1</v>
      </c>
      <c r="T2166" s="512" t="e">
        <f>_xlfn.XLOOKUP(H2166,#REF!,#REF!,0,0)</f>
        <v>#REF!</v>
      </c>
    </row>
    <row r="2167" spans="1:20" s="509" customFormat="1" x14ac:dyDescent="0.4">
      <c r="A2167" s="219" t="s">
        <v>7995</v>
      </c>
      <c r="B2167" s="219" t="s">
        <v>7996</v>
      </c>
      <c r="C2167" s="19" t="s">
        <v>433</v>
      </c>
      <c r="D2167" s="219" t="s">
        <v>693</v>
      </c>
      <c r="E2167" s="220" t="s">
        <v>3785</v>
      </c>
      <c r="F2167" s="219" t="s">
        <v>3072</v>
      </c>
      <c r="G2167" s="220">
        <v>45103</v>
      </c>
      <c r="H2167" s="220" t="s">
        <v>7997</v>
      </c>
      <c r="I2167" s="350">
        <v>71755</v>
      </c>
      <c r="J2167" s="219" t="s">
        <v>7998</v>
      </c>
      <c r="K2167" s="220" t="s">
        <v>7999</v>
      </c>
      <c r="L2167" s="219" t="s">
        <v>364</v>
      </c>
      <c r="M2167" s="219" t="s">
        <v>364</v>
      </c>
      <c r="N2167" s="219" t="s">
        <v>364</v>
      </c>
      <c r="O2167" s="219" t="s">
        <v>364</v>
      </c>
      <c r="P2167" s="481" t="s">
        <v>8000</v>
      </c>
      <c r="Q2167" s="350"/>
      <c r="R2167" s="350"/>
      <c r="S2167" s="1">
        <f t="shared" si="0"/>
        <v>1</v>
      </c>
      <c r="T2167" s="512" t="e">
        <f>_xlfn.XLOOKUP(H2167,#REF!,#REF!,0,0)</f>
        <v>#REF!</v>
      </c>
    </row>
    <row r="2168" spans="1:20" s="507" customFormat="1" ht="18" customHeight="1" x14ac:dyDescent="0.4">
      <c r="A2168" s="24" t="s">
        <v>8001</v>
      </c>
      <c r="B2168" s="24" t="s">
        <v>8002</v>
      </c>
      <c r="C2168" s="24"/>
      <c r="D2168" s="24" t="s">
        <v>693</v>
      </c>
      <c r="E2168" s="25" t="s">
        <v>10</v>
      </c>
      <c r="F2168" s="24" t="s">
        <v>5179</v>
      </c>
      <c r="G2168" s="25">
        <v>45107</v>
      </c>
      <c r="H2168" s="25" t="s">
        <v>8003</v>
      </c>
      <c r="I2168" s="264">
        <v>73463</v>
      </c>
      <c r="J2168" s="24" t="s">
        <v>8004</v>
      </c>
      <c r="K2168" s="25" t="s">
        <v>8005</v>
      </c>
      <c r="L2168" s="24" t="s">
        <v>364</v>
      </c>
      <c r="M2168" s="24" t="s">
        <v>364</v>
      </c>
      <c r="N2168" s="24" t="s">
        <v>364</v>
      </c>
      <c r="O2168" s="24" t="s">
        <v>364</v>
      </c>
      <c r="P2168" s="468"/>
      <c r="Q2168" s="264"/>
      <c r="R2168" s="264"/>
      <c r="S2168" s="1">
        <f t="shared" si="0"/>
        <v>1</v>
      </c>
      <c r="T2168" s="512" t="e">
        <f>_xlfn.XLOOKUP(H2168,#REF!,#REF!,0,0)</f>
        <v>#REF!</v>
      </c>
    </row>
    <row r="2169" spans="1:20" s="507" customFormat="1" ht="18" customHeight="1" x14ac:dyDescent="0.4">
      <c r="A2169" s="24" t="s">
        <v>8006</v>
      </c>
      <c r="B2169" s="24" t="s">
        <v>8007</v>
      </c>
      <c r="C2169" s="24"/>
      <c r="D2169" s="24" t="s">
        <v>8008</v>
      </c>
      <c r="E2169" s="25" t="s">
        <v>10</v>
      </c>
      <c r="F2169" s="24" t="s">
        <v>5179</v>
      </c>
      <c r="G2169" s="25">
        <v>45107</v>
      </c>
      <c r="H2169" s="25" t="s">
        <v>8009</v>
      </c>
      <c r="I2169" s="264">
        <v>73464</v>
      </c>
      <c r="J2169" s="24" t="s">
        <v>8004</v>
      </c>
      <c r="K2169" s="25">
        <v>45180</v>
      </c>
      <c r="L2169" s="24" t="s">
        <v>364</v>
      </c>
      <c r="M2169" s="24" t="s">
        <v>364</v>
      </c>
      <c r="N2169" s="24" t="s">
        <v>364</v>
      </c>
      <c r="O2169" s="24" t="s">
        <v>364</v>
      </c>
      <c r="P2169" s="468"/>
      <c r="Q2169" s="264"/>
      <c r="R2169" s="264"/>
      <c r="S2169" s="1">
        <f t="shared" si="0"/>
        <v>1</v>
      </c>
      <c r="T2169" s="512" t="e">
        <f>_xlfn.XLOOKUP(H2169,#REF!,#REF!,0,0)</f>
        <v>#REF!</v>
      </c>
    </row>
    <row r="2170" spans="1:20" s="507" customFormat="1" ht="18" customHeight="1" x14ac:dyDescent="0.4">
      <c r="A2170" s="24" t="s">
        <v>8010</v>
      </c>
      <c r="B2170" s="24" t="s">
        <v>8011</v>
      </c>
      <c r="C2170" s="24"/>
      <c r="D2170" s="24" t="s">
        <v>693</v>
      </c>
      <c r="E2170" s="25" t="s">
        <v>3785</v>
      </c>
      <c r="F2170" s="24" t="s">
        <v>3072</v>
      </c>
      <c r="G2170" s="25">
        <v>45103</v>
      </c>
      <c r="H2170" s="25" t="s">
        <v>8012</v>
      </c>
      <c r="I2170" s="264">
        <v>71756</v>
      </c>
      <c r="J2170" s="24" t="s">
        <v>8013</v>
      </c>
      <c r="K2170" s="25">
        <v>45180</v>
      </c>
      <c r="L2170" s="24" t="s">
        <v>364</v>
      </c>
      <c r="M2170" s="24" t="s">
        <v>364</v>
      </c>
      <c r="N2170" s="24" t="s">
        <v>364</v>
      </c>
      <c r="O2170" s="24" t="s">
        <v>364</v>
      </c>
      <c r="P2170" s="468" t="s">
        <v>8014</v>
      </c>
      <c r="Q2170" s="264"/>
      <c r="R2170" s="264"/>
      <c r="S2170" s="1">
        <f t="shared" si="0"/>
        <v>1</v>
      </c>
      <c r="T2170" s="512" t="e">
        <f>_xlfn.XLOOKUP(H2170,#REF!,#REF!,0,0)</f>
        <v>#REF!</v>
      </c>
    </row>
    <row r="2171" spans="1:20" s="295" customFormat="1" ht="18" customHeight="1" x14ac:dyDescent="0.4">
      <c r="A2171" s="5" t="s">
        <v>8015</v>
      </c>
      <c r="B2171" s="5" t="s">
        <v>8016</v>
      </c>
      <c r="C2171" s="5"/>
      <c r="D2171" s="5" t="s">
        <v>7898</v>
      </c>
      <c r="E2171" s="4" t="s">
        <v>10</v>
      </c>
      <c r="F2171" s="5" t="s">
        <v>6484</v>
      </c>
      <c r="G2171" s="4"/>
      <c r="H2171" s="4" t="s">
        <v>6402</v>
      </c>
      <c r="I2171" s="3">
        <v>72253</v>
      </c>
      <c r="J2171" s="5"/>
      <c r="K2171" s="4">
        <v>45180</v>
      </c>
      <c r="L2171" s="5" t="s">
        <v>364</v>
      </c>
      <c r="M2171" s="5" t="s">
        <v>364</v>
      </c>
      <c r="N2171" s="5" t="s">
        <v>364</v>
      </c>
      <c r="O2171" s="5" t="s">
        <v>364</v>
      </c>
      <c r="P2171" s="474" t="s">
        <v>8017</v>
      </c>
      <c r="Q2171" s="3"/>
      <c r="R2171" s="3"/>
      <c r="S2171" s="1">
        <f t="shared" si="0"/>
        <v>1</v>
      </c>
      <c r="T2171" s="512" t="e">
        <f>_xlfn.XLOOKUP(H2171,#REF!,#REF!,0,0)</f>
        <v>#REF!</v>
      </c>
    </row>
    <row r="2172" spans="1:20" s="295" customFormat="1" ht="18" customHeight="1" x14ac:dyDescent="0.4">
      <c r="A2172" s="5" t="s">
        <v>8018</v>
      </c>
      <c r="B2172" s="5" t="s">
        <v>8019</v>
      </c>
      <c r="C2172" s="5"/>
      <c r="D2172" s="5" t="s">
        <v>693</v>
      </c>
      <c r="E2172" s="4" t="s">
        <v>10</v>
      </c>
      <c r="F2172" s="5" t="s">
        <v>6484</v>
      </c>
      <c r="G2172" s="4"/>
      <c r="H2172" s="4" t="s">
        <v>7592</v>
      </c>
      <c r="I2172" s="3">
        <v>72761</v>
      </c>
      <c r="J2172" s="5"/>
      <c r="K2172" s="4">
        <v>45187</v>
      </c>
      <c r="L2172" s="5" t="s">
        <v>364</v>
      </c>
      <c r="M2172" s="5" t="s">
        <v>364</v>
      </c>
      <c r="N2172" s="5" t="s">
        <v>364</v>
      </c>
      <c r="O2172" s="5" t="s">
        <v>364</v>
      </c>
      <c r="P2172" s="474" t="s">
        <v>8020</v>
      </c>
      <c r="Q2172" s="3"/>
      <c r="R2172" s="3"/>
      <c r="S2172" s="1">
        <f t="shared" si="0"/>
        <v>1</v>
      </c>
      <c r="T2172" s="512" t="e">
        <f>_xlfn.XLOOKUP(H2172,#REF!,#REF!,0,0)</f>
        <v>#REF!</v>
      </c>
    </row>
    <row r="2173" spans="1:20" s="507" customFormat="1" ht="17.850000000000001" customHeight="1" x14ac:dyDescent="0.4">
      <c r="A2173" s="24" t="s">
        <v>8021</v>
      </c>
      <c r="B2173" s="24" t="s">
        <v>8022</v>
      </c>
      <c r="C2173" s="24"/>
      <c r="D2173" s="24" t="s">
        <v>693</v>
      </c>
      <c r="E2173" s="25" t="s">
        <v>10</v>
      </c>
      <c r="F2173" s="24" t="s">
        <v>5179</v>
      </c>
      <c r="G2173" s="25">
        <v>45107</v>
      </c>
      <c r="H2173" s="25" t="s">
        <v>8023</v>
      </c>
      <c r="I2173" s="264">
        <v>73465</v>
      </c>
      <c r="J2173" s="24" t="s">
        <v>8024</v>
      </c>
      <c r="K2173" s="25">
        <v>45187</v>
      </c>
      <c r="L2173" s="24" t="s">
        <v>364</v>
      </c>
      <c r="M2173" s="24" t="s">
        <v>364</v>
      </c>
      <c r="N2173" s="24" t="s">
        <v>364</v>
      </c>
      <c r="O2173" s="24" t="s">
        <v>364</v>
      </c>
      <c r="P2173" s="468"/>
      <c r="Q2173" s="264"/>
      <c r="R2173" s="264"/>
      <c r="S2173" s="1">
        <f t="shared" si="0"/>
        <v>1</v>
      </c>
      <c r="T2173" s="512" t="e">
        <f>_xlfn.XLOOKUP(H2173,#REF!,#REF!,0,0)</f>
        <v>#REF!</v>
      </c>
    </row>
    <row r="2174" spans="1:20" s="507" customFormat="1" ht="18" customHeight="1" x14ac:dyDescent="0.4">
      <c r="A2174" s="24" t="s">
        <v>8025</v>
      </c>
      <c r="B2174" s="24" t="s">
        <v>8026</v>
      </c>
      <c r="C2174" s="24"/>
      <c r="D2174" s="24" t="s">
        <v>693</v>
      </c>
      <c r="E2174" s="25" t="s">
        <v>10</v>
      </c>
      <c r="F2174" s="24" t="s">
        <v>5179</v>
      </c>
      <c r="G2174" s="25">
        <v>45107</v>
      </c>
      <c r="H2174" s="25" t="s">
        <v>8027</v>
      </c>
      <c r="I2174" s="264">
        <v>73466</v>
      </c>
      <c r="J2174" s="24" t="s">
        <v>8028</v>
      </c>
      <c r="K2174" s="25">
        <v>45187</v>
      </c>
      <c r="L2174" s="24" t="s">
        <v>364</v>
      </c>
      <c r="M2174" s="24" t="s">
        <v>364</v>
      </c>
      <c r="N2174" s="24" t="s">
        <v>364</v>
      </c>
      <c r="O2174" s="24" t="s">
        <v>364</v>
      </c>
      <c r="P2174" s="468"/>
      <c r="Q2174" s="264"/>
      <c r="R2174" s="264"/>
      <c r="S2174" s="1">
        <f t="shared" si="0"/>
        <v>1</v>
      </c>
      <c r="T2174" s="512" t="e">
        <f>_xlfn.XLOOKUP(H2174,#REF!,#REF!,0,0)</f>
        <v>#REF!</v>
      </c>
    </row>
    <row r="2175" spans="1:20" s="509" customFormat="1" x14ac:dyDescent="0.4">
      <c r="A2175" s="219" t="s">
        <v>8029</v>
      </c>
      <c r="B2175" s="219" t="s">
        <v>8030</v>
      </c>
      <c r="C2175" s="19" t="s">
        <v>433</v>
      </c>
      <c r="D2175" s="219" t="s">
        <v>693</v>
      </c>
      <c r="E2175" s="220" t="s">
        <v>3785</v>
      </c>
      <c r="F2175" s="219" t="s">
        <v>3072</v>
      </c>
      <c r="G2175" s="220">
        <v>45103</v>
      </c>
      <c r="H2175" s="220" t="s">
        <v>8031</v>
      </c>
      <c r="I2175" s="350">
        <v>71758</v>
      </c>
      <c r="J2175" s="219" t="s">
        <v>8032</v>
      </c>
      <c r="K2175" s="220">
        <v>45200</v>
      </c>
      <c r="L2175" s="219" t="s">
        <v>364</v>
      </c>
      <c r="M2175" s="219" t="s">
        <v>364</v>
      </c>
      <c r="N2175" s="219" t="s">
        <v>364</v>
      </c>
      <c r="O2175" s="219" t="s">
        <v>364</v>
      </c>
      <c r="P2175" s="481"/>
      <c r="Q2175" s="350"/>
      <c r="R2175" s="350"/>
      <c r="S2175" s="1">
        <f t="shared" si="0"/>
        <v>1</v>
      </c>
      <c r="T2175" s="512" t="e">
        <f>_xlfn.XLOOKUP(H2175,#REF!,#REF!,0,0)</f>
        <v>#REF!</v>
      </c>
    </row>
    <row r="2176" spans="1:20" s="507" customFormat="1" ht="18" customHeight="1" x14ac:dyDescent="0.4">
      <c r="A2176" s="24" t="s">
        <v>8033</v>
      </c>
      <c r="B2176" s="24" t="s">
        <v>8034</v>
      </c>
      <c r="C2176" s="24"/>
      <c r="D2176" s="24" t="s">
        <v>1097</v>
      </c>
      <c r="E2176" s="25" t="s">
        <v>3785</v>
      </c>
      <c r="F2176" s="24" t="s">
        <v>3072</v>
      </c>
      <c r="G2176" s="25">
        <v>45103</v>
      </c>
      <c r="H2176" s="25" t="s">
        <v>8035</v>
      </c>
      <c r="I2176" s="264">
        <v>71759</v>
      </c>
      <c r="J2176" s="24" t="s">
        <v>8036</v>
      </c>
      <c r="K2176" s="25">
        <v>45189</v>
      </c>
      <c r="L2176" s="24" t="s">
        <v>364</v>
      </c>
      <c r="M2176" s="24" t="s">
        <v>364</v>
      </c>
      <c r="N2176" s="24" t="s">
        <v>364</v>
      </c>
      <c r="O2176" s="24" t="s">
        <v>364</v>
      </c>
      <c r="P2176" s="468" t="s">
        <v>6278</v>
      </c>
      <c r="Q2176" s="264"/>
      <c r="R2176" s="264"/>
      <c r="S2176" s="1">
        <f t="shared" si="0"/>
        <v>1</v>
      </c>
      <c r="T2176" s="512" t="e">
        <f>_xlfn.XLOOKUP(H2176,#REF!,#REF!,0,0)</f>
        <v>#REF!</v>
      </c>
    </row>
    <row r="2177" spans="1:20" s="509" customFormat="1" x14ac:dyDescent="0.4">
      <c r="A2177" s="219" t="s">
        <v>8037</v>
      </c>
      <c r="B2177" s="219" t="s">
        <v>8038</v>
      </c>
      <c r="C2177" s="19" t="s">
        <v>433</v>
      </c>
      <c r="D2177" s="219" t="s">
        <v>693</v>
      </c>
      <c r="E2177" s="220" t="s">
        <v>10</v>
      </c>
      <c r="F2177" s="219" t="s">
        <v>5179</v>
      </c>
      <c r="G2177" s="220">
        <v>45107</v>
      </c>
      <c r="H2177" s="220" t="s">
        <v>8039</v>
      </c>
      <c r="I2177" s="350">
        <v>73467</v>
      </c>
      <c r="J2177" s="219" t="s">
        <v>8040</v>
      </c>
      <c r="K2177" s="220"/>
      <c r="L2177" s="219" t="s">
        <v>364</v>
      </c>
      <c r="M2177" s="219" t="s">
        <v>364</v>
      </c>
      <c r="N2177" s="219" t="s">
        <v>364</v>
      </c>
      <c r="O2177" s="219" t="s">
        <v>364</v>
      </c>
      <c r="P2177" s="481"/>
      <c r="Q2177" s="350"/>
      <c r="R2177" s="350"/>
      <c r="S2177" s="1">
        <f t="shared" si="0"/>
        <v>1</v>
      </c>
      <c r="T2177" s="512" t="e">
        <f>_xlfn.XLOOKUP(H2177,#REF!,#REF!,0,0)</f>
        <v>#REF!</v>
      </c>
    </row>
    <row r="2178" spans="1:20" s="507" customFormat="1" ht="18" customHeight="1" x14ac:dyDescent="0.4">
      <c r="A2178" s="24" t="s">
        <v>8041</v>
      </c>
      <c r="B2178" s="24" t="s">
        <v>8042</v>
      </c>
      <c r="C2178" s="24"/>
      <c r="D2178" s="24" t="s">
        <v>693</v>
      </c>
      <c r="E2178" s="25" t="s">
        <v>3785</v>
      </c>
      <c r="F2178" s="24" t="s">
        <v>3072</v>
      </c>
      <c r="G2178" s="25">
        <v>45103</v>
      </c>
      <c r="H2178" s="25" t="s">
        <v>8043</v>
      </c>
      <c r="I2178" s="264">
        <v>71757</v>
      </c>
      <c r="J2178" s="24" t="s">
        <v>8044</v>
      </c>
      <c r="K2178" s="25">
        <v>45200</v>
      </c>
      <c r="L2178" s="24" t="s">
        <v>364</v>
      </c>
      <c r="M2178" s="24" t="s">
        <v>364</v>
      </c>
      <c r="N2178" s="24" t="s">
        <v>364</v>
      </c>
      <c r="O2178" s="24" t="s">
        <v>364</v>
      </c>
      <c r="P2178" s="468" t="s">
        <v>6278</v>
      </c>
      <c r="Q2178" s="264"/>
      <c r="R2178" s="264"/>
      <c r="S2178" s="1">
        <f t="shared" si="0"/>
        <v>1</v>
      </c>
      <c r="T2178" s="512" t="e">
        <f>_xlfn.XLOOKUP(H2178,#REF!,#REF!,0,0)</f>
        <v>#REF!</v>
      </c>
    </row>
    <row r="2179" spans="1:20" s="505" customFormat="1" x14ac:dyDescent="0.4">
      <c r="A2179" s="214" t="s">
        <v>8045</v>
      </c>
      <c r="B2179" s="24" t="s">
        <v>8042</v>
      </c>
      <c r="C2179" s="24"/>
      <c r="D2179" s="214" t="s">
        <v>693</v>
      </c>
      <c r="E2179" s="215" t="s">
        <v>3016</v>
      </c>
      <c r="F2179" s="214" t="s">
        <v>7735</v>
      </c>
      <c r="G2179" s="215"/>
      <c r="H2179" s="215" t="s">
        <v>8046</v>
      </c>
      <c r="I2179" s="354">
        <v>70651</v>
      </c>
      <c r="J2179" s="214"/>
      <c r="K2179" s="215">
        <v>45200</v>
      </c>
      <c r="L2179" s="214" t="s">
        <v>364</v>
      </c>
      <c r="M2179" s="214" t="s">
        <v>364</v>
      </c>
      <c r="N2179" s="214" t="s">
        <v>364</v>
      </c>
      <c r="O2179" s="214" t="s">
        <v>364</v>
      </c>
      <c r="P2179" s="478" t="s">
        <v>8047</v>
      </c>
      <c r="Q2179" s="354"/>
      <c r="R2179" s="354"/>
      <c r="S2179" s="1">
        <f t="shared" si="0"/>
        <v>1</v>
      </c>
      <c r="T2179" s="512" t="e">
        <f>_xlfn.XLOOKUP(H2179,#REF!,#REF!,0,0)</f>
        <v>#REF!</v>
      </c>
    </row>
    <row r="2180" spans="1:20" s="507" customFormat="1" ht="18" customHeight="1" x14ac:dyDescent="0.4">
      <c r="A2180" s="24" t="s">
        <v>8048</v>
      </c>
      <c r="B2180" s="24" t="s">
        <v>8049</v>
      </c>
      <c r="C2180" s="24"/>
      <c r="D2180" s="24" t="s">
        <v>693</v>
      </c>
      <c r="E2180" s="25" t="s">
        <v>3785</v>
      </c>
      <c r="F2180" s="24" t="s">
        <v>3072</v>
      </c>
      <c r="G2180" s="25">
        <v>45103</v>
      </c>
      <c r="H2180" s="25" t="s">
        <v>8050</v>
      </c>
      <c r="I2180" s="264">
        <v>71760</v>
      </c>
      <c r="J2180" s="24" t="s">
        <v>8051</v>
      </c>
      <c r="K2180" s="25">
        <v>45200</v>
      </c>
      <c r="L2180" s="24" t="s">
        <v>364</v>
      </c>
      <c r="M2180" s="24" t="s">
        <v>364</v>
      </c>
      <c r="N2180" s="24" t="s">
        <v>364</v>
      </c>
      <c r="O2180" s="24" t="s">
        <v>364</v>
      </c>
      <c r="P2180" s="468"/>
      <c r="Q2180" s="264"/>
      <c r="R2180" s="264"/>
      <c r="S2180" s="1">
        <f t="shared" si="0"/>
        <v>1</v>
      </c>
      <c r="T2180" s="512" t="e">
        <f>_xlfn.XLOOKUP(H2180,#REF!,#REF!,0,0)</f>
        <v>#REF!</v>
      </c>
    </row>
    <row r="2181" spans="1:20" s="295" customFormat="1" ht="18" customHeight="1" x14ac:dyDescent="0.4">
      <c r="A2181" s="5" t="s">
        <v>8052</v>
      </c>
      <c r="B2181" s="5" t="s">
        <v>8053</v>
      </c>
      <c r="C2181" s="5"/>
      <c r="D2181" s="5" t="s">
        <v>693</v>
      </c>
      <c r="E2181" s="4" t="s">
        <v>10</v>
      </c>
      <c r="F2181" s="5" t="s">
        <v>6484</v>
      </c>
      <c r="G2181" s="4"/>
      <c r="H2181" s="4" t="s">
        <v>5759</v>
      </c>
      <c r="I2181" s="3">
        <v>70768</v>
      </c>
      <c r="J2181" s="5"/>
      <c r="K2181" s="4">
        <v>45189</v>
      </c>
      <c r="L2181" s="5" t="s">
        <v>364</v>
      </c>
      <c r="M2181" s="5" t="s">
        <v>364</v>
      </c>
      <c r="N2181" s="5" t="s">
        <v>364</v>
      </c>
      <c r="O2181" s="5" t="s">
        <v>364</v>
      </c>
      <c r="P2181" s="474" t="s">
        <v>8054</v>
      </c>
      <c r="Q2181" s="3"/>
      <c r="R2181" s="3"/>
      <c r="S2181" s="1">
        <f t="shared" si="0"/>
        <v>1</v>
      </c>
      <c r="T2181" s="512" t="e">
        <f>_xlfn.XLOOKUP(H2181,#REF!,#REF!,0,0)</f>
        <v>#REF!</v>
      </c>
    </row>
    <row r="2182" spans="1:20" s="295" customFormat="1" ht="18" customHeight="1" x14ac:dyDescent="0.4">
      <c r="A2182" s="5" t="s">
        <v>8055</v>
      </c>
      <c r="B2182" s="5" t="s">
        <v>8056</v>
      </c>
      <c r="C2182" s="5"/>
      <c r="D2182" s="5" t="s">
        <v>693</v>
      </c>
      <c r="E2182" s="4" t="s">
        <v>10</v>
      </c>
      <c r="F2182" s="5" t="s">
        <v>6484</v>
      </c>
      <c r="G2182" s="4"/>
      <c r="H2182" s="4" t="s">
        <v>274</v>
      </c>
      <c r="I2182" s="3">
        <v>70953</v>
      </c>
      <c r="J2182" s="5"/>
      <c r="K2182" s="4">
        <v>45189</v>
      </c>
      <c r="L2182" s="5" t="s">
        <v>364</v>
      </c>
      <c r="M2182" s="5" t="s">
        <v>364</v>
      </c>
      <c r="N2182" s="5" t="s">
        <v>364</v>
      </c>
      <c r="O2182" s="5" t="s">
        <v>364</v>
      </c>
      <c r="P2182" s="474" t="s">
        <v>8057</v>
      </c>
      <c r="Q2182" s="3"/>
      <c r="R2182" s="3"/>
      <c r="S2182" s="1">
        <f t="shared" si="0"/>
        <v>1</v>
      </c>
      <c r="T2182" s="512" t="e">
        <f>_xlfn.XLOOKUP(H2182,#REF!,#REF!,0,0)</f>
        <v>#REF!</v>
      </c>
    </row>
    <row r="2183" spans="1:20" s="295" customFormat="1" ht="18" customHeight="1" x14ac:dyDescent="0.4">
      <c r="A2183" s="5" t="s">
        <v>8058</v>
      </c>
      <c r="B2183" s="5" t="s">
        <v>8059</v>
      </c>
      <c r="C2183" s="5"/>
      <c r="D2183" s="5" t="s">
        <v>693</v>
      </c>
      <c r="E2183" s="4" t="s">
        <v>10</v>
      </c>
      <c r="F2183" s="5" t="s">
        <v>6484</v>
      </c>
      <c r="G2183" s="4"/>
      <c r="H2183" s="4" t="s">
        <v>5804</v>
      </c>
      <c r="I2183" s="3">
        <v>70926</v>
      </c>
      <c r="J2183" s="5"/>
      <c r="K2183" s="4">
        <v>45189</v>
      </c>
      <c r="L2183" s="5" t="s">
        <v>364</v>
      </c>
      <c r="M2183" s="5" t="s">
        <v>364</v>
      </c>
      <c r="N2183" s="5" t="s">
        <v>364</v>
      </c>
      <c r="O2183" s="5" t="s">
        <v>364</v>
      </c>
      <c r="P2183" s="474" t="s">
        <v>8060</v>
      </c>
      <c r="Q2183" s="3"/>
      <c r="R2183" s="3"/>
      <c r="S2183" s="1">
        <f t="shared" si="0"/>
        <v>1</v>
      </c>
      <c r="T2183" s="512" t="e">
        <f>_xlfn.XLOOKUP(H2183,#REF!,#REF!,0,0)</f>
        <v>#REF!</v>
      </c>
    </row>
    <row r="2184" spans="1:20" s="295" customFormat="1" ht="18" customHeight="1" x14ac:dyDescent="0.4">
      <c r="A2184" s="5" t="s">
        <v>8061</v>
      </c>
      <c r="B2184" s="5" t="s">
        <v>8062</v>
      </c>
      <c r="C2184" s="5"/>
      <c r="D2184" s="5" t="s">
        <v>693</v>
      </c>
      <c r="E2184" s="4" t="s">
        <v>10</v>
      </c>
      <c r="F2184" s="5">
        <v>840</v>
      </c>
      <c r="G2184" s="4"/>
      <c r="H2184" s="4" t="s">
        <v>1168</v>
      </c>
      <c r="I2184" s="3">
        <v>70640</v>
      </c>
      <c r="J2184" s="5"/>
      <c r="K2184" s="4">
        <v>45200</v>
      </c>
      <c r="L2184" s="5" t="s">
        <v>364</v>
      </c>
      <c r="M2184" s="5" t="s">
        <v>364</v>
      </c>
      <c r="N2184" s="5" t="s">
        <v>364</v>
      </c>
      <c r="O2184" s="5" t="s">
        <v>364</v>
      </c>
      <c r="P2184" s="474"/>
      <c r="Q2184" s="3"/>
      <c r="R2184" s="3"/>
      <c r="S2184" s="1">
        <f t="shared" si="0"/>
        <v>1</v>
      </c>
      <c r="T2184" s="512" t="e">
        <f>_xlfn.XLOOKUP(H2184,#REF!,#REF!,0,0)</f>
        <v>#REF!</v>
      </c>
    </row>
    <row r="2185" spans="1:20" s="295" customFormat="1" ht="18" customHeight="1" x14ac:dyDescent="0.4">
      <c r="A2185" s="5" t="s">
        <v>8063</v>
      </c>
      <c r="B2185" s="5" t="s">
        <v>8064</v>
      </c>
      <c r="C2185" s="5"/>
      <c r="D2185" s="5" t="s">
        <v>693</v>
      </c>
      <c r="E2185" s="4" t="s">
        <v>10</v>
      </c>
      <c r="F2185" s="5" t="s">
        <v>6484</v>
      </c>
      <c r="G2185" s="4"/>
      <c r="H2185" s="4" t="s">
        <v>175</v>
      </c>
      <c r="I2185" s="3">
        <v>69206</v>
      </c>
      <c r="J2185" s="5"/>
      <c r="K2185" s="4">
        <v>45200</v>
      </c>
      <c r="L2185" s="5" t="s">
        <v>364</v>
      </c>
      <c r="M2185" s="5" t="s">
        <v>364</v>
      </c>
      <c r="N2185" s="5" t="s">
        <v>364</v>
      </c>
      <c r="O2185" s="5" t="s">
        <v>364</v>
      </c>
      <c r="P2185" s="474" t="s">
        <v>8065</v>
      </c>
      <c r="Q2185" s="3"/>
      <c r="R2185" s="3"/>
      <c r="S2185" s="1">
        <f t="shared" si="0"/>
        <v>1</v>
      </c>
      <c r="T2185" s="512" t="e">
        <f>_xlfn.XLOOKUP(H2185,#REF!,#REF!,0,0)</f>
        <v>#REF!</v>
      </c>
    </row>
    <row r="2186" spans="1:20" s="295" customFormat="1" ht="18" customHeight="1" x14ac:dyDescent="0.4">
      <c r="A2186" s="5" t="s">
        <v>8066</v>
      </c>
      <c r="B2186" s="5" t="s">
        <v>8067</v>
      </c>
      <c r="C2186" s="5"/>
      <c r="D2186" s="5" t="s">
        <v>693</v>
      </c>
      <c r="E2186" s="4" t="s">
        <v>10</v>
      </c>
      <c r="F2186" s="5" t="s">
        <v>6484</v>
      </c>
      <c r="G2186" s="4"/>
      <c r="H2186" s="4" t="s">
        <v>270</v>
      </c>
      <c r="I2186" s="3">
        <v>70761</v>
      </c>
      <c r="J2186" s="5"/>
      <c r="K2186" s="4">
        <v>45200</v>
      </c>
      <c r="L2186" s="5" t="s">
        <v>364</v>
      </c>
      <c r="M2186" s="5" t="s">
        <v>364</v>
      </c>
      <c r="N2186" s="5" t="s">
        <v>364</v>
      </c>
      <c r="O2186" s="5" t="s">
        <v>364</v>
      </c>
      <c r="P2186" s="474" t="s">
        <v>6739</v>
      </c>
      <c r="Q2186" s="3"/>
      <c r="R2186" s="3"/>
      <c r="S2186" s="1">
        <f t="shared" si="0"/>
        <v>1</v>
      </c>
      <c r="T2186" s="512" t="e">
        <f>_xlfn.XLOOKUP(H2186,#REF!,#REF!,0,0)</f>
        <v>#REF!</v>
      </c>
    </row>
    <row r="2187" spans="1:20" s="507" customFormat="1" ht="18" customHeight="1" x14ac:dyDescent="0.4">
      <c r="A2187" s="24" t="s">
        <v>8068</v>
      </c>
      <c r="B2187" s="24" t="s">
        <v>8069</v>
      </c>
      <c r="C2187" s="24"/>
      <c r="D2187" s="24" t="s">
        <v>693</v>
      </c>
      <c r="E2187" s="25" t="s">
        <v>10</v>
      </c>
      <c r="F2187" s="24" t="s">
        <v>5179</v>
      </c>
      <c r="G2187" s="25">
        <v>45107</v>
      </c>
      <c r="H2187" s="25" t="s">
        <v>8070</v>
      </c>
      <c r="I2187" s="264">
        <v>73469</v>
      </c>
      <c r="J2187" s="24" t="s">
        <v>8071</v>
      </c>
      <c r="K2187" s="25">
        <v>45200</v>
      </c>
      <c r="L2187" s="24" t="s">
        <v>364</v>
      </c>
      <c r="M2187" s="24" t="s">
        <v>364</v>
      </c>
      <c r="N2187" s="24" t="s">
        <v>364</v>
      </c>
      <c r="O2187" s="24" t="s">
        <v>364</v>
      </c>
      <c r="P2187" s="468"/>
      <c r="Q2187" s="264"/>
      <c r="R2187" s="264"/>
      <c r="S2187" s="1">
        <f t="shared" si="0"/>
        <v>1</v>
      </c>
      <c r="T2187" s="512" t="e">
        <f>_xlfn.XLOOKUP(H2187,#REF!,#REF!,0,0)</f>
        <v>#REF!</v>
      </c>
    </row>
    <row r="2188" spans="1:20" s="507" customFormat="1" ht="18" customHeight="1" x14ac:dyDescent="0.4">
      <c r="A2188" s="24" t="s">
        <v>8072</v>
      </c>
      <c r="B2188" s="24" t="s">
        <v>8073</v>
      </c>
      <c r="C2188" s="24"/>
      <c r="D2188" s="24" t="s">
        <v>693</v>
      </c>
      <c r="E2188" s="25" t="s">
        <v>3785</v>
      </c>
      <c r="F2188" s="24" t="s">
        <v>3072</v>
      </c>
      <c r="G2188" s="25">
        <v>45103</v>
      </c>
      <c r="H2188" s="25" t="s">
        <v>8074</v>
      </c>
      <c r="I2188" s="264">
        <v>71763</v>
      </c>
      <c r="J2188" s="265" t="s">
        <v>8075</v>
      </c>
      <c r="K2188" s="25">
        <v>45200</v>
      </c>
      <c r="L2188" s="24" t="s">
        <v>364</v>
      </c>
      <c r="M2188" s="24" t="s">
        <v>364</v>
      </c>
      <c r="N2188" s="24" t="s">
        <v>364</v>
      </c>
      <c r="O2188" s="24" t="s">
        <v>364</v>
      </c>
      <c r="P2188" s="468" t="s">
        <v>8076</v>
      </c>
      <c r="Q2188" s="264"/>
      <c r="R2188" s="264"/>
      <c r="S2188" s="1">
        <f t="shared" si="0"/>
        <v>1</v>
      </c>
      <c r="T2188" s="512" t="e">
        <f>_xlfn.XLOOKUP(H2188,#REF!,#REF!,0,0)</f>
        <v>#REF!</v>
      </c>
    </row>
    <row r="2189" spans="1:20" s="295" customFormat="1" ht="18" customHeight="1" x14ac:dyDescent="0.4">
      <c r="A2189" s="5" t="s">
        <v>8077</v>
      </c>
      <c r="B2189" s="5" t="s">
        <v>8078</v>
      </c>
      <c r="C2189" s="5"/>
      <c r="D2189" s="5" t="s">
        <v>693</v>
      </c>
      <c r="E2189" s="4" t="s">
        <v>10</v>
      </c>
      <c r="F2189" s="5" t="s">
        <v>6484</v>
      </c>
      <c r="G2189" s="4"/>
      <c r="H2189" s="4" t="s">
        <v>5790</v>
      </c>
      <c r="I2189" s="3">
        <v>70930</v>
      </c>
      <c r="J2189" s="5"/>
      <c r="K2189" s="4">
        <v>45200</v>
      </c>
      <c r="L2189" s="5" t="s">
        <v>364</v>
      </c>
      <c r="M2189" s="5" t="s">
        <v>364</v>
      </c>
      <c r="N2189" s="5" t="s">
        <v>364</v>
      </c>
      <c r="O2189" s="5" t="s">
        <v>364</v>
      </c>
      <c r="P2189" s="474" t="s">
        <v>7688</v>
      </c>
      <c r="Q2189" s="3"/>
      <c r="R2189" s="3"/>
      <c r="S2189" s="1">
        <f t="shared" si="0"/>
        <v>1</v>
      </c>
      <c r="T2189" s="512" t="e">
        <f>_xlfn.XLOOKUP(H2189,#REF!,#REF!,0,0)</f>
        <v>#REF!</v>
      </c>
    </row>
    <row r="2190" spans="1:20" s="299" customFormat="1" x14ac:dyDescent="0.4">
      <c r="A2190" s="18" t="s">
        <v>8079</v>
      </c>
      <c r="B2190" s="18" t="s">
        <v>8080</v>
      </c>
      <c r="C2190" s="19" t="s">
        <v>433</v>
      </c>
      <c r="D2190" s="18" t="s">
        <v>693</v>
      </c>
      <c r="E2190" s="18" t="s">
        <v>10</v>
      </c>
      <c r="F2190" s="18" t="s">
        <v>5179</v>
      </c>
      <c r="G2190" s="18">
        <v>45107</v>
      </c>
      <c r="H2190" s="18" t="s">
        <v>8081</v>
      </c>
      <c r="I2190" s="134">
        <v>73476</v>
      </c>
      <c r="J2190" s="18" t="s">
        <v>8082</v>
      </c>
      <c r="K2190" s="18"/>
      <c r="L2190" s="18" t="s">
        <v>364</v>
      </c>
      <c r="M2190" s="18" t="s">
        <v>364</v>
      </c>
      <c r="N2190" s="18" t="s">
        <v>364</v>
      </c>
      <c r="O2190" s="18" t="s">
        <v>364</v>
      </c>
      <c r="P2190" s="466" t="s">
        <v>8083</v>
      </c>
      <c r="Q2190" s="134"/>
      <c r="R2190" s="134"/>
      <c r="S2190" s="1">
        <f t="shared" si="0"/>
        <v>1</v>
      </c>
      <c r="T2190" s="512" t="e">
        <f>_xlfn.XLOOKUP(H2190,#REF!,#REF!,0,0)</f>
        <v>#REF!</v>
      </c>
    </row>
    <row r="2191" spans="1:20" s="507" customFormat="1" ht="18" customHeight="1" x14ac:dyDescent="0.4">
      <c r="A2191" s="24" t="s">
        <v>8084</v>
      </c>
      <c r="B2191" s="24" t="s">
        <v>8085</v>
      </c>
      <c r="C2191" s="24"/>
      <c r="D2191" s="24" t="s">
        <v>8086</v>
      </c>
      <c r="E2191" s="25" t="s">
        <v>3785</v>
      </c>
      <c r="F2191" s="24" t="s">
        <v>3072</v>
      </c>
      <c r="G2191" s="25">
        <v>45103</v>
      </c>
      <c r="H2191" s="25" t="s">
        <v>8087</v>
      </c>
      <c r="I2191" s="264">
        <v>71764</v>
      </c>
      <c r="J2191" s="24" t="s">
        <v>8088</v>
      </c>
      <c r="K2191" s="25">
        <v>45208</v>
      </c>
      <c r="L2191" s="24" t="s">
        <v>364</v>
      </c>
      <c r="M2191" s="24" t="s">
        <v>364</v>
      </c>
      <c r="N2191" s="24" t="s">
        <v>364</v>
      </c>
      <c r="O2191" s="24" t="s">
        <v>364</v>
      </c>
      <c r="P2191" s="468" t="s">
        <v>8089</v>
      </c>
      <c r="Q2191" s="264"/>
      <c r="R2191" s="264"/>
      <c r="S2191" s="1">
        <f t="shared" si="0"/>
        <v>1</v>
      </c>
      <c r="T2191" s="512" t="e">
        <f>_xlfn.XLOOKUP(H2191,#REF!,#REF!,0,0)</f>
        <v>#REF!</v>
      </c>
    </row>
    <row r="2192" spans="1:20" s="505" customFormat="1" x14ac:dyDescent="0.4">
      <c r="A2192" s="214" t="s">
        <v>8090</v>
      </c>
      <c r="B2192" s="214" t="s">
        <v>8091</v>
      </c>
      <c r="C2192" s="214"/>
      <c r="D2192" s="24" t="s">
        <v>8086</v>
      </c>
      <c r="E2192" s="215" t="s">
        <v>10</v>
      </c>
      <c r="F2192" s="214" t="s">
        <v>6484</v>
      </c>
      <c r="G2192" s="215"/>
      <c r="H2192" s="215" t="s">
        <v>7993</v>
      </c>
      <c r="I2192" s="354">
        <v>71776</v>
      </c>
      <c r="J2192" s="214"/>
      <c r="K2192" s="25">
        <v>45208</v>
      </c>
      <c r="L2192" s="24" t="s">
        <v>364</v>
      </c>
      <c r="M2192" s="24" t="s">
        <v>364</v>
      </c>
      <c r="N2192" s="24" t="s">
        <v>364</v>
      </c>
      <c r="O2192" s="24" t="s">
        <v>364</v>
      </c>
      <c r="P2192" s="478"/>
      <c r="Q2192" s="354"/>
      <c r="R2192" s="354"/>
      <c r="S2192" s="1">
        <f t="shared" si="0"/>
        <v>1</v>
      </c>
      <c r="T2192" s="512" t="e">
        <f>_xlfn.XLOOKUP(H2192,#REF!,#REF!,0,0)</f>
        <v>#REF!</v>
      </c>
    </row>
    <row r="2193" spans="1:20" s="299" customFormat="1" x14ac:dyDescent="0.4">
      <c r="A2193" s="10" t="s">
        <v>8092</v>
      </c>
      <c r="B2193" s="10" t="s">
        <v>8093</v>
      </c>
      <c r="C2193" s="19" t="s">
        <v>433</v>
      </c>
      <c r="D2193" s="10" t="s">
        <v>8086</v>
      </c>
      <c r="E2193" s="18" t="s">
        <v>3785</v>
      </c>
      <c r="F2193" s="10" t="s">
        <v>3072</v>
      </c>
      <c r="G2193" s="18">
        <v>45103</v>
      </c>
      <c r="H2193" s="18" t="s">
        <v>8094</v>
      </c>
      <c r="I2193" s="134">
        <v>71762</v>
      </c>
      <c r="J2193" s="10" t="s">
        <v>8095</v>
      </c>
      <c r="K2193" s="18">
        <v>45208</v>
      </c>
      <c r="L2193" s="10" t="s">
        <v>364</v>
      </c>
      <c r="M2193" s="10" t="s">
        <v>364</v>
      </c>
      <c r="N2193" s="10" t="s">
        <v>364</v>
      </c>
      <c r="O2193" s="10" t="s">
        <v>364</v>
      </c>
      <c r="P2193" s="477"/>
      <c r="Q2193" s="134"/>
      <c r="R2193" s="134"/>
      <c r="S2193" s="1">
        <f t="shared" si="0"/>
        <v>1</v>
      </c>
      <c r="T2193" s="512" t="e">
        <f>_xlfn.XLOOKUP(H2193,#REF!,#REF!,0,0)</f>
        <v>#REF!</v>
      </c>
    </row>
    <row r="2194" spans="1:20" s="299" customFormat="1" x14ac:dyDescent="0.4">
      <c r="A2194" s="10" t="s">
        <v>8096</v>
      </c>
      <c r="B2194" s="10" t="s">
        <v>8097</v>
      </c>
      <c r="C2194" s="19" t="s">
        <v>433</v>
      </c>
      <c r="D2194" s="10" t="s">
        <v>8086</v>
      </c>
      <c r="E2194" s="18" t="s">
        <v>3785</v>
      </c>
      <c r="F2194" s="10" t="s">
        <v>3072</v>
      </c>
      <c r="G2194" s="18">
        <v>45103</v>
      </c>
      <c r="H2194" s="18" t="s">
        <v>8098</v>
      </c>
      <c r="I2194" s="134">
        <v>71761</v>
      </c>
      <c r="J2194" s="10" t="s">
        <v>8099</v>
      </c>
      <c r="K2194" s="18">
        <v>45208</v>
      </c>
      <c r="L2194" s="10" t="s">
        <v>364</v>
      </c>
      <c r="M2194" s="10" t="s">
        <v>364</v>
      </c>
      <c r="N2194" s="10" t="s">
        <v>364</v>
      </c>
      <c r="O2194" s="10" t="s">
        <v>364</v>
      </c>
      <c r="P2194" s="477"/>
      <c r="Q2194" s="134"/>
      <c r="R2194" s="134"/>
      <c r="S2194" s="1">
        <f t="shared" si="0"/>
        <v>1</v>
      </c>
      <c r="T2194" s="512" t="e">
        <f>_xlfn.XLOOKUP(H2194,#REF!,#REF!,0,0)</f>
        <v>#REF!</v>
      </c>
    </row>
    <row r="2195" spans="1:20" s="507" customFormat="1" ht="18" customHeight="1" x14ac:dyDescent="0.4">
      <c r="A2195" s="24" t="s">
        <v>8100</v>
      </c>
      <c r="B2195" s="24" t="s">
        <v>8101</v>
      </c>
      <c r="C2195" s="24"/>
      <c r="D2195" s="24" t="s">
        <v>693</v>
      </c>
      <c r="E2195" s="25" t="s">
        <v>10</v>
      </c>
      <c r="F2195" s="24" t="s">
        <v>5179</v>
      </c>
      <c r="G2195" s="25">
        <v>45107</v>
      </c>
      <c r="H2195" s="25" t="s">
        <v>8102</v>
      </c>
      <c r="I2195" s="264">
        <v>73468</v>
      </c>
      <c r="J2195" s="24" t="s">
        <v>8103</v>
      </c>
      <c r="K2195" s="25">
        <v>45200</v>
      </c>
      <c r="L2195" s="24" t="s">
        <v>364</v>
      </c>
      <c r="M2195" s="24" t="s">
        <v>364</v>
      </c>
      <c r="N2195" s="24" t="s">
        <v>364</v>
      </c>
      <c r="O2195" s="24" t="s">
        <v>364</v>
      </c>
      <c r="P2195" s="468" t="s">
        <v>7518</v>
      </c>
      <c r="Q2195" s="264"/>
      <c r="R2195" s="264"/>
      <c r="S2195" s="1">
        <f t="shared" si="0"/>
        <v>1</v>
      </c>
      <c r="T2195" s="512" t="e">
        <f>_xlfn.XLOOKUP(H2195,#REF!,#REF!,0,0)</f>
        <v>#REF!</v>
      </c>
    </row>
    <row r="2196" spans="1:20" s="507" customFormat="1" ht="18" customHeight="1" x14ac:dyDescent="0.4">
      <c r="A2196" s="24" t="s">
        <v>8104</v>
      </c>
      <c r="B2196" s="24" t="s">
        <v>8105</v>
      </c>
      <c r="C2196" s="24"/>
      <c r="D2196" s="24" t="s">
        <v>8086</v>
      </c>
      <c r="E2196" s="25" t="s">
        <v>3785</v>
      </c>
      <c r="F2196" s="24" t="s">
        <v>3072</v>
      </c>
      <c r="G2196" s="25">
        <v>45103</v>
      </c>
      <c r="H2196" s="25" t="s">
        <v>8106</v>
      </c>
      <c r="I2196" s="264">
        <v>71766</v>
      </c>
      <c r="J2196" s="24" t="s">
        <v>8107</v>
      </c>
      <c r="K2196" s="25">
        <v>45212</v>
      </c>
      <c r="L2196" s="24" t="s">
        <v>364</v>
      </c>
      <c r="M2196" s="24" t="s">
        <v>364</v>
      </c>
      <c r="N2196" s="24" t="s">
        <v>364</v>
      </c>
      <c r="O2196" s="24" t="s">
        <v>364</v>
      </c>
      <c r="P2196" s="468"/>
      <c r="Q2196" s="264"/>
      <c r="R2196" s="264"/>
      <c r="S2196" s="1">
        <f t="shared" si="0"/>
        <v>1</v>
      </c>
      <c r="T2196" s="512" t="e">
        <f>_xlfn.XLOOKUP(H2196,#REF!,#REF!,0,0)</f>
        <v>#REF!</v>
      </c>
    </row>
    <row r="2197" spans="1:20" s="299" customFormat="1" x14ac:dyDescent="0.4">
      <c r="A2197" s="10" t="s">
        <v>8108</v>
      </c>
      <c r="B2197" s="10" t="s">
        <v>8109</v>
      </c>
      <c r="C2197" s="19" t="s">
        <v>433</v>
      </c>
      <c r="D2197" s="10" t="s">
        <v>8086</v>
      </c>
      <c r="E2197" s="18" t="s">
        <v>3785</v>
      </c>
      <c r="F2197" s="10" t="s">
        <v>3072</v>
      </c>
      <c r="G2197" s="18">
        <v>45103</v>
      </c>
      <c r="H2197" s="18" t="s">
        <v>8110</v>
      </c>
      <c r="I2197" s="134">
        <v>71765</v>
      </c>
      <c r="J2197" s="10" t="s">
        <v>8111</v>
      </c>
      <c r="K2197" s="18" t="s">
        <v>8112</v>
      </c>
      <c r="L2197" s="10" t="s">
        <v>364</v>
      </c>
      <c r="M2197" s="10" t="s">
        <v>364</v>
      </c>
      <c r="N2197" s="10" t="s">
        <v>364</v>
      </c>
      <c r="O2197" s="10" t="s">
        <v>364</v>
      </c>
      <c r="P2197" s="477" t="s">
        <v>8113</v>
      </c>
      <c r="Q2197" s="134"/>
      <c r="R2197" s="134"/>
      <c r="S2197" s="1">
        <f t="shared" si="0"/>
        <v>1</v>
      </c>
      <c r="T2197" s="512" t="e">
        <f>_xlfn.XLOOKUP(H2197,#REF!,#REF!,0,0)</f>
        <v>#REF!</v>
      </c>
    </row>
    <row r="2198" spans="1:20" s="299" customFormat="1" x14ac:dyDescent="0.4">
      <c r="A2198" s="10" t="s">
        <v>8114</v>
      </c>
      <c r="B2198" s="10" t="s">
        <v>8115</v>
      </c>
      <c r="C2198" s="19" t="s">
        <v>433</v>
      </c>
      <c r="D2198" s="10" t="s">
        <v>693</v>
      </c>
      <c r="E2198" s="18" t="s">
        <v>10</v>
      </c>
      <c r="F2198" s="10" t="s">
        <v>6484</v>
      </c>
      <c r="G2198" s="18"/>
      <c r="H2198" s="18" t="s">
        <v>5587</v>
      </c>
      <c r="I2198" s="134">
        <v>70938</v>
      </c>
      <c r="J2198" s="10"/>
      <c r="K2198" s="18"/>
      <c r="L2198" s="10" t="s">
        <v>364</v>
      </c>
      <c r="M2198" s="10" t="s">
        <v>364</v>
      </c>
      <c r="N2198" s="10" t="s">
        <v>364</v>
      </c>
      <c r="O2198" s="10" t="s">
        <v>364</v>
      </c>
      <c r="P2198" s="477" t="s">
        <v>8116</v>
      </c>
      <c r="Q2198" s="134"/>
      <c r="R2198" s="134"/>
      <c r="S2198" s="1">
        <f t="shared" si="0"/>
        <v>1</v>
      </c>
      <c r="T2198" s="512" t="e">
        <f>_xlfn.XLOOKUP(H2198,#REF!,#REF!,0,0)</f>
        <v>#REF!</v>
      </c>
    </row>
    <row r="2199" spans="1:20" s="299" customFormat="1" x14ac:dyDescent="0.4">
      <c r="A2199" s="10" t="s">
        <v>8117</v>
      </c>
      <c r="B2199" s="10" t="s">
        <v>8118</v>
      </c>
      <c r="C2199" s="19" t="s">
        <v>433</v>
      </c>
      <c r="D2199" s="10" t="s">
        <v>8086</v>
      </c>
      <c r="E2199" s="18" t="s">
        <v>10</v>
      </c>
      <c r="F2199" s="10" t="s">
        <v>5179</v>
      </c>
      <c r="G2199" s="18">
        <v>45107</v>
      </c>
      <c r="H2199" s="18" t="s">
        <v>312</v>
      </c>
      <c r="I2199" s="134">
        <v>73470</v>
      </c>
      <c r="J2199" s="10" t="s">
        <v>8119</v>
      </c>
      <c r="K2199" s="18"/>
      <c r="L2199" s="10" t="s">
        <v>364</v>
      </c>
      <c r="M2199" s="10" t="s">
        <v>364</v>
      </c>
      <c r="N2199" s="10" t="s">
        <v>364</v>
      </c>
      <c r="O2199" s="10" t="s">
        <v>364</v>
      </c>
      <c r="P2199" s="477" t="s">
        <v>1</v>
      </c>
      <c r="Q2199" s="134"/>
      <c r="R2199" s="134"/>
      <c r="S2199" s="1">
        <f t="shared" si="0"/>
        <v>1</v>
      </c>
      <c r="T2199" s="512" t="e">
        <f>_xlfn.XLOOKUP(H2199,#REF!,#REF!,0,0)</f>
        <v>#REF!</v>
      </c>
    </row>
    <row r="2200" spans="1:20" s="299" customFormat="1" x14ac:dyDescent="0.4">
      <c r="A2200" s="10" t="s">
        <v>8120</v>
      </c>
      <c r="B2200" s="10" t="s">
        <v>8121</v>
      </c>
      <c r="C2200" s="19" t="s">
        <v>433</v>
      </c>
      <c r="D2200" s="10" t="s">
        <v>693</v>
      </c>
      <c r="E2200" s="18" t="s">
        <v>10</v>
      </c>
      <c r="F2200" s="10" t="s">
        <v>5179</v>
      </c>
      <c r="G2200" s="18">
        <v>45107</v>
      </c>
      <c r="H2200" s="18" t="s">
        <v>8122</v>
      </c>
      <c r="I2200" s="134">
        <v>73474</v>
      </c>
      <c r="J2200" s="10" t="s">
        <v>8123</v>
      </c>
      <c r="K2200" s="18" t="s">
        <v>8124</v>
      </c>
      <c r="L2200" s="10" t="s">
        <v>364</v>
      </c>
      <c r="M2200" s="10" t="s">
        <v>364</v>
      </c>
      <c r="N2200" s="10" t="s">
        <v>364</v>
      </c>
      <c r="O2200" s="10" t="s">
        <v>364</v>
      </c>
      <c r="P2200" s="477"/>
      <c r="Q2200" s="134"/>
      <c r="R2200" s="134"/>
      <c r="S2200" s="1">
        <f t="shared" ref="S2200:S2263" si="1">IF(AND(A2200&lt;&gt;"",A2200&lt;&gt;"SCORTA 10"),1,"")</f>
        <v>1</v>
      </c>
      <c r="T2200" s="512" t="e">
        <f>_xlfn.XLOOKUP(H2200,#REF!,#REF!,0,0)</f>
        <v>#REF!</v>
      </c>
    </row>
    <row r="2201" spans="1:20" s="507" customFormat="1" ht="18" customHeight="1" x14ac:dyDescent="0.4">
      <c r="A2201" s="264" t="s">
        <v>8125</v>
      </c>
      <c r="B2201" s="264" t="s">
        <v>8126</v>
      </c>
      <c r="C2201" s="264"/>
      <c r="D2201" s="264" t="s">
        <v>8127</v>
      </c>
      <c r="E2201" s="25" t="s">
        <v>10</v>
      </c>
      <c r="F2201" s="264" t="s">
        <v>5179</v>
      </c>
      <c r="G2201" s="25">
        <v>45107</v>
      </c>
      <c r="H2201" s="25" t="s">
        <v>8128</v>
      </c>
      <c r="I2201" s="264">
        <v>73473</v>
      </c>
      <c r="J2201" s="264" t="s">
        <v>8129</v>
      </c>
      <c r="K2201" s="25">
        <v>45215</v>
      </c>
      <c r="L2201" s="264" t="s">
        <v>364</v>
      </c>
      <c r="M2201" s="264" t="s">
        <v>364</v>
      </c>
      <c r="N2201" s="264" t="s">
        <v>364</v>
      </c>
      <c r="O2201" s="264" t="s">
        <v>364</v>
      </c>
      <c r="P2201" s="472" t="s">
        <v>1</v>
      </c>
      <c r="Q2201" s="264"/>
      <c r="R2201" s="264"/>
      <c r="S2201" s="1">
        <f t="shared" si="1"/>
        <v>1</v>
      </c>
      <c r="T2201" s="512" t="e">
        <f>_xlfn.XLOOKUP(H2201,#REF!,#REF!,0,0)</f>
        <v>#REF!</v>
      </c>
    </row>
    <row r="2202" spans="1:20" s="507" customFormat="1" ht="18" customHeight="1" x14ac:dyDescent="0.4">
      <c r="A2202" s="24"/>
      <c r="B2202" s="24" t="s">
        <v>8130</v>
      </c>
      <c r="C2202" s="24"/>
      <c r="D2202" s="24" t="s">
        <v>8127</v>
      </c>
      <c r="E2202" s="25" t="s">
        <v>10</v>
      </c>
      <c r="F2202" s="24" t="s">
        <v>5179</v>
      </c>
      <c r="G2202" s="25">
        <v>45107</v>
      </c>
      <c r="H2202" s="25" t="s">
        <v>8131</v>
      </c>
      <c r="I2202" s="264">
        <v>73478</v>
      </c>
      <c r="J2202" s="24" t="s">
        <v>8132</v>
      </c>
      <c r="K2202" s="25">
        <v>45232</v>
      </c>
      <c r="L2202" s="24" t="s">
        <v>364</v>
      </c>
      <c r="M2202" s="24" t="s">
        <v>364</v>
      </c>
      <c r="N2202" s="24" t="s">
        <v>364</v>
      </c>
      <c r="O2202" s="24" t="s">
        <v>364</v>
      </c>
      <c r="P2202" s="468" t="s">
        <v>8133</v>
      </c>
      <c r="Q2202" s="264"/>
      <c r="R2202" s="264"/>
      <c r="S2202" s="1" t="str">
        <f t="shared" si="1"/>
        <v/>
      </c>
      <c r="T2202" s="512" t="e">
        <f>_xlfn.XLOOKUP(H2202,#REF!,#REF!,0,0)</f>
        <v>#REF!</v>
      </c>
    </row>
    <row r="2203" spans="1:20" s="299" customFormat="1" x14ac:dyDescent="0.4">
      <c r="A2203" s="10" t="s">
        <v>8134</v>
      </c>
      <c r="B2203" s="10" t="s">
        <v>8135</v>
      </c>
      <c r="C2203" s="19" t="s">
        <v>433</v>
      </c>
      <c r="D2203" s="10" t="s">
        <v>8086</v>
      </c>
      <c r="E2203" s="10" t="s">
        <v>10</v>
      </c>
      <c r="F2203" s="10" t="s">
        <v>5179</v>
      </c>
      <c r="G2203" s="18">
        <v>45107</v>
      </c>
      <c r="H2203" s="10" t="s">
        <v>8136</v>
      </c>
      <c r="I2203" s="134">
        <v>73472</v>
      </c>
      <c r="J2203" s="10" t="s">
        <v>8137</v>
      </c>
      <c r="K2203" s="18" t="s">
        <v>8138</v>
      </c>
      <c r="L2203" s="10" t="s">
        <v>364</v>
      </c>
      <c r="M2203" s="10" t="s">
        <v>364</v>
      </c>
      <c r="N2203" s="10" t="s">
        <v>364</v>
      </c>
      <c r="O2203" s="10" t="s">
        <v>364</v>
      </c>
      <c r="P2203" s="477" t="s">
        <v>8139</v>
      </c>
      <c r="Q2203" s="134"/>
      <c r="R2203" s="134"/>
      <c r="S2203" s="1">
        <f t="shared" si="1"/>
        <v>1</v>
      </c>
      <c r="T2203" s="512" t="e">
        <f>_xlfn.XLOOKUP(H2203,#REF!,#REF!,0,0)</f>
        <v>#REF!</v>
      </c>
    </row>
    <row r="2204" spans="1:20" s="507" customFormat="1" ht="18" customHeight="1" x14ac:dyDescent="0.4">
      <c r="A2204" s="24" t="s">
        <v>8140</v>
      </c>
      <c r="B2204" s="24" t="s">
        <v>8141</v>
      </c>
      <c r="C2204" s="24"/>
      <c r="D2204" s="24" t="s">
        <v>8127</v>
      </c>
      <c r="E2204" s="25" t="s">
        <v>3785</v>
      </c>
      <c r="F2204" s="24" t="s">
        <v>3072</v>
      </c>
      <c r="G2204" s="25">
        <v>45103</v>
      </c>
      <c r="H2204" s="25" t="s">
        <v>8142</v>
      </c>
      <c r="I2204" s="264">
        <v>71767</v>
      </c>
      <c r="J2204" s="24" t="s">
        <v>8143</v>
      </c>
      <c r="K2204" s="25">
        <v>45231</v>
      </c>
      <c r="L2204" s="24" t="s">
        <v>364</v>
      </c>
      <c r="M2204" s="24" t="s">
        <v>364</v>
      </c>
      <c r="N2204" s="24" t="s">
        <v>364</v>
      </c>
      <c r="O2204" s="24" t="s">
        <v>364</v>
      </c>
      <c r="P2204" s="468" t="s">
        <v>8144</v>
      </c>
      <c r="Q2204" s="264"/>
      <c r="R2204" s="264"/>
      <c r="S2204" s="1">
        <f t="shared" si="1"/>
        <v>1</v>
      </c>
      <c r="T2204" s="512" t="e">
        <f>_xlfn.XLOOKUP(H2204,#REF!,#REF!,0,0)</f>
        <v>#REF!</v>
      </c>
    </row>
    <row r="2205" spans="1:20" s="507" customFormat="1" ht="18" customHeight="1" x14ac:dyDescent="0.4">
      <c r="A2205" s="24" t="s">
        <v>8145</v>
      </c>
      <c r="B2205" s="24" t="s">
        <v>8146</v>
      </c>
      <c r="C2205" s="24"/>
      <c r="D2205" s="24" t="s">
        <v>8086</v>
      </c>
      <c r="E2205" s="24" t="s">
        <v>10</v>
      </c>
      <c r="F2205" s="24" t="s">
        <v>5179</v>
      </c>
      <c r="G2205" s="25">
        <v>45107</v>
      </c>
      <c r="H2205" s="24" t="s">
        <v>8147</v>
      </c>
      <c r="I2205" s="264">
        <v>73471</v>
      </c>
      <c r="J2205" s="24" t="s">
        <v>8148</v>
      </c>
      <c r="K2205" s="25"/>
      <c r="L2205" s="24" t="s">
        <v>364</v>
      </c>
      <c r="M2205" s="24" t="s">
        <v>364</v>
      </c>
      <c r="N2205" s="24" t="s">
        <v>364</v>
      </c>
      <c r="O2205" s="24" t="s">
        <v>364</v>
      </c>
      <c r="P2205" s="468" t="s">
        <v>8149</v>
      </c>
      <c r="Q2205" s="264"/>
      <c r="R2205" s="264"/>
      <c r="S2205" s="1">
        <f t="shared" si="1"/>
        <v>1</v>
      </c>
      <c r="T2205" s="512" t="e">
        <f>_xlfn.XLOOKUP(H2205,#REF!,#REF!,0,0)</f>
        <v>#REF!</v>
      </c>
    </row>
    <row r="2206" spans="1:20" s="299" customFormat="1" x14ac:dyDescent="0.4">
      <c r="A2206" s="10" t="s">
        <v>8150</v>
      </c>
      <c r="B2206" s="10" t="s">
        <v>8151</v>
      </c>
      <c r="C2206" s="19" t="s">
        <v>433</v>
      </c>
      <c r="D2206" s="10" t="s">
        <v>8086</v>
      </c>
      <c r="E2206" s="10" t="s">
        <v>3785</v>
      </c>
      <c r="F2206" s="10" t="s">
        <v>3072</v>
      </c>
      <c r="G2206" s="18">
        <v>45103</v>
      </c>
      <c r="H2206" s="10" t="s">
        <v>8152</v>
      </c>
      <c r="I2206" s="134">
        <v>71769</v>
      </c>
      <c r="J2206" s="10" t="s">
        <v>8153</v>
      </c>
      <c r="K2206" s="18">
        <v>45226</v>
      </c>
      <c r="L2206" s="10" t="s">
        <v>364</v>
      </c>
      <c r="M2206" s="10" t="s">
        <v>364</v>
      </c>
      <c r="N2206" s="10" t="s">
        <v>364</v>
      </c>
      <c r="O2206" s="10" t="s">
        <v>364</v>
      </c>
      <c r="P2206" s="477" t="s">
        <v>8154</v>
      </c>
      <c r="Q2206" s="134"/>
      <c r="R2206" s="134"/>
      <c r="S2206" s="1">
        <f t="shared" si="1"/>
        <v>1</v>
      </c>
      <c r="T2206" s="512" t="e">
        <f>_xlfn.XLOOKUP(H2206,#REF!,#REF!,0,0)</f>
        <v>#REF!</v>
      </c>
    </row>
    <row r="2207" spans="1:20" s="299" customFormat="1" x14ac:dyDescent="0.4">
      <c r="A2207" s="10" t="s">
        <v>8155</v>
      </c>
      <c r="B2207" s="10" t="s">
        <v>8156</v>
      </c>
      <c r="C2207" s="19" t="s">
        <v>433</v>
      </c>
      <c r="D2207" s="10" t="s">
        <v>8086</v>
      </c>
      <c r="E2207" s="10" t="s">
        <v>3785</v>
      </c>
      <c r="F2207" s="10" t="s">
        <v>3072</v>
      </c>
      <c r="G2207" s="18">
        <v>45103</v>
      </c>
      <c r="H2207" s="10" t="s">
        <v>8157</v>
      </c>
      <c r="I2207" s="134">
        <v>71770</v>
      </c>
      <c r="J2207" s="10" t="s">
        <v>8158</v>
      </c>
      <c r="K2207" s="18">
        <v>45226</v>
      </c>
      <c r="L2207" s="10" t="s">
        <v>364</v>
      </c>
      <c r="M2207" s="10" t="s">
        <v>364</v>
      </c>
      <c r="N2207" s="10" t="s">
        <v>364</v>
      </c>
      <c r="O2207" s="10" t="s">
        <v>364</v>
      </c>
      <c r="P2207" s="477" t="s">
        <v>8159</v>
      </c>
      <c r="Q2207" s="134"/>
      <c r="R2207" s="134"/>
      <c r="S2207" s="1">
        <f t="shared" si="1"/>
        <v>1</v>
      </c>
      <c r="T2207" s="512" t="e">
        <f>_xlfn.XLOOKUP(H2207,#REF!,#REF!,0,0)</f>
        <v>#REF!</v>
      </c>
    </row>
    <row r="2208" spans="1:20" s="507" customFormat="1" ht="18" customHeight="1" x14ac:dyDescent="0.4">
      <c r="A2208" s="264" t="s">
        <v>8160</v>
      </c>
      <c r="B2208" s="264" t="s">
        <v>8161</v>
      </c>
      <c r="C2208" s="264"/>
      <c r="D2208" s="264" t="s">
        <v>693</v>
      </c>
      <c r="E2208" s="264" t="s">
        <v>10</v>
      </c>
      <c r="F2208" s="264" t="s">
        <v>5179</v>
      </c>
      <c r="G2208" s="25">
        <v>45107</v>
      </c>
      <c r="H2208" s="264" t="s">
        <v>8162</v>
      </c>
      <c r="I2208" s="264">
        <v>73489</v>
      </c>
      <c r="J2208" s="264" t="s">
        <v>8163</v>
      </c>
      <c r="K2208" s="25">
        <v>45232</v>
      </c>
      <c r="L2208" s="264" t="s">
        <v>364</v>
      </c>
      <c r="M2208" s="264" t="s">
        <v>364</v>
      </c>
      <c r="N2208" s="264" t="s">
        <v>364</v>
      </c>
      <c r="O2208" s="264" t="s">
        <v>364</v>
      </c>
      <c r="P2208" s="472"/>
      <c r="Q2208" s="264"/>
      <c r="R2208" s="264"/>
      <c r="S2208" s="1">
        <f t="shared" si="1"/>
        <v>1</v>
      </c>
      <c r="T2208" s="512" t="e">
        <f>_xlfn.XLOOKUP(H2208,#REF!,#REF!,0,0)</f>
        <v>#REF!</v>
      </c>
    </row>
    <row r="2209" spans="1:20" s="507" customFormat="1" ht="18" customHeight="1" x14ac:dyDescent="0.4">
      <c r="A2209" s="264" t="s">
        <v>8164</v>
      </c>
      <c r="B2209" s="264" t="s">
        <v>8165</v>
      </c>
      <c r="C2209" s="264"/>
      <c r="D2209" s="264" t="s">
        <v>693</v>
      </c>
      <c r="E2209" s="264" t="s">
        <v>10</v>
      </c>
      <c r="F2209" s="264" t="s">
        <v>5179</v>
      </c>
      <c r="G2209" s="25">
        <v>45107</v>
      </c>
      <c r="H2209" s="264" t="s">
        <v>8166</v>
      </c>
      <c r="I2209" s="264">
        <v>73488</v>
      </c>
      <c r="J2209" s="264" t="s">
        <v>8167</v>
      </c>
      <c r="K2209" s="25">
        <v>45232</v>
      </c>
      <c r="L2209" s="264" t="s">
        <v>364</v>
      </c>
      <c r="M2209" s="264" t="s">
        <v>364</v>
      </c>
      <c r="N2209" s="264" t="s">
        <v>364</v>
      </c>
      <c r="O2209" s="264" t="s">
        <v>364</v>
      </c>
      <c r="P2209" s="472"/>
      <c r="Q2209" s="264"/>
      <c r="R2209" s="264"/>
      <c r="S2209" s="1">
        <f t="shared" si="1"/>
        <v>1</v>
      </c>
      <c r="T2209" s="512" t="e">
        <f>_xlfn.XLOOKUP(H2209,#REF!,#REF!,0,0)</f>
        <v>#REF!</v>
      </c>
    </row>
    <row r="2210" spans="1:20" s="507" customFormat="1" ht="18" customHeight="1" x14ac:dyDescent="0.4">
      <c r="A2210" s="264" t="s">
        <v>8168</v>
      </c>
      <c r="B2210" s="264" t="s">
        <v>7489</v>
      </c>
      <c r="C2210" s="264"/>
      <c r="D2210" s="264" t="s">
        <v>8127</v>
      </c>
      <c r="E2210" s="264" t="s">
        <v>3785</v>
      </c>
      <c r="F2210" s="264" t="s">
        <v>3072</v>
      </c>
      <c r="G2210" s="25">
        <v>45103</v>
      </c>
      <c r="H2210" s="264" t="s">
        <v>8169</v>
      </c>
      <c r="I2210" s="264">
        <v>71772</v>
      </c>
      <c r="J2210" s="264" t="s">
        <v>8170</v>
      </c>
      <c r="K2210" s="25">
        <v>45232</v>
      </c>
      <c r="L2210" s="264" t="s">
        <v>364</v>
      </c>
      <c r="M2210" s="264" t="s">
        <v>364</v>
      </c>
      <c r="N2210" s="264" t="s">
        <v>364</v>
      </c>
      <c r="O2210" s="264" t="s">
        <v>364</v>
      </c>
      <c r="P2210" s="472" t="s">
        <v>8171</v>
      </c>
      <c r="Q2210" s="264"/>
      <c r="R2210" s="264"/>
      <c r="S2210" s="1">
        <f t="shared" si="1"/>
        <v>1</v>
      </c>
      <c r="T2210" s="512" t="e">
        <f>_xlfn.XLOOKUP(H2210,#REF!,#REF!,0,0)</f>
        <v>#REF!</v>
      </c>
    </row>
    <row r="2211" spans="1:20" s="507" customFormat="1" ht="18" customHeight="1" x14ac:dyDescent="0.4">
      <c r="A2211" s="264" t="s">
        <v>8172</v>
      </c>
      <c r="B2211" s="264" t="s">
        <v>8173</v>
      </c>
      <c r="C2211" s="264"/>
      <c r="D2211" s="264" t="s">
        <v>8086</v>
      </c>
      <c r="E2211" s="264" t="s">
        <v>3785</v>
      </c>
      <c r="F2211" s="264" t="s">
        <v>3072</v>
      </c>
      <c r="G2211" s="25">
        <v>45103</v>
      </c>
      <c r="H2211" s="264" t="s">
        <v>8174</v>
      </c>
      <c r="I2211" s="264">
        <v>71771</v>
      </c>
      <c r="J2211" s="264" t="s">
        <v>8175</v>
      </c>
      <c r="K2211" s="25">
        <v>45232</v>
      </c>
      <c r="L2211" s="264" t="s">
        <v>364</v>
      </c>
      <c r="M2211" s="264" t="s">
        <v>364</v>
      </c>
      <c r="N2211" s="264" t="s">
        <v>364</v>
      </c>
      <c r="O2211" s="264" t="s">
        <v>364</v>
      </c>
      <c r="P2211" s="472" t="s">
        <v>5255</v>
      </c>
      <c r="Q2211" s="264"/>
      <c r="R2211" s="264"/>
      <c r="S2211" s="1">
        <f t="shared" si="1"/>
        <v>1</v>
      </c>
      <c r="T2211" s="512" t="e">
        <f>_xlfn.XLOOKUP(H2211,#REF!,#REF!,0,0)</f>
        <v>#REF!</v>
      </c>
    </row>
    <row r="2212" spans="1:20" s="507" customFormat="1" ht="18" customHeight="1" x14ac:dyDescent="0.4">
      <c r="A2212" s="24" t="s">
        <v>8176</v>
      </c>
      <c r="B2212" s="24" t="s">
        <v>8177</v>
      </c>
      <c r="C2212" s="24"/>
      <c r="D2212" s="24" t="s">
        <v>8086</v>
      </c>
      <c r="E2212" s="24" t="s">
        <v>3785</v>
      </c>
      <c r="F2212" s="24" t="s">
        <v>3072</v>
      </c>
      <c r="G2212" s="25">
        <v>45103</v>
      </c>
      <c r="H2212" s="24" t="s">
        <v>8178</v>
      </c>
      <c r="I2212" s="264">
        <v>71768</v>
      </c>
      <c r="J2212" s="24" t="s">
        <v>8179</v>
      </c>
      <c r="K2212" s="25">
        <v>45232</v>
      </c>
      <c r="L2212" s="24" t="s">
        <v>364</v>
      </c>
      <c r="M2212" s="24" t="s">
        <v>364</v>
      </c>
      <c r="N2212" s="24" t="s">
        <v>364</v>
      </c>
      <c r="O2212" s="24" t="s">
        <v>364</v>
      </c>
      <c r="P2212" s="468" t="s">
        <v>8180</v>
      </c>
      <c r="Q2212" s="264"/>
      <c r="R2212" s="264"/>
      <c r="S2212" s="1">
        <f t="shared" si="1"/>
        <v>1</v>
      </c>
      <c r="T2212" s="512" t="e">
        <f>_xlfn.XLOOKUP(H2212,#REF!,#REF!,0,0)</f>
        <v>#REF!</v>
      </c>
    </row>
    <row r="2213" spans="1:20" s="507" customFormat="1" ht="18" customHeight="1" x14ac:dyDescent="0.4">
      <c r="A2213" s="264" t="s">
        <v>8181</v>
      </c>
      <c r="B2213" s="264" t="s">
        <v>8182</v>
      </c>
      <c r="C2213" s="264"/>
      <c r="D2213" s="264" t="s">
        <v>8127</v>
      </c>
      <c r="E2213" s="264" t="s">
        <v>3785</v>
      </c>
      <c r="F2213" s="264" t="s">
        <v>3072</v>
      </c>
      <c r="G2213" s="25">
        <v>45103</v>
      </c>
      <c r="H2213" s="264" t="s">
        <v>8183</v>
      </c>
      <c r="I2213" s="264">
        <v>71773</v>
      </c>
      <c r="J2213" s="264" t="s">
        <v>8184</v>
      </c>
      <c r="K2213" s="25">
        <v>45232</v>
      </c>
      <c r="L2213" s="264" t="s">
        <v>364</v>
      </c>
      <c r="M2213" s="264" t="s">
        <v>364</v>
      </c>
      <c r="N2213" s="264" t="s">
        <v>364</v>
      </c>
      <c r="O2213" s="264" t="s">
        <v>364</v>
      </c>
      <c r="P2213" s="472" t="s">
        <v>8185</v>
      </c>
      <c r="Q2213" s="264"/>
      <c r="R2213" s="264"/>
      <c r="S2213" s="1">
        <f t="shared" si="1"/>
        <v>1</v>
      </c>
      <c r="T2213" s="512" t="e">
        <f>_xlfn.XLOOKUP(H2213,#REF!,#REF!,0,0)</f>
        <v>#REF!</v>
      </c>
    </row>
    <row r="2214" spans="1:20" s="507" customFormat="1" ht="18" customHeight="1" x14ac:dyDescent="0.4">
      <c r="A2214" s="24" t="s">
        <v>8186</v>
      </c>
      <c r="B2214" s="24" t="s">
        <v>8187</v>
      </c>
      <c r="C2214" s="24"/>
      <c r="D2214" s="24" t="s">
        <v>8086</v>
      </c>
      <c r="E2214" s="24" t="s">
        <v>10</v>
      </c>
      <c r="F2214" s="24" t="s">
        <v>5179</v>
      </c>
      <c r="G2214" s="25">
        <v>45107</v>
      </c>
      <c r="H2214" s="24" t="s">
        <v>8188</v>
      </c>
      <c r="I2214" s="264">
        <v>73477</v>
      </c>
      <c r="J2214" s="24" t="s">
        <v>8189</v>
      </c>
      <c r="K2214" s="25">
        <v>45232</v>
      </c>
      <c r="L2214" s="24" t="s">
        <v>364</v>
      </c>
      <c r="M2214" s="24" t="s">
        <v>364</v>
      </c>
      <c r="N2214" s="264" t="s">
        <v>364</v>
      </c>
      <c r="O2214" s="264" t="s">
        <v>364</v>
      </c>
      <c r="P2214" s="468" t="s">
        <v>8190</v>
      </c>
      <c r="Q2214" s="264"/>
      <c r="R2214" s="264"/>
      <c r="S2214" s="1">
        <f t="shared" si="1"/>
        <v>1</v>
      </c>
      <c r="T2214" s="512" t="e">
        <f>_xlfn.XLOOKUP(H2214,#REF!,#REF!,0,0)</f>
        <v>#REF!</v>
      </c>
    </row>
    <row r="2215" spans="1:20" s="507" customFormat="1" ht="18" customHeight="1" x14ac:dyDescent="0.4">
      <c r="A2215" s="24" t="s">
        <v>8191</v>
      </c>
      <c r="B2215" s="24" t="s">
        <v>8192</v>
      </c>
      <c r="C2215" s="24"/>
      <c r="D2215" s="24" t="s">
        <v>8086</v>
      </c>
      <c r="E2215" s="24" t="s">
        <v>10</v>
      </c>
      <c r="F2215" s="24" t="s">
        <v>5179</v>
      </c>
      <c r="G2215" s="25">
        <v>45107</v>
      </c>
      <c r="H2215" s="24" t="s">
        <v>8193</v>
      </c>
      <c r="I2215" s="264">
        <v>73479</v>
      </c>
      <c r="J2215" s="24" t="s">
        <v>8194</v>
      </c>
      <c r="K2215" s="25">
        <v>45232</v>
      </c>
      <c r="L2215" s="24" t="s">
        <v>364</v>
      </c>
      <c r="M2215" s="24" t="s">
        <v>364</v>
      </c>
      <c r="N2215" s="264" t="s">
        <v>364</v>
      </c>
      <c r="O2215" s="264" t="s">
        <v>364</v>
      </c>
      <c r="P2215" s="468" t="s">
        <v>8195</v>
      </c>
      <c r="Q2215" s="264"/>
      <c r="R2215" s="264"/>
      <c r="S2215" s="1">
        <f t="shared" si="1"/>
        <v>1</v>
      </c>
      <c r="T2215" s="512" t="e">
        <f>_xlfn.XLOOKUP(H2215,#REF!,#REF!,0,0)</f>
        <v>#REF!</v>
      </c>
    </row>
    <row r="2216" spans="1:20" s="507" customFormat="1" ht="18" customHeight="1" x14ac:dyDescent="0.4">
      <c r="A2216" s="24" t="s">
        <v>8196</v>
      </c>
      <c r="B2216" s="24" t="s">
        <v>8197</v>
      </c>
      <c r="C2216" s="24"/>
      <c r="D2216" s="24" t="s">
        <v>8086</v>
      </c>
      <c r="E2216" s="24" t="s">
        <v>10</v>
      </c>
      <c r="F2216" s="24" t="s">
        <v>5179</v>
      </c>
      <c r="G2216" s="25">
        <v>45107</v>
      </c>
      <c r="H2216" s="24" t="s">
        <v>8198</v>
      </c>
      <c r="I2216" s="264">
        <v>73480</v>
      </c>
      <c r="J2216" s="24" t="s">
        <v>8199</v>
      </c>
      <c r="K2216" s="25">
        <v>45232</v>
      </c>
      <c r="L2216" s="24" t="s">
        <v>364</v>
      </c>
      <c r="M2216" s="24" t="s">
        <v>364</v>
      </c>
      <c r="N2216" s="24" t="s">
        <v>364</v>
      </c>
      <c r="O2216" s="24" t="s">
        <v>364</v>
      </c>
      <c r="P2216" s="468" t="s">
        <v>8200</v>
      </c>
      <c r="Q2216" s="264"/>
      <c r="R2216" s="264"/>
      <c r="S2216" s="1">
        <f t="shared" si="1"/>
        <v>1</v>
      </c>
      <c r="T2216" s="512" t="e">
        <f>_xlfn.XLOOKUP(H2216,#REF!,#REF!,0,0)</f>
        <v>#REF!</v>
      </c>
    </row>
    <row r="2217" spans="1:20" s="507" customFormat="1" ht="18" customHeight="1" x14ac:dyDescent="0.4">
      <c r="A2217" s="264" t="s">
        <v>8201</v>
      </c>
      <c r="B2217" s="264" t="s">
        <v>8202</v>
      </c>
      <c r="C2217" s="264"/>
      <c r="D2217" s="24" t="s">
        <v>8086</v>
      </c>
      <c r="E2217" s="264" t="s">
        <v>10</v>
      </c>
      <c r="F2217" s="264" t="s">
        <v>5179</v>
      </c>
      <c r="G2217" s="25">
        <v>45107</v>
      </c>
      <c r="H2217" s="264" t="s">
        <v>8203</v>
      </c>
      <c r="I2217" s="264">
        <v>73481</v>
      </c>
      <c r="J2217" s="264" t="s">
        <v>8204</v>
      </c>
      <c r="K2217" s="25">
        <v>45232</v>
      </c>
      <c r="L2217" s="264" t="s">
        <v>364</v>
      </c>
      <c r="M2217" s="264" t="s">
        <v>364</v>
      </c>
      <c r="N2217" s="264" t="s">
        <v>364</v>
      </c>
      <c r="O2217" s="264" t="s">
        <v>364</v>
      </c>
      <c r="P2217" s="472" t="s">
        <v>8205</v>
      </c>
      <c r="Q2217" s="264"/>
      <c r="R2217" s="264"/>
      <c r="S2217" s="1">
        <f t="shared" si="1"/>
        <v>1</v>
      </c>
      <c r="T2217" s="512" t="e">
        <f>_xlfn.XLOOKUP(H2217,#REF!,#REF!,0,0)</f>
        <v>#REF!</v>
      </c>
    </row>
    <row r="2218" spans="1:20" s="507" customFormat="1" ht="18" customHeight="1" x14ac:dyDescent="0.4">
      <c r="A2218" s="24" t="s">
        <v>8206</v>
      </c>
      <c r="B2218" s="24" t="s">
        <v>8207</v>
      </c>
      <c r="C2218" s="24"/>
      <c r="D2218" s="24" t="s">
        <v>8127</v>
      </c>
      <c r="E2218" s="24" t="s">
        <v>10</v>
      </c>
      <c r="F2218" s="24" t="s">
        <v>5179</v>
      </c>
      <c r="G2218" s="25">
        <v>45107</v>
      </c>
      <c r="H2218" s="24" t="s">
        <v>8208</v>
      </c>
      <c r="I2218" s="264">
        <v>73484</v>
      </c>
      <c r="J2218" s="24" t="s">
        <v>8209</v>
      </c>
      <c r="K2218" s="25">
        <v>45232</v>
      </c>
      <c r="L2218" s="24" t="s">
        <v>364</v>
      </c>
      <c r="M2218" s="24" t="s">
        <v>364</v>
      </c>
      <c r="N2218" s="24" t="s">
        <v>364</v>
      </c>
      <c r="O2218" s="24" t="s">
        <v>364</v>
      </c>
      <c r="P2218" s="468" t="s">
        <v>5995</v>
      </c>
      <c r="Q2218" s="264"/>
      <c r="R2218" s="264"/>
      <c r="S2218" s="1">
        <f t="shared" si="1"/>
        <v>1</v>
      </c>
      <c r="T2218" s="512" t="e">
        <f>_xlfn.XLOOKUP(H2218,#REF!,#REF!,0,0)</f>
        <v>#REF!</v>
      </c>
    </row>
    <row r="2219" spans="1:20" s="507" customFormat="1" ht="18" customHeight="1" x14ac:dyDescent="0.4">
      <c r="A2219" s="264" t="s">
        <v>8210</v>
      </c>
      <c r="B2219" s="264" t="s">
        <v>8211</v>
      </c>
      <c r="C2219" s="264"/>
      <c r="D2219" s="24" t="s">
        <v>8127</v>
      </c>
      <c r="E2219" s="264" t="s">
        <v>10</v>
      </c>
      <c r="F2219" s="264" t="s">
        <v>5179</v>
      </c>
      <c r="G2219" s="25">
        <v>45107</v>
      </c>
      <c r="H2219" s="264" t="s">
        <v>8212</v>
      </c>
      <c r="I2219" s="264">
        <v>73486</v>
      </c>
      <c r="J2219" s="264" t="s">
        <v>8213</v>
      </c>
      <c r="K2219" s="25">
        <v>45232</v>
      </c>
      <c r="L2219" s="264" t="s">
        <v>364</v>
      </c>
      <c r="M2219" s="264" t="s">
        <v>364</v>
      </c>
      <c r="N2219" s="264" t="s">
        <v>364</v>
      </c>
      <c r="O2219" s="264" t="s">
        <v>364</v>
      </c>
      <c r="P2219" s="472"/>
      <c r="Q2219" s="264"/>
      <c r="R2219" s="264"/>
      <c r="S2219" s="1">
        <f t="shared" si="1"/>
        <v>1</v>
      </c>
      <c r="T2219" s="512" t="e">
        <f>_xlfn.XLOOKUP(H2219,#REF!,#REF!,0,0)</f>
        <v>#REF!</v>
      </c>
    </row>
    <row r="2220" spans="1:20" s="299" customFormat="1" x14ac:dyDescent="0.4">
      <c r="A2220" s="10" t="s">
        <v>8214</v>
      </c>
      <c r="B2220" s="10" t="s">
        <v>681</v>
      </c>
      <c r="C2220" s="19" t="s">
        <v>433</v>
      </c>
      <c r="D2220" s="10" t="s">
        <v>693</v>
      </c>
      <c r="E2220" s="10" t="s">
        <v>10</v>
      </c>
      <c r="F2220" s="10" t="s">
        <v>6484</v>
      </c>
      <c r="G2220" s="10"/>
      <c r="H2220" s="10" t="s">
        <v>8215</v>
      </c>
      <c r="I2220" s="134">
        <v>73273</v>
      </c>
      <c r="J2220" s="10" t="s">
        <v>8216</v>
      </c>
      <c r="K2220" s="10"/>
      <c r="L2220" s="10" t="s">
        <v>364</v>
      </c>
      <c r="M2220" s="10" t="s">
        <v>364</v>
      </c>
      <c r="N2220" s="10" t="s">
        <v>364</v>
      </c>
      <c r="O2220" s="10" t="s">
        <v>364</v>
      </c>
      <c r="P2220" s="477"/>
      <c r="Q2220" s="134"/>
      <c r="R2220" s="134"/>
      <c r="S2220" s="1">
        <f t="shared" si="1"/>
        <v>1</v>
      </c>
      <c r="T2220" s="512" t="e">
        <f>_xlfn.XLOOKUP(H2220,#REF!,#REF!,0,0)</f>
        <v>#REF!</v>
      </c>
    </row>
    <row r="2221" spans="1:20" s="299" customFormat="1" x14ac:dyDescent="0.4">
      <c r="A2221" s="10" t="s">
        <v>8217</v>
      </c>
      <c r="B2221" s="10" t="s">
        <v>681</v>
      </c>
      <c r="C2221" s="19" t="s">
        <v>433</v>
      </c>
      <c r="D2221" s="10" t="s">
        <v>693</v>
      </c>
      <c r="E2221" s="10" t="s">
        <v>10</v>
      </c>
      <c r="F2221" s="10" t="s">
        <v>6484</v>
      </c>
      <c r="G2221" s="10"/>
      <c r="H2221" s="10" t="s">
        <v>8218</v>
      </c>
      <c r="I2221" s="134">
        <v>73274</v>
      </c>
      <c r="J2221" s="10" t="s">
        <v>8219</v>
      </c>
      <c r="K2221" s="10"/>
      <c r="L2221" s="10" t="s">
        <v>364</v>
      </c>
      <c r="M2221" s="10" t="s">
        <v>364</v>
      </c>
      <c r="N2221" s="10" t="s">
        <v>364</v>
      </c>
      <c r="O2221" s="10" t="s">
        <v>364</v>
      </c>
      <c r="P2221" s="477"/>
      <c r="Q2221" s="134"/>
      <c r="R2221" s="134"/>
      <c r="S2221" s="1">
        <f t="shared" si="1"/>
        <v>1</v>
      </c>
      <c r="T2221" s="512" t="e">
        <f>_xlfn.XLOOKUP(H2221,#REF!,#REF!,0,0)</f>
        <v>#REF!</v>
      </c>
    </row>
    <row r="2222" spans="1:20" s="295" customFormat="1" ht="18" customHeight="1" x14ac:dyDescent="0.4">
      <c r="A2222" s="3" t="s">
        <v>8220</v>
      </c>
      <c r="B2222" s="3" t="s">
        <v>8221</v>
      </c>
      <c r="C2222" s="3"/>
      <c r="D2222" s="3" t="s">
        <v>8127</v>
      </c>
      <c r="E2222" s="3" t="s">
        <v>10</v>
      </c>
      <c r="F2222" s="3">
        <v>840</v>
      </c>
      <c r="G2222" s="3"/>
      <c r="H2222" s="3" t="s">
        <v>5344</v>
      </c>
      <c r="I2222" s="3">
        <v>70723</v>
      </c>
      <c r="J2222" s="3"/>
      <c r="K2222" s="280">
        <v>45236</v>
      </c>
      <c r="L2222" s="3" t="s">
        <v>364</v>
      </c>
      <c r="M2222" s="3" t="s">
        <v>364</v>
      </c>
      <c r="N2222" s="3" t="s">
        <v>364</v>
      </c>
      <c r="O2222" s="3" t="s">
        <v>364</v>
      </c>
      <c r="P2222" s="482" t="s">
        <v>8222</v>
      </c>
      <c r="Q2222" s="3"/>
      <c r="R2222" s="3"/>
      <c r="S2222" s="1">
        <f t="shared" si="1"/>
        <v>1</v>
      </c>
      <c r="T2222" s="512" t="e">
        <f>_xlfn.XLOOKUP(H2222,#REF!,#REF!,0,0)</f>
        <v>#REF!</v>
      </c>
    </row>
    <row r="2223" spans="1:20" s="507" customFormat="1" ht="18" customHeight="1" x14ac:dyDescent="0.4">
      <c r="A2223" s="264" t="s">
        <v>8223</v>
      </c>
      <c r="B2223" s="264" t="s">
        <v>8224</v>
      </c>
      <c r="C2223" s="264"/>
      <c r="D2223" s="264" t="s">
        <v>8127</v>
      </c>
      <c r="E2223" s="264" t="s">
        <v>10</v>
      </c>
      <c r="F2223" s="264" t="s">
        <v>5179</v>
      </c>
      <c r="G2223" s="25">
        <v>45107</v>
      </c>
      <c r="H2223" s="264" t="s">
        <v>8225</v>
      </c>
      <c r="I2223" s="264">
        <v>73490</v>
      </c>
      <c r="J2223" s="264" t="s">
        <v>8226</v>
      </c>
      <c r="K2223" s="25">
        <v>45236</v>
      </c>
      <c r="L2223" s="264" t="s">
        <v>364</v>
      </c>
      <c r="M2223" s="264" t="s">
        <v>364</v>
      </c>
      <c r="N2223" s="264" t="s">
        <v>364</v>
      </c>
      <c r="O2223" s="264" t="s">
        <v>364</v>
      </c>
      <c r="P2223" s="472" t="s">
        <v>8227</v>
      </c>
      <c r="Q2223" s="264"/>
      <c r="R2223" s="264"/>
      <c r="S2223" s="1">
        <f t="shared" si="1"/>
        <v>1</v>
      </c>
      <c r="T2223" s="512" t="e">
        <f>_xlfn.XLOOKUP(H2223,#REF!,#REF!,0,0)</f>
        <v>#REF!</v>
      </c>
    </row>
    <row r="2224" spans="1:20" s="507" customFormat="1" ht="18" customHeight="1" x14ac:dyDescent="0.4">
      <c r="A2224" s="264" t="s">
        <v>8228</v>
      </c>
      <c r="B2224" s="264" t="s">
        <v>8229</v>
      </c>
      <c r="C2224" s="264"/>
      <c r="D2224" s="264" t="s">
        <v>693</v>
      </c>
      <c r="E2224" s="264" t="s">
        <v>3785</v>
      </c>
      <c r="F2224" s="264" t="s">
        <v>3072</v>
      </c>
      <c r="G2224" s="25">
        <v>45103</v>
      </c>
      <c r="H2224" s="264" t="s">
        <v>8230</v>
      </c>
      <c r="I2224" s="264">
        <v>71774</v>
      </c>
      <c r="J2224" s="264" t="s">
        <v>8231</v>
      </c>
      <c r="K2224" s="25">
        <v>45236</v>
      </c>
      <c r="L2224" s="264" t="s">
        <v>364</v>
      </c>
      <c r="M2224" s="264" t="s">
        <v>364</v>
      </c>
      <c r="N2224" s="264" t="s">
        <v>364</v>
      </c>
      <c r="O2224" s="264" t="s">
        <v>364</v>
      </c>
      <c r="P2224" s="472" t="s">
        <v>6278</v>
      </c>
      <c r="Q2224" s="264"/>
      <c r="R2224" s="264"/>
      <c r="S2224" s="1">
        <f t="shared" si="1"/>
        <v>1</v>
      </c>
      <c r="T2224" s="512" t="e">
        <f>_xlfn.XLOOKUP(H2224,#REF!,#REF!,0,0)</f>
        <v>#REF!</v>
      </c>
    </row>
    <row r="2225" spans="1:20" s="507" customFormat="1" ht="18" customHeight="1" x14ac:dyDescent="0.4">
      <c r="A2225" s="264" t="s">
        <v>8232</v>
      </c>
      <c r="B2225" s="24" t="s">
        <v>8233</v>
      </c>
      <c r="C2225" s="24"/>
      <c r="D2225" s="24" t="s">
        <v>8008</v>
      </c>
      <c r="E2225" s="24" t="s">
        <v>10</v>
      </c>
      <c r="F2225" s="24" t="s">
        <v>5179</v>
      </c>
      <c r="G2225" s="25">
        <v>45107</v>
      </c>
      <c r="H2225" s="24" t="s">
        <v>8234</v>
      </c>
      <c r="I2225" s="264">
        <v>73485</v>
      </c>
      <c r="J2225" s="24" t="s">
        <v>8235</v>
      </c>
      <c r="K2225" s="25">
        <v>45232</v>
      </c>
      <c r="L2225" s="24" t="s">
        <v>364</v>
      </c>
      <c r="M2225" s="24" t="s">
        <v>364</v>
      </c>
      <c r="N2225" s="24" t="s">
        <v>364</v>
      </c>
      <c r="O2225" s="24" t="s">
        <v>364</v>
      </c>
      <c r="P2225" s="468" t="s">
        <v>5995</v>
      </c>
      <c r="Q2225" s="264"/>
      <c r="R2225" s="264"/>
      <c r="S2225" s="1">
        <f t="shared" si="1"/>
        <v>1</v>
      </c>
      <c r="T2225" s="512" t="e">
        <f>_xlfn.XLOOKUP(H2225,#REF!,#REF!,0,0)</f>
        <v>#REF!</v>
      </c>
    </row>
    <row r="2226" spans="1:20" s="507" customFormat="1" ht="18" customHeight="1" x14ac:dyDescent="0.4">
      <c r="A2226" s="264" t="s">
        <v>8236</v>
      </c>
      <c r="B2226" s="264" t="s">
        <v>8237</v>
      </c>
      <c r="C2226" s="264"/>
      <c r="D2226" s="264" t="s">
        <v>693</v>
      </c>
      <c r="E2226" s="264" t="s">
        <v>10</v>
      </c>
      <c r="F2226" s="264" t="s">
        <v>5179</v>
      </c>
      <c r="G2226" s="25">
        <v>45107</v>
      </c>
      <c r="H2226" s="264" t="s">
        <v>8238</v>
      </c>
      <c r="I2226" s="264">
        <v>73482</v>
      </c>
      <c r="J2226" s="264" t="s">
        <v>8239</v>
      </c>
      <c r="K2226" s="25">
        <v>45232</v>
      </c>
      <c r="L2226" s="264" t="s">
        <v>364</v>
      </c>
      <c r="M2226" s="264" t="s">
        <v>364</v>
      </c>
      <c r="N2226" s="264" t="s">
        <v>364</v>
      </c>
      <c r="O2226" s="264" t="s">
        <v>364</v>
      </c>
      <c r="P2226" s="472"/>
      <c r="Q2226" s="264"/>
      <c r="R2226" s="264"/>
      <c r="S2226" s="1">
        <f t="shared" si="1"/>
        <v>1</v>
      </c>
      <c r="T2226" s="512" t="e">
        <f>_xlfn.XLOOKUP(H2226,#REF!,#REF!,0,0)</f>
        <v>#REF!</v>
      </c>
    </row>
    <row r="2227" spans="1:20" s="299" customFormat="1" x14ac:dyDescent="0.4">
      <c r="A2227" s="10" t="s">
        <v>8240</v>
      </c>
      <c r="B2227" s="10" t="s">
        <v>8241</v>
      </c>
      <c r="C2227" s="19" t="s">
        <v>433</v>
      </c>
      <c r="D2227" s="10" t="s">
        <v>693</v>
      </c>
      <c r="E2227" s="10" t="s">
        <v>10</v>
      </c>
      <c r="F2227" s="10" t="s">
        <v>6484</v>
      </c>
      <c r="G2227" s="10"/>
      <c r="H2227" s="10" t="s">
        <v>175</v>
      </c>
      <c r="I2227" s="134">
        <v>69206</v>
      </c>
      <c r="J2227" s="10" t="s">
        <v>8242</v>
      </c>
      <c r="K2227" s="10"/>
      <c r="L2227" s="10" t="s">
        <v>364</v>
      </c>
      <c r="M2227" s="10" t="s">
        <v>364</v>
      </c>
      <c r="N2227" s="10" t="s">
        <v>364</v>
      </c>
      <c r="O2227" s="10" t="s">
        <v>364</v>
      </c>
      <c r="P2227" s="477"/>
      <c r="Q2227" s="134"/>
      <c r="R2227" s="134"/>
      <c r="S2227" s="1">
        <f t="shared" si="1"/>
        <v>1</v>
      </c>
      <c r="T2227" s="512" t="e">
        <f>_xlfn.XLOOKUP(H2227,#REF!,#REF!,0,0)</f>
        <v>#REF!</v>
      </c>
    </row>
    <row r="2228" spans="1:20" s="295" customFormat="1" ht="18" customHeight="1" x14ac:dyDescent="0.4">
      <c r="A2228" s="3" t="s">
        <v>8243</v>
      </c>
      <c r="B2228" s="3" t="s">
        <v>8244</v>
      </c>
      <c r="C2228" s="3"/>
      <c r="D2228" s="3" t="s">
        <v>1097</v>
      </c>
      <c r="E2228" s="3" t="s">
        <v>10</v>
      </c>
      <c r="F2228" s="3">
        <v>840</v>
      </c>
      <c r="G2228" s="3"/>
      <c r="H2228" s="3" t="s">
        <v>7421</v>
      </c>
      <c r="I2228" s="3">
        <v>72441</v>
      </c>
      <c r="J2228" s="3"/>
      <c r="K2228" s="280">
        <v>45237</v>
      </c>
      <c r="L2228" s="3" t="s">
        <v>364</v>
      </c>
      <c r="M2228" s="3" t="s">
        <v>364</v>
      </c>
      <c r="N2228" s="3" t="s">
        <v>364</v>
      </c>
      <c r="O2228" s="3" t="s">
        <v>364</v>
      </c>
      <c r="P2228" s="482"/>
      <c r="Q2228" s="3"/>
      <c r="R2228" s="3"/>
      <c r="S2228" s="1">
        <f t="shared" si="1"/>
        <v>1</v>
      </c>
      <c r="T2228" s="512" t="e">
        <f>_xlfn.XLOOKUP(H2228,#REF!,#REF!,0,0)</f>
        <v>#REF!</v>
      </c>
    </row>
    <row r="2229" spans="1:20" s="299" customFormat="1" x14ac:dyDescent="0.4">
      <c r="A2229" s="18" t="s">
        <v>8245</v>
      </c>
      <c r="B2229" s="18" t="s">
        <v>8246</v>
      </c>
      <c r="C2229" s="19" t="s">
        <v>433</v>
      </c>
      <c r="D2229" s="18" t="s">
        <v>8127</v>
      </c>
      <c r="E2229" s="18" t="s">
        <v>10</v>
      </c>
      <c r="F2229" s="18" t="s">
        <v>5179</v>
      </c>
      <c r="G2229" s="18">
        <v>45107</v>
      </c>
      <c r="H2229" s="18" t="s">
        <v>8247</v>
      </c>
      <c r="I2229" s="134">
        <v>73483</v>
      </c>
      <c r="J2229" s="18" t="s">
        <v>8248</v>
      </c>
      <c r="K2229" s="18" t="s">
        <v>8249</v>
      </c>
      <c r="L2229" s="18" t="s">
        <v>364</v>
      </c>
      <c r="M2229" s="18" t="s">
        <v>364</v>
      </c>
      <c r="N2229" s="18" t="s">
        <v>364</v>
      </c>
      <c r="O2229" s="18" t="s">
        <v>364</v>
      </c>
      <c r="P2229" s="466"/>
      <c r="Q2229" s="134"/>
      <c r="R2229" s="134"/>
      <c r="S2229" s="1">
        <f t="shared" si="1"/>
        <v>1</v>
      </c>
      <c r="T2229" s="512" t="e">
        <f>_xlfn.XLOOKUP(H2229,#REF!,#REF!,0,0)</f>
        <v>#REF!</v>
      </c>
    </row>
    <row r="2230" spans="1:20" s="299" customFormat="1" x14ac:dyDescent="0.4">
      <c r="A2230" s="18" t="s">
        <v>8250</v>
      </c>
      <c r="B2230" s="18" t="s">
        <v>8251</v>
      </c>
      <c r="C2230" s="19" t="s">
        <v>433</v>
      </c>
      <c r="D2230" s="18" t="s">
        <v>693</v>
      </c>
      <c r="E2230" s="18" t="s">
        <v>10</v>
      </c>
      <c r="F2230" s="18" t="s">
        <v>5179</v>
      </c>
      <c r="G2230" s="18">
        <v>45107</v>
      </c>
      <c r="H2230" s="18" t="s">
        <v>8252</v>
      </c>
      <c r="I2230" s="134">
        <v>73491</v>
      </c>
      <c r="J2230" s="18" t="s">
        <v>8226</v>
      </c>
      <c r="K2230" s="18" t="s">
        <v>8253</v>
      </c>
      <c r="L2230" s="18" t="s">
        <v>364</v>
      </c>
      <c r="M2230" s="18" t="s">
        <v>364</v>
      </c>
      <c r="N2230" s="18" t="s">
        <v>364</v>
      </c>
      <c r="O2230" s="18" t="s">
        <v>364</v>
      </c>
      <c r="P2230" s="466" t="s">
        <v>8254</v>
      </c>
      <c r="Q2230" s="134"/>
      <c r="R2230" s="134"/>
      <c r="S2230" s="1">
        <f t="shared" si="1"/>
        <v>1</v>
      </c>
      <c r="T2230" s="512" t="e">
        <f>_xlfn.XLOOKUP(H2230,#REF!,#REF!,0,0)</f>
        <v>#REF!</v>
      </c>
    </row>
    <row r="2231" spans="1:20" s="299" customFormat="1" x14ac:dyDescent="0.4">
      <c r="A2231" s="18" t="s">
        <v>8255</v>
      </c>
      <c r="B2231" s="18" t="s">
        <v>8256</v>
      </c>
      <c r="C2231" s="19" t="s">
        <v>433</v>
      </c>
      <c r="D2231" s="18" t="s">
        <v>8127</v>
      </c>
      <c r="E2231" s="18" t="s">
        <v>10</v>
      </c>
      <c r="F2231" s="18" t="s">
        <v>5179</v>
      </c>
      <c r="G2231" s="18">
        <v>45107</v>
      </c>
      <c r="H2231" s="18" t="s">
        <v>8257</v>
      </c>
      <c r="I2231" s="18">
        <v>73492</v>
      </c>
      <c r="J2231" s="18" t="s">
        <v>8258</v>
      </c>
      <c r="K2231" s="18" t="s">
        <v>8259</v>
      </c>
      <c r="L2231" s="18" t="s">
        <v>364</v>
      </c>
      <c r="M2231" s="18" t="s">
        <v>364</v>
      </c>
      <c r="N2231" s="18" t="s">
        <v>364</v>
      </c>
      <c r="O2231" s="18" t="s">
        <v>364</v>
      </c>
      <c r="P2231" s="466"/>
      <c r="Q2231" s="134"/>
      <c r="R2231" s="134"/>
      <c r="S2231" s="1">
        <f t="shared" si="1"/>
        <v>1</v>
      </c>
      <c r="T2231" s="512" t="e">
        <f>_xlfn.XLOOKUP(H2231,#REF!,#REF!,0,0)</f>
        <v>#REF!</v>
      </c>
    </row>
    <row r="2232" spans="1:20" s="507" customFormat="1" ht="18" customHeight="1" x14ac:dyDescent="0.4">
      <c r="A2232" s="264" t="s">
        <v>8260</v>
      </c>
      <c r="B2232" s="264" t="s">
        <v>8261</v>
      </c>
      <c r="C2232" s="264"/>
      <c r="D2232" s="264" t="s">
        <v>693</v>
      </c>
      <c r="E2232" s="264" t="s">
        <v>3785</v>
      </c>
      <c r="F2232" s="264" t="s">
        <v>3072</v>
      </c>
      <c r="G2232" s="25">
        <v>45103</v>
      </c>
      <c r="H2232" s="264" t="s">
        <v>8262</v>
      </c>
      <c r="I2232" s="264">
        <v>71783</v>
      </c>
      <c r="J2232" s="264" t="s">
        <v>8263</v>
      </c>
      <c r="K2232" s="25">
        <v>45243</v>
      </c>
      <c r="L2232" s="264" t="s">
        <v>364</v>
      </c>
      <c r="M2232" s="264" t="s">
        <v>364</v>
      </c>
      <c r="N2232" s="264" t="s">
        <v>364</v>
      </c>
      <c r="O2232" s="264" t="s">
        <v>364</v>
      </c>
      <c r="P2232" s="472" t="s">
        <v>6278</v>
      </c>
      <c r="Q2232" s="264"/>
      <c r="R2232" s="264"/>
      <c r="S2232" s="1">
        <f t="shared" si="1"/>
        <v>1</v>
      </c>
      <c r="T2232" s="512" t="e">
        <f>_xlfn.XLOOKUP(H2232,#REF!,#REF!,0,0)</f>
        <v>#REF!</v>
      </c>
    </row>
    <row r="2233" spans="1:20" s="507" customFormat="1" ht="18" customHeight="1" x14ac:dyDescent="0.4">
      <c r="A2233" s="264" t="s">
        <v>8264</v>
      </c>
      <c r="B2233" s="264" t="s">
        <v>8265</v>
      </c>
      <c r="C2233" s="264"/>
      <c r="D2233" s="264" t="s">
        <v>693</v>
      </c>
      <c r="E2233" s="264" t="s">
        <v>3785</v>
      </c>
      <c r="F2233" s="264" t="s">
        <v>3072</v>
      </c>
      <c r="G2233" s="25">
        <v>45103</v>
      </c>
      <c r="H2233" s="264" t="s">
        <v>8266</v>
      </c>
      <c r="I2233" s="264">
        <v>71784</v>
      </c>
      <c r="J2233" s="264" t="s">
        <v>8267</v>
      </c>
      <c r="K2233" s="25">
        <v>45243</v>
      </c>
      <c r="L2233" s="264" t="s">
        <v>364</v>
      </c>
      <c r="M2233" s="264" t="s">
        <v>364</v>
      </c>
      <c r="N2233" s="264" t="s">
        <v>364</v>
      </c>
      <c r="O2233" s="264" t="s">
        <v>364</v>
      </c>
      <c r="P2233" s="472" t="s">
        <v>6278</v>
      </c>
      <c r="Q2233" s="264"/>
      <c r="R2233" s="264"/>
      <c r="S2233" s="1">
        <f t="shared" si="1"/>
        <v>1</v>
      </c>
      <c r="T2233" s="512" t="e">
        <f>_xlfn.XLOOKUP(H2233,#REF!,#REF!,0,0)</f>
        <v>#REF!</v>
      </c>
    </row>
    <row r="2234" spans="1:20" s="507" customFormat="1" ht="18" customHeight="1" x14ac:dyDescent="0.4">
      <c r="A2234" s="264" t="s">
        <v>8268</v>
      </c>
      <c r="B2234" s="264" t="s">
        <v>8269</v>
      </c>
      <c r="C2234" s="264"/>
      <c r="D2234" s="264" t="s">
        <v>693</v>
      </c>
      <c r="E2234" s="264" t="s">
        <v>3785</v>
      </c>
      <c r="F2234" s="264" t="s">
        <v>3072</v>
      </c>
      <c r="G2234" s="25">
        <v>45103</v>
      </c>
      <c r="H2234" s="264" t="s">
        <v>8270</v>
      </c>
      <c r="I2234" s="264">
        <v>71785</v>
      </c>
      <c r="J2234" s="264" t="s">
        <v>8271</v>
      </c>
      <c r="K2234" s="25">
        <v>45243</v>
      </c>
      <c r="L2234" s="264" t="s">
        <v>364</v>
      </c>
      <c r="M2234" s="264" t="s">
        <v>364</v>
      </c>
      <c r="N2234" s="264" t="s">
        <v>364</v>
      </c>
      <c r="O2234" s="264" t="s">
        <v>364</v>
      </c>
      <c r="P2234" s="472" t="s">
        <v>6278</v>
      </c>
      <c r="Q2234" s="264"/>
      <c r="R2234" s="264"/>
      <c r="S2234" s="1">
        <f t="shared" si="1"/>
        <v>1</v>
      </c>
      <c r="T2234" s="512" t="e">
        <f>_xlfn.XLOOKUP(H2234,#REF!,#REF!,0,0)</f>
        <v>#REF!</v>
      </c>
    </row>
    <row r="2235" spans="1:20" s="507" customFormat="1" ht="18" customHeight="1" x14ac:dyDescent="0.4">
      <c r="A2235" s="264" t="s">
        <v>8272</v>
      </c>
      <c r="B2235" s="264" t="s">
        <v>8273</v>
      </c>
      <c r="C2235" s="264"/>
      <c r="D2235" s="264" t="s">
        <v>693</v>
      </c>
      <c r="E2235" s="264" t="s">
        <v>3785</v>
      </c>
      <c r="F2235" s="264" t="s">
        <v>3072</v>
      </c>
      <c r="G2235" s="25">
        <v>45103</v>
      </c>
      <c r="H2235" s="264" t="s">
        <v>8274</v>
      </c>
      <c r="I2235" s="264">
        <v>71786</v>
      </c>
      <c r="J2235" s="264" t="s">
        <v>8275</v>
      </c>
      <c r="K2235" s="25">
        <v>45243</v>
      </c>
      <c r="L2235" s="264" t="s">
        <v>364</v>
      </c>
      <c r="M2235" s="264" t="s">
        <v>364</v>
      </c>
      <c r="N2235" s="264" t="s">
        <v>364</v>
      </c>
      <c r="O2235" s="264" t="s">
        <v>364</v>
      </c>
      <c r="P2235" s="472" t="s">
        <v>6278</v>
      </c>
      <c r="Q2235" s="264"/>
      <c r="R2235" s="264"/>
      <c r="S2235" s="1">
        <f t="shared" si="1"/>
        <v>1</v>
      </c>
      <c r="T2235" s="512" t="e">
        <f>_xlfn.XLOOKUP(H2235,#REF!,#REF!,0,0)</f>
        <v>#REF!</v>
      </c>
    </row>
    <row r="2236" spans="1:20" s="507" customFormat="1" ht="18" customHeight="1" x14ac:dyDescent="0.4">
      <c r="A2236" s="264" t="s">
        <v>8276</v>
      </c>
      <c r="B2236" s="264" t="s">
        <v>8277</v>
      </c>
      <c r="C2236" s="264"/>
      <c r="D2236" s="264" t="s">
        <v>693</v>
      </c>
      <c r="E2236" s="264" t="s">
        <v>3785</v>
      </c>
      <c r="F2236" s="264" t="s">
        <v>3072</v>
      </c>
      <c r="G2236" s="25">
        <v>45103</v>
      </c>
      <c r="H2236" s="264" t="s">
        <v>8278</v>
      </c>
      <c r="I2236" s="264">
        <v>71787</v>
      </c>
      <c r="J2236" s="264" t="s">
        <v>8279</v>
      </c>
      <c r="K2236" s="25">
        <v>45243</v>
      </c>
      <c r="L2236" s="264" t="s">
        <v>364</v>
      </c>
      <c r="M2236" s="264" t="s">
        <v>364</v>
      </c>
      <c r="N2236" s="264" t="s">
        <v>364</v>
      </c>
      <c r="O2236" s="264" t="s">
        <v>364</v>
      </c>
      <c r="P2236" s="472" t="s">
        <v>6278</v>
      </c>
      <c r="Q2236" s="264"/>
      <c r="R2236" s="264"/>
      <c r="S2236" s="1">
        <f t="shared" si="1"/>
        <v>1</v>
      </c>
      <c r="T2236" s="512" t="e">
        <f>_xlfn.XLOOKUP(H2236,#REF!,#REF!,0,0)</f>
        <v>#REF!</v>
      </c>
    </row>
    <row r="2237" spans="1:20" s="507" customFormat="1" ht="18" customHeight="1" x14ac:dyDescent="0.4">
      <c r="A2237" s="264" t="s">
        <v>8280</v>
      </c>
      <c r="B2237" s="264" t="s">
        <v>8281</v>
      </c>
      <c r="C2237" s="264"/>
      <c r="D2237" s="264" t="s">
        <v>693</v>
      </c>
      <c r="E2237" s="264" t="s">
        <v>3785</v>
      </c>
      <c r="F2237" s="264" t="s">
        <v>3072</v>
      </c>
      <c r="G2237" s="25">
        <v>45103</v>
      </c>
      <c r="H2237" s="264" t="s">
        <v>8282</v>
      </c>
      <c r="I2237" s="264">
        <v>71788</v>
      </c>
      <c r="J2237" s="264" t="s">
        <v>8283</v>
      </c>
      <c r="K2237" s="25">
        <v>45243</v>
      </c>
      <c r="L2237" s="264" t="s">
        <v>364</v>
      </c>
      <c r="M2237" s="264" t="s">
        <v>364</v>
      </c>
      <c r="N2237" s="264" t="s">
        <v>364</v>
      </c>
      <c r="O2237" s="264" t="s">
        <v>364</v>
      </c>
      <c r="P2237" s="472" t="s">
        <v>6278</v>
      </c>
      <c r="Q2237" s="264"/>
      <c r="R2237" s="264"/>
      <c r="S2237" s="1">
        <f t="shared" si="1"/>
        <v>1</v>
      </c>
      <c r="T2237" s="512" t="e">
        <f>_xlfn.XLOOKUP(H2237,#REF!,#REF!,0,0)</f>
        <v>#REF!</v>
      </c>
    </row>
    <row r="2238" spans="1:20" s="507" customFormat="1" ht="18" customHeight="1" x14ac:dyDescent="0.4">
      <c r="A2238" s="264" t="s">
        <v>8284</v>
      </c>
      <c r="B2238" s="264" t="s">
        <v>8285</v>
      </c>
      <c r="C2238" s="264"/>
      <c r="D2238" s="264" t="s">
        <v>693</v>
      </c>
      <c r="E2238" s="264" t="s">
        <v>3785</v>
      </c>
      <c r="F2238" s="264" t="s">
        <v>3072</v>
      </c>
      <c r="G2238" s="25">
        <v>45103</v>
      </c>
      <c r="H2238" s="264" t="s">
        <v>8286</v>
      </c>
      <c r="I2238" s="264">
        <v>71789</v>
      </c>
      <c r="J2238" s="264" t="s">
        <v>8287</v>
      </c>
      <c r="K2238" s="25">
        <v>45243</v>
      </c>
      <c r="L2238" s="264" t="s">
        <v>364</v>
      </c>
      <c r="M2238" s="264" t="s">
        <v>364</v>
      </c>
      <c r="N2238" s="264" t="s">
        <v>364</v>
      </c>
      <c r="O2238" s="264" t="s">
        <v>364</v>
      </c>
      <c r="P2238" s="472" t="s">
        <v>6278</v>
      </c>
      <c r="Q2238" s="264"/>
      <c r="R2238" s="264"/>
      <c r="S2238" s="1">
        <f t="shared" si="1"/>
        <v>1</v>
      </c>
      <c r="T2238" s="512" t="e">
        <f>_xlfn.XLOOKUP(H2238,#REF!,#REF!,0,0)</f>
        <v>#REF!</v>
      </c>
    </row>
    <row r="2239" spans="1:20" s="507" customFormat="1" ht="18" customHeight="1" x14ac:dyDescent="0.4">
      <c r="A2239" s="264" t="s">
        <v>8288</v>
      </c>
      <c r="B2239" s="264" t="s">
        <v>8289</v>
      </c>
      <c r="C2239" s="264"/>
      <c r="D2239" s="264" t="s">
        <v>8127</v>
      </c>
      <c r="E2239" s="264" t="s">
        <v>3785</v>
      </c>
      <c r="F2239" s="264" t="s">
        <v>3072</v>
      </c>
      <c r="G2239" s="25">
        <v>45103</v>
      </c>
      <c r="H2239" s="264" t="s">
        <v>8290</v>
      </c>
      <c r="I2239" s="264">
        <v>71775</v>
      </c>
      <c r="J2239" s="264" t="s">
        <v>8291</v>
      </c>
      <c r="K2239" s="25">
        <v>45243</v>
      </c>
      <c r="L2239" s="264" t="s">
        <v>364</v>
      </c>
      <c r="M2239" s="264" t="s">
        <v>364</v>
      </c>
      <c r="N2239" s="264" t="s">
        <v>364</v>
      </c>
      <c r="O2239" s="264" t="s">
        <v>364</v>
      </c>
      <c r="P2239" s="472" t="s">
        <v>6278</v>
      </c>
      <c r="Q2239" s="264"/>
      <c r="R2239" s="264"/>
      <c r="S2239" s="1">
        <f t="shared" si="1"/>
        <v>1</v>
      </c>
      <c r="T2239" s="512" t="e">
        <f>_xlfn.XLOOKUP(H2239,#REF!,#REF!,0,0)</f>
        <v>#REF!</v>
      </c>
    </row>
    <row r="2240" spans="1:20" s="507" customFormat="1" ht="18" customHeight="1" x14ac:dyDescent="0.4">
      <c r="A2240" s="264" t="s">
        <v>8292</v>
      </c>
      <c r="B2240" s="264" t="s">
        <v>8293</v>
      </c>
      <c r="C2240" s="264"/>
      <c r="D2240" s="264" t="s">
        <v>8127</v>
      </c>
      <c r="E2240" s="264" t="s">
        <v>3785</v>
      </c>
      <c r="F2240" s="264" t="s">
        <v>3072</v>
      </c>
      <c r="G2240" s="25">
        <v>45103</v>
      </c>
      <c r="H2240" s="264" t="s">
        <v>8294</v>
      </c>
      <c r="I2240" s="264">
        <v>71778</v>
      </c>
      <c r="J2240" s="264" t="s">
        <v>8295</v>
      </c>
      <c r="K2240" s="25">
        <v>45243</v>
      </c>
      <c r="L2240" s="264" t="s">
        <v>364</v>
      </c>
      <c r="M2240" s="264" t="s">
        <v>364</v>
      </c>
      <c r="N2240" s="264" t="s">
        <v>364</v>
      </c>
      <c r="O2240" s="264" t="s">
        <v>364</v>
      </c>
      <c r="P2240" s="472" t="s">
        <v>6278</v>
      </c>
      <c r="Q2240" s="264"/>
      <c r="R2240" s="264"/>
      <c r="S2240" s="1">
        <f t="shared" si="1"/>
        <v>1</v>
      </c>
      <c r="T2240" s="512" t="e">
        <f>_xlfn.XLOOKUP(H2240,#REF!,#REF!,0,0)</f>
        <v>#REF!</v>
      </c>
    </row>
    <row r="2241" spans="1:20" s="507" customFormat="1" ht="18" customHeight="1" x14ac:dyDescent="0.4">
      <c r="A2241" s="264" t="s">
        <v>8296</v>
      </c>
      <c r="B2241" s="264" t="s">
        <v>8297</v>
      </c>
      <c r="C2241" s="264"/>
      <c r="D2241" s="264" t="s">
        <v>8127</v>
      </c>
      <c r="E2241" s="264" t="s">
        <v>3785</v>
      </c>
      <c r="F2241" s="264" t="s">
        <v>3072</v>
      </c>
      <c r="G2241" s="25">
        <v>45103</v>
      </c>
      <c r="H2241" s="264" t="s">
        <v>8298</v>
      </c>
      <c r="I2241" s="264">
        <v>71779</v>
      </c>
      <c r="J2241" s="264" t="s">
        <v>8299</v>
      </c>
      <c r="K2241" s="25">
        <v>45243</v>
      </c>
      <c r="L2241" s="264" t="s">
        <v>364</v>
      </c>
      <c r="M2241" s="264" t="s">
        <v>364</v>
      </c>
      <c r="N2241" s="264" t="s">
        <v>364</v>
      </c>
      <c r="O2241" s="264" t="s">
        <v>364</v>
      </c>
      <c r="P2241" s="472" t="s">
        <v>6278</v>
      </c>
      <c r="Q2241" s="264"/>
      <c r="R2241" s="264"/>
      <c r="S2241" s="1">
        <f t="shared" si="1"/>
        <v>1</v>
      </c>
      <c r="T2241" s="512" t="e">
        <f>_xlfn.XLOOKUP(H2241,#REF!,#REF!,0,0)</f>
        <v>#REF!</v>
      </c>
    </row>
    <row r="2242" spans="1:20" s="507" customFormat="1" ht="18" customHeight="1" x14ac:dyDescent="0.4">
      <c r="A2242" s="264" t="s">
        <v>8300</v>
      </c>
      <c r="B2242" s="264" t="s">
        <v>8301</v>
      </c>
      <c r="C2242" s="264"/>
      <c r="D2242" s="264" t="s">
        <v>8127</v>
      </c>
      <c r="E2242" s="264" t="s">
        <v>3785</v>
      </c>
      <c r="F2242" s="264" t="s">
        <v>3072</v>
      </c>
      <c r="G2242" s="25">
        <v>45103</v>
      </c>
      <c r="H2242" s="264" t="s">
        <v>8302</v>
      </c>
      <c r="I2242" s="264">
        <v>71780</v>
      </c>
      <c r="J2242" s="264" t="s">
        <v>8303</v>
      </c>
      <c r="K2242" s="25">
        <v>45243</v>
      </c>
      <c r="L2242" s="264" t="s">
        <v>364</v>
      </c>
      <c r="M2242" s="264" t="s">
        <v>364</v>
      </c>
      <c r="N2242" s="264" t="s">
        <v>364</v>
      </c>
      <c r="O2242" s="264" t="s">
        <v>364</v>
      </c>
      <c r="P2242" s="472" t="s">
        <v>6278</v>
      </c>
      <c r="Q2242" s="264"/>
      <c r="R2242" s="264"/>
      <c r="S2242" s="1">
        <f t="shared" si="1"/>
        <v>1</v>
      </c>
      <c r="T2242" s="512" t="e">
        <f>_xlfn.XLOOKUP(H2242,#REF!,#REF!,0,0)</f>
        <v>#REF!</v>
      </c>
    </row>
    <row r="2243" spans="1:20" s="507" customFormat="1" ht="18" customHeight="1" x14ac:dyDescent="0.4">
      <c r="A2243" s="264" t="s">
        <v>8304</v>
      </c>
      <c r="B2243" s="264" t="s">
        <v>8305</v>
      </c>
      <c r="C2243" s="264"/>
      <c r="D2243" s="264" t="s">
        <v>8127</v>
      </c>
      <c r="E2243" s="264" t="s">
        <v>3785</v>
      </c>
      <c r="F2243" s="264" t="s">
        <v>3072</v>
      </c>
      <c r="G2243" s="25">
        <v>45103</v>
      </c>
      <c r="H2243" s="264" t="s">
        <v>8306</v>
      </c>
      <c r="I2243" s="264">
        <v>71781</v>
      </c>
      <c r="J2243" s="264" t="s">
        <v>8307</v>
      </c>
      <c r="K2243" s="25">
        <v>45243</v>
      </c>
      <c r="L2243" s="264" t="s">
        <v>364</v>
      </c>
      <c r="M2243" s="264" t="s">
        <v>364</v>
      </c>
      <c r="N2243" s="264" t="s">
        <v>364</v>
      </c>
      <c r="O2243" s="264" t="s">
        <v>364</v>
      </c>
      <c r="P2243" s="472" t="s">
        <v>6278</v>
      </c>
      <c r="Q2243" s="264"/>
      <c r="R2243" s="264"/>
      <c r="S2243" s="1">
        <f t="shared" si="1"/>
        <v>1</v>
      </c>
      <c r="T2243" s="512" t="e">
        <f>_xlfn.XLOOKUP(H2243,#REF!,#REF!,0,0)</f>
        <v>#REF!</v>
      </c>
    </row>
    <row r="2244" spans="1:20" s="507" customFormat="1" ht="18" customHeight="1" x14ac:dyDescent="0.4">
      <c r="A2244" s="264" t="s">
        <v>8308</v>
      </c>
      <c r="B2244" s="264" t="s">
        <v>8309</v>
      </c>
      <c r="C2244" s="264"/>
      <c r="D2244" s="264" t="s">
        <v>8127</v>
      </c>
      <c r="E2244" s="264" t="s">
        <v>3785</v>
      </c>
      <c r="F2244" s="264" t="s">
        <v>3072</v>
      </c>
      <c r="G2244" s="25">
        <v>45103</v>
      </c>
      <c r="H2244" s="264" t="s">
        <v>8310</v>
      </c>
      <c r="I2244" s="264">
        <v>71782</v>
      </c>
      <c r="J2244" s="264" t="s">
        <v>8311</v>
      </c>
      <c r="K2244" s="25">
        <v>45243</v>
      </c>
      <c r="L2244" s="264" t="s">
        <v>364</v>
      </c>
      <c r="M2244" s="264" t="s">
        <v>364</v>
      </c>
      <c r="N2244" s="264" t="s">
        <v>364</v>
      </c>
      <c r="O2244" s="264" t="s">
        <v>364</v>
      </c>
      <c r="P2244" s="472" t="s">
        <v>6278</v>
      </c>
      <c r="Q2244" s="264"/>
      <c r="R2244" s="264"/>
      <c r="S2244" s="1">
        <f t="shared" si="1"/>
        <v>1</v>
      </c>
      <c r="T2244" s="512" t="e">
        <f>_xlfn.XLOOKUP(H2244,#REF!,#REF!,0,0)</f>
        <v>#REF!</v>
      </c>
    </row>
    <row r="2245" spans="1:20" s="507" customFormat="1" ht="18" customHeight="1" x14ac:dyDescent="0.4">
      <c r="A2245" s="264" t="s">
        <v>8312</v>
      </c>
      <c r="B2245" s="264" t="s">
        <v>8313</v>
      </c>
      <c r="C2245" s="264"/>
      <c r="D2245" s="264" t="s">
        <v>8127</v>
      </c>
      <c r="E2245" s="264" t="s">
        <v>3785</v>
      </c>
      <c r="F2245" s="264" t="s">
        <v>3072</v>
      </c>
      <c r="G2245" s="25">
        <v>45103</v>
      </c>
      <c r="H2245" s="264" t="s">
        <v>8314</v>
      </c>
      <c r="I2245" s="264">
        <v>71777</v>
      </c>
      <c r="J2245" s="264" t="s">
        <v>8315</v>
      </c>
      <c r="K2245" s="25">
        <v>45243</v>
      </c>
      <c r="L2245" s="264" t="s">
        <v>364</v>
      </c>
      <c r="M2245" s="264" t="s">
        <v>364</v>
      </c>
      <c r="N2245" s="264" t="s">
        <v>364</v>
      </c>
      <c r="O2245" s="264" t="s">
        <v>364</v>
      </c>
      <c r="P2245" s="472" t="s">
        <v>6278</v>
      </c>
      <c r="Q2245" s="264"/>
      <c r="R2245" s="264"/>
      <c r="S2245" s="1">
        <f t="shared" si="1"/>
        <v>1</v>
      </c>
      <c r="T2245" s="512" t="e">
        <f>_xlfn.XLOOKUP(H2245,#REF!,#REF!,0,0)</f>
        <v>#REF!</v>
      </c>
    </row>
    <row r="2246" spans="1:20" s="507" customFormat="1" ht="18" customHeight="1" x14ac:dyDescent="0.4">
      <c r="A2246" s="264" t="s">
        <v>8316</v>
      </c>
      <c r="B2246" s="264" t="s">
        <v>8317</v>
      </c>
      <c r="C2246" s="264"/>
      <c r="D2246" s="264" t="s">
        <v>8127</v>
      </c>
      <c r="E2246" s="264" t="s">
        <v>3785</v>
      </c>
      <c r="F2246" s="264" t="s">
        <v>3072</v>
      </c>
      <c r="G2246" s="25">
        <v>45103</v>
      </c>
      <c r="H2246" s="264" t="s">
        <v>8318</v>
      </c>
      <c r="I2246" s="264">
        <v>71794</v>
      </c>
      <c r="J2246" s="264" t="s">
        <v>8319</v>
      </c>
      <c r="K2246" s="25">
        <v>45245</v>
      </c>
      <c r="L2246" s="264" t="s">
        <v>364</v>
      </c>
      <c r="M2246" s="264" t="s">
        <v>364</v>
      </c>
      <c r="N2246" s="264" t="s">
        <v>364</v>
      </c>
      <c r="O2246" s="264" t="s">
        <v>364</v>
      </c>
      <c r="P2246" s="472" t="s">
        <v>6278</v>
      </c>
      <c r="Q2246" s="264"/>
      <c r="R2246" s="264"/>
      <c r="S2246" s="1">
        <f t="shared" si="1"/>
        <v>1</v>
      </c>
      <c r="T2246" s="512" t="e">
        <f>_xlfn.XLOOKUP(H2246,#REF!,#REF!,0,0)</f>
        <v>#REF!</v>
      </c>
    </row>
    <row r="2247" spans="1:20" s="507" customFormat="1" ht="18" customHeight="1" x14ac:dyDescent="0.4">
      <c r="A2247" s="264" t="s">
        <v>8320</v>
      </c>
      <c r="B2247" s="264" t="s">
        <v>8321</v>
      </c>
      <c r="C2247" s="264"/>
      <c r="D2247" s="264" t="s">
        <v>8127</v>
      </c>
      <c r="E2247" s="264" t="s">
        <v>3785</v>
      </c>
      <c r="F2247" s="264" t="s">
        <v>3072</v>
      </c>
      <c r="G2247" s="25">
        <v>45103</v>
      </c>
      <c r="H2247" s="264" t="s">
        <v>8322</v>
      </c>
      <c r="I2247" s="264">
        <v>71795</v>
      </c>
      <c r="J2247" s="264" t="s">
        <v>8323</v>
      </c>
      <c r="K2247" s="25">
        <v>45245</v>
      </c>
      <c r="L2247" s="264" t="s">
        <v>364</v>
      </c>
      <c r="M2247" s="264" t="s">
        <v>364</v>
      </c>
      <c r="N2247" s="264" t="s">
        <v>364</v>
      </c>
      <c r="O2247" s="264" t="s">
        <v>364</v>
      </c>
      <c r="P2247" s="472" t="s">
        <v>6278</v>
      </c>
      <c r="Q2247" s="264"/>
      <c r="R2247" s="264"/>
      <c r="S2247" s="1">
        <f t="shared" si="1"/>
        <v>1</v>
      </c>
      <c r="T2247" s="512" t="e">
        <f>_xlfn.XLOOKUP(H2247,#REF!,#REF!,0,0)</f>
        <v>#REF!</v>
      </c>
    </row>
    <row r="2248" spans="1:20" s="299" customFormat="1" x14ac:dyDescent="0.4">
      <c r="A2248" s="18" t="s">
        <v>8324</v>
      </c>
      <c r="B2248" s="18" t="s">
        <v>8325</v>
      </c>
      <c r="C2248" s="19" t="s">
        <v>433</v>
      </c>
      <c r="D2248" s="18" t="s">
        <v>693</v>
      </c>
      <c r="E2248" s="18" t="s">
        <v>10</v>
      </c>
      <c r="F2248" s="18" t="s">
        <v>5179</v>
      </c>
      <c r="G2248" s="18">
        <v>45107</v>
      </c>
      <c r="H2248" s="18" t="s">
        <v>8326</v>
      </c>
      <c r="I2248" s="18">
        <v>73495</v>
      </c>
      <c r="J2248" s="18" t="s">
        <v>8327</v>
      </c>
      <c r="K2248" s="18">
        <v>45247</v>
      </c>
      <c r="L2248" s="18" t="s">
        <v>364</v>
      </c>
      <c r="M2248" s="18" t="s">
        <v>364</v>
      </c>
      <c r="N2248" s="18" t="s">
        <v>364</v>
      </c>
      <c r="O2248" s="18" t="s">
        <v>364</v>
      </c>
      <c r="P2248" s="466" t="s">
        <v>8328</v>
      </c>
      <c r="Q2248" s="134"/>
      <c r="R2248" s="134"/>
      <c r="S2248" s="1">
        <f t="shared" si="1"/>
        <v>1</v>
      </c>
      <c r="T2248" s="512" t="e">
        <f>_xlfn.XLOOKUP(H2248,#REF!,#REF!,0,0)</f>
        <v>#REF!</v>
      </c>
    </row>
    <row r="2249" spans="1:20" s="507" customFormat="1" ht="18" customHeight="1" x14ac:dyDescent="0.4">
      <c r="A2249" s="264" t="s">
        <v>8329</v>
      </c>
      <c r="B2249" s="264" t="s">
        <v>8330</v>
      </c>
      <c r="C2249" s="264"/>
      <c r="D2249" s="264" t="s">
        <v>8127</v>
      </c>
      <c r="E2249" s="264" t="s">
        <v>10</v>
      </c>
      <c r="F2249" s="264" t="s">
        <v>5179</v>
      </c>
      <c r="G2249" s="25">
        <v>45107</v>
      </c>
      <c r="H2249" s="264" t="s">
        <v>8331</v>
      </c>
      <c r="I2249" s="264">
        <v>73494</v>
      </c>
      <c r="J2249" s="264" t="s">
        <v>8332</v>
      </c>
      <c r="K2249" s="25">
        <v>45250</v>
      </c>
      <c r="L2249" s="264" t="s">
        <v>364</v>
      </c>
      <c r="M2249" s="264" t="s">
        <v>364</v>
      </c>
      <c r="N2249" s="264" t="s">
        <v>364</v>
      </c>
      <c r="O2249" s="264" t="s">
        <v>364</v>
      </c>
      <c r="P2249" s="472" t="s">
        <v>8333</v>
      </c>
      <c r="Q2249" s="264"/>
      <c r="R2249" s="264"/>
      <c r="S2249" s="1">
        <f t="shared" si="1"/>
        <v>1</v>
      </c>
      <c r="T2249" s="512" t="e">
        <f>_xlfn.XLOOKUP(H2249,#REF!,#REF!,0,0)</f>
        <v>#REF!</v>
      </c>
    </row>
    <row r="2250" spans="1:20" s="507" customFormat="1" ht="18" customHeight="1" x14ac:dyDescent="0.4">
      <c r="A2250" s="264" t="s">
        <v>8334</v>
      </c>
      <c r="B2250" s="264" t="s">
        <v>8335</v>
      </c>
      <c r="C2250" s="264"/>
      <c r="D2250" s="264" t="s">
        <v>693</v>
      </c>
      <c r="E2250" s="264" t="s">
        <v>3785</v>
      </c>
      <c r="F2250" s="264" t="s">
        <v>3072</v>
      </c>
      <c r="G2250" s="25">
        <v>45103</v>
      </c>
      <c r="H2250" s="264" t="s">
        <v>8336</v>
      </c>
      <c r="I2250" s="264">
        <v>71792</v>
      </c>
      <c r="J2250" s="264" t="s">
        <v>8337</v>
      </c>
      <c r="K2250" s="25">
        <v>45250</v>
      </c>
      <c r="L2250" s="264" t="s">
        <v>364</v>
      </c>
      <c r="M2250" s="264" t="s">
        <v>364</v>
      </c>
      <c r="N2250" s="264" t="s">
        <v>364</v>
      </c>
      <c r="O2250" s="264" t="s">
        <v>364</v>
      </c>
      <c r="P2250" s="472" t="s">
        <v>8338</v>
      </c>
      <c r="Q2250" s="264"/>
      <c r="R2250" s="264"/>
      <c r="S2250" s="1">
        <f t="shared" si="1"/>
        <v>1</v>
      </c>
      <c r="T2250" s="512" t="e">
        <f>_xlfn.XLOOKUP(H2250,#REF!,#REF!,0,0)</f>
        <v>#REF!</v>
      </c>
    </row>
    <row r="2251" spans="1:20" s="299" customFormat="1" x14ac:dyDescent="0.4">
      <c r="A2251" s="18" t="s">
        <v>8339</v>
      </c>
      <c r="B2251" s="18" t="s">
        <v>8340</v>
      </c>
      <c r="C2251" s="19" t="s">
        <v>433</v>
      </c>
      <c r="D2251" s="18" t="s">
        <v>693</v>
      </c>
      <c r="E2251" s="18" t="s">
        <v>10</v>
      </c>
      <c r="F2251" s="18" t="s">
        <v>6484</v>
      </c>
      <c r="G2251" s="18"/>
      <c r="H2251" s="18" t="s">
        <v>296</v>
      </c>
      <c r="I2251" s="18">
        <v>71379</v>
      </c>
      <c r="J2251" s="18"/>
      <c r="K2251" s="18">
        <v>45250</v>
      </c>
      <c r="L2251" s="18" t="s">
        <v>364</v>
      </c>
      <c r="M2251" s="18" t="s">
        <v>364</v>
      </c>
      <c r="N2251" s="18" t="s">
        <v>364</v>
      </c>
      <c r="O2251" s="18" t="s">
        <v>364</v>
      </c>
      <c r="P2251" s="466" t="s">
        <v>8341</v>
      </c>
      <c r="Q2251" s="134"/>
      <c r="R2251" s="134"/>
      <c r="S2251" s="1">
        <f t="shared" si="1"/>
        <v>1</v>
      </c>
      <c r="T2251" s="512" t="e">
        <f>_xlfn.XLOOKUP(H2251,#REF!,#REF!,0,0)</f>
        <v>#REF!</v>
      </c>
    </row>
    <row r="2252" spans="1:20" s="299" customFormat="1" x14ac:dyDescent="0.4">
      <c r="A2252" s="18" t="s">
        <v>8342</v>
      </c>
      <c r="B2252" s="18" t="s">
        <v>8343</v>
      </c>
      <c r="C2252" s="19" t="s">
        <v>433</v>
      </c>
      <c r="D2252" s="18" t="s">
        <v>8127</v>
      </c>
      <c r="E2252" s="18" t="s">
        <v>10</v>
      </c>
      <c r="F2252" s="18" t="s">
        <v>5179</v>
      </c>
      <c r="G2252" s="18">
        <v>45107</v>
      </c>
      <c r="H2252" s="18" t="s">
        <v>8344</v>
      </c>
      <c r="I2252" s="18">
        <v>73496</v>
      </c>
      <c r="J2252" s="18" t="s">
        <v>8345</v>
      </c>
      <c r="K2252" s="18">
        <v>45251</v>
      </c>
      <c r="L2252" s="18" t="s">
        <v>364</v>
      </c>
      <c r="M2252" s="18" t="s">
        <v>364</v>
      </c>
      <c r="N2252" s="18" t="s">
        <v>364</v>
      </c>
      <c r="O2252" s="18" t="s">
        <v>364</v>
      </c>
      <c r="P2252" s="466" t="s">
        <v>8346</v>
      </c>
      <c r="Q2252" s="134"/>
      <c r="R2252" s="134"/>
      <c r="S2252" s="1">
        <f t="shared" si="1"/>
        <v>1</v>
      </c>
      <c r="T2252" s="512" t="e">
        <f>_xlfn.XLOOKUP(H2252,#REF!,#REF!,0,0)</f>
        <v>#REF!</v>
      </c>
    </row>
    <row r="2253" spans="1:20" s="507" customFormat="1" ht="18" customHeight="1" x14ac:dyDescent="0.4">
      <c r="A2253" s="264" t="s">
        <v>8347</v>
      </c>
      <c r="B2253" s="264" t="s">
        <v>8348</v>
      </c>
      <c r="C2253" s="264"/>
      <c r="D2253" s="264" t="s">
        <v>8127</v>
      </c>
      <c r="E2253" s="264" t="s">
        <v>10</v>
      </c>
      <c r="F2253" s="264" t="s">
        <v>5179</v>
      </c>
      <c r="G2253" s="25">
        <v>45107</v>
      </c>
      <c r="H2253" s="264" t="s">
        <v>8349</v>
      </c>
      <c r="I2253" s="264">
        <v>73497</v>
      </c>
      <c r="J2253" s="264" t="s">
        <v>8350</v>
      </c>
      <c r="K2253" s="25">
        <v>45251</v>
      </c>
      <c r="L2253" s="264" t="s">
        <v>364</v>
      </c>
      <c r="M2253" s="264" t="s">
        <v>364</v>
      </c>
      <c r="N2253" s="264" t="s">
        <v>364</v>
      </c>
      <c r="O2253" s="264" t="s">
        <v>364</v>
      </c>
      <c r="P2253" s="472" t="s">
        <v>6493</v>
      </c>
      <c r="Q2253" s="264"/>
      <c r="R2253" s="264"/>
      <c r="S2253" s="1">
        <f t="shared" si="1"/>
        <v>1</v>
      </c>
      <c r="T2253" s="512" t="e">
        <f>_xlfn.XLOOKUP(H2253,#REF!,#REF!,0,0)</f>
        <v>#REF!</v>
      </c>
    </row>
    <row r="2254" spans="1:20" s="299" customFormat="1" x14ac:dyDescent="0.4">
      <c r="A2254" s="18" t="s">
        <v>8351</v>
      </c>
      <c r="B2254" s="18" t="s">
        <v>8352</v>
      </c>
      <c r="C2254" s="19" t="s">
        <v>433</v>
      </c>
      <c r="D2254" s="18" t="s">
        <v>8127</v>
      </c>
      <c r="E2254" s="18" t="s">
        <v>10</v>
      </c>
      <c r="F2254" s="18" t="s">
        <v>8353</v>
      </c>
      <c r="G2254" s="18">
        <v>45119</v>
      </c>
      <c r="H2254" s="18" t="s">
        <v>8354</v>
      </c>
      <c r="I2254" s="18">
        <v>71631</v>
      </c>
      <c r="J2254" s="18" t="s">
        <v>8355</v>
      </c>
      <c r="K2254" s="18"/>
      <c r="L2254" s="18" t="s">
        <v>364</v>
      </c>
      <c r="M2254" s="18" t="s">
        <v>364</v>
      </c>
      <c r="N2254" s="18" t="s">
        <v>364</v>
      </c>
      <c r="O2254" s="18" t="s">
        <v>364</v>
      </c>
      <c r="P2254" s="466" t="s">
        <v>8356</v>
      </c>
      <c r="Q2254" s="134"/>
      <c r="R2254" s="134"/>
      <c r="S2254" s="1">
        <f t="shared" si="1"/>
        <v>1</v>
      </c>
      <c r="T2254" s="512" t="e">
        <f>_xlfn.XLOOKUP(H2254,#REF!,#REF!,0,0)</f>
        <v>#REF!</v>
      </c>
    </row>
    <row r="2255" spans="1:20" s="299" customFormat="1" x14ac:dyDescent="0.4">
      <c r="A2255" s="18" t="s">
        <v>8357</v>
      </c>
      <c r="B2255" s="18" t="s">
        <v>8352</v>
      </c>
      <c r="C2255" s="19" t="s">
        <v>433</v>
      </c>
      <c r="D2255" s="18" t="s">
        <v>8127</v>
      </c>
      <c r="E2255" s="18" t="s">
        <v>10</v>
      </c>
      <c r="F2255" s="18" t="s">
        <v>8353</v>
      </c>
      <c r="G2255" s="18">
        <v>45119</v>
      </c>
      <c r="H2255" s="18" t="s">
        <v>8358</v>
      </c>
      <c r="I2255" s="18">
        <v>71632</v>
      </c>
      <c r="J2255" s="18" t="s">
        <v>8359</v>
      </c>
      <c r="K2255" s="18"/>
      <c r="L2255" s="18" t="s">
        <v>364</v>
      </c>
      <c r="M2255" s="18" t="s">
        <v>364</v>
      </c>
      <c r="N2255" s="18" t="s">
        <v>364</v>
      </c>
      <c r="O2255" s="18" t="s">
        <v>364</v>
      </c>
      <c r="P2255" s="466" t="s">
        <v>8356</v>
      </c>
      <c r="Q2255" s="134"/>
      <c r="R2255" s="134"/>
      <c r="S2255" s="1">
        <f t="shared" si="1"/>
        <v>1</v>
      </c>
      <c r="T2255" s="512" t="e">
        <f>_xlfn.XLOOKUP(H2255,#REF!,#REF!,0,0)</f>
        <v>#REF!</v>
      </c>
    </row>
    <row r="2256" spans="1:20" s="299" customFormat="1" x14ac:dyDescent="0.4">
      <c r="A2256" s="18" t="s">
        <v>8360</v>
      </c>
      <c r="B2256" s="18" t="s">
        <v>8352</v>
      </c>
      <c r="C2256" s="19" t="s">
        <v>433</v>
      </c>
      <c r="D2256" s="18" t="s">
        <v>8127</v>
      </c>
      <c r="E2256" s="18" t="s">
        <v>10</v>
      </c>
      <c r="F2256" s="18" t="s">
        <v>8353</v>
      </c>
      <c r="G2256" s="18">
        <v>45119</v>
      </c>
      <c r="H2256" s="18" t="s">
        <v>8361</v>
      </c>
      <c r="I2256" s="18">
        <v>71633</v>
      </c>
      <c r="J2256" s="18" t="s">
        <v>8362</v>
      </c>
      <c r="K2256" s="18"/>
      <c r="L2256" s="18" t="s">
        <v>364</v>
      </c>
      <c r="M2256" s="18" t="s">
        <v>364</v>
      </c>
      <c r="N2256" s="18" t="s">
        <v>364</v>
      </c>
      <c r="O2256" s="18" t="s">
        <v>364</v>
      </c>
      <c r="P2256" s="466" t="s">
        <v>8363</v>
      </c>
      <c r="Q2256" s="134"/>
      <c r="R2256" s="134"/>
      <c r="S2256" s="1">
        <f t="shared" si="1"/>
        <v>1</v>
      </c>
      <c r="T2256" s="512" t="e">
        <f>_xlfn.XLOOKUP(H2256,#REF!,#REF!,0,0)</f>
        <v>#REF!</v>
      </c>
    </row>
    <row r="2257" spans="1:20" s="299" customFormat="1" x14ac:dyDescent="0.4">
      <c r="A2257" s="18" t="s">
        <v>8364</v>
      </c>
      <c r="B2257" s="18" t="s">
        <v>8352</v>
      </c>
      <c r="C2257" s="19" t="s">
        <v>433</v>
      </c>
      <c r="D2257" s="18" t="s">
        <v>8127</v>
      </c>
      <c r="E2257" s="18" t="s">
        <v>10</v>
      </c>
      <c r="F2257" s="18" t="s">
        <v>8353</v>
      </c>
      <c r="G2257" s="18">
        <v>45119</v>
      </c>
      <c r="H2257" s="18" t="s">
        <v>8365</v>
      </c>
      <c r="I2257" s="18">
        <v>71634</v>
      </c>
      <c r="J2257" s="18" t="s">
        <v>8366</v>
      </c>
      <c r="K2257" s="18"/>
      <c r="L2257" s="18" t="s">
        <v>364</v>
      </c>
      <c r="M2257" s="18" t="s">
        <v>364</v>
      </c>
      <c r="N2257" s="18" t="s">
        <v>364</v>
      </c>
      <c r="O2257" s="18" t="s">
        <v>364</v>
      </c>
      <c r="P2257" s="466" t="s">
        <v>8363</v>
      </c>
      <c r="Q2257" s="134"/>
      <c r="R2257" s="134"/>
      <c r="S2257" s="1">
        <f t="shared" si="1"/>
        <v>1</v>
      </c>
      <c r="T2257" s="512" t="e">
        <f>_xlfn.XLOOKUP(H2257,#REF!,#REF!,0,0)</f>
        <v>#REF!</v>
      </c>
    </row>
    <row r="2258" spans="1:20" s="299" customFormat="1" x14ac:dyDescent="0.4">
      <c r="A2258" s="18" t="s">
        <v>8367</v>
      </c>
      <c r="B2258" s="18" t="s">
        <v>8352</v>
      </c>
      <c r="C2258" s="19" t="s">
        <v>433</v>
      </c>
      <c r="D2258" s="18" t="s">
        <v>8127</v>
      </c>
      <c r="E2258" s="18" t="s">
        <v>10</v>
      </c>
      <c r="F2258" s="18" t="s">
        <v>8353</v>
      </c>
      <c r="G2258" s="18">
        <v>45119</v>
      </c>
      <c r="H2258" s="18" t="s">
        <v>8368</v>
      </c>
      <c r="I2258" s="18">
        <v>71635</v>
      </c>
      <c r="J2258" s="18" t="s">
        <v>8369</v>
      </c>
      <c r="K2258" s="18"/>
      <c r="L2258" s="18" t="s">
        <v>364</v>
      </c>
      <c r="M2258" s="18" t="s">
        <v>364</v>
      </c>
      <c r="N2258" s="18" t="s">
        <v>364</v>
      </c>
      <c r="O2258" s="18" t="s">
        <v>364</v>
      </c>
      <c r="P2258" s="466" t="s">
        <v>8363</v>
      </c>
      <c r="Q2258" s="134"/>
      <c r="R2258" s="134"/>
      <c r="S2258" s="1">
        <f t="shared" si="1"/>
        <v>1</v>
      </c>
      <c r="T2258" s="512" t="e">
        <f>_xlfn.XLOOKUP(H2258,#REF!,#REF!,0,0)</f>
        <v>#REF!</v>
      </c>
    </row>
    <row r="2259" spans="1:20" s="299" customFormat="1" x14ac:dyDescent="0.4">
      <c r="A2259" s="18" t="s">
        <v>8370</v>
      </c>
      <c r="B2259" s="18" t="s">
        <v>8352</v>
      </c>
      <c r="C2259" s="19" t="s">
        <v>433</v>
      </c>
      <c r="D2259" s="18" t="s">
        <v>693</v>
      </c>
      <c r="E2259" s="18" t="s">
        <v>10</v>
      </c>
      <c r="F2259" s="18" t="s">
        <v>8353</v>
      </c>
      <c r="G2259" s="18">
        <v>45119</v>
      </c>
      <c r="H2259" s="18" t="s">
        <v>8371</v>
      </c>
      <c r="I2259" s="18">
        <v>71636</v>
      </c>
      <c r="J2259" s="18" t="s">
        <v>8372</v>
      </c>
      <c r="K2259" s="18"/>
      <c r="L2259" s="18" t="s">
        <v>364</v>
      </c>
      <c r="M2259" s="18" t="s">
        <v>364</v>
      </c>
      <c r="N2259" s="18" t="s">
        <v>364</v>
      </c>
      <c r="O2259" s="18" t="s">
        <v>364</v>
      </c>
      <c r="P2259" s="466" t="s">
        <v>8373</v>
      </c>
      <c r="Q2259" s="134"/>
      <c r="R2259" s="134"/>
      <c r="S2259" s="1">
        <f t="shared" si="1"/>
        <v>1</v>
      </c>
      <c r="T2259" s="512" t="e">
        <f>_xlfn.XLOOKUP(H2259,#REF!,#REF!,0,0)</f>
        <v>#REF!</v>
      </c>
    </row>
    <row r="2260" spans="1:20" s="299" customFormat="1" x14ac:dyDescent="0.4">
      <c r="A2260" s="18" t="s">
        <v>8374</v>
      </c>
      <c r="B2260" s="18" t="s">
        <v>8352</v>
      </c>
      <c r="C2260" s="19" t="s">
        <v>433</v>
      </c>
      <c r="D2260" s="18" t="s">
        <v>693</v>
      </c>
      <c r="E2260" s="18" t="s">
        <v>10</v>
      </c>
      <c r="F2260" s="18" t="s">
        <v>8353</v>
      </c>
      <c r="G2260" s="18">
        <v>45119</v>
      </c>
      <c r="H2260" s="18" t="s">
        <v>8375</v>
      </c>
      <c r="I2260" s="18">
        <v>71637</v>
      </c>
      <c r="J2260" s="18" t="s">
        <v>8376</v>
      </c>
      <c r="K2260" s="18"/>
      <c r="L2260" s="18" t="s">
        <v>364</v>
      </c>
      <c r="M2260" s="18" t="s">
        <v>364</v>
      </c>
      <c r="N2260" s="18" t="s">
        <v>364</v>
      </c>
      <c r="O2260" s="18" t="s">
        <v>364</v>
      </c>
      <c r="P2260" s="466" t="s">
        <v>8377</v>
      </c>
      <c r="Q2260" s="134"/>
      <c r="R2260" s="134"/>
      <c r="S2260" s="1">
        <f t="shared" si="1"/>
        <v>1</v>
      </c>
      <c r="T2260" s="512" t="e">
        <f>_xlfn.XLOOKUP(H2260,#REF!,#REF!,0,0)</f>
        <v>#REF!</v>
      </c>
    </row>
    <row r="2261" spans="1:20" s="299" customFormat="1" x14ac:dyDescent="0.4">
      <c r="A2261" s="18" t="s">
        <v>8378</v>
      </c>
      <c r="B2261" s="18" t="s">
        <v>8352</v>
      </c>
      <c r="C2261" s="19" t="s">
        <v>433</v>
      </c>
      <c r="D2261" s="18" t="s">
        <v>693</v>
      </c>
      <c r="E2261" s="18" t="s">
        <v>10</v>
      </c>
      <c r="F2261" s="18" t="s">
        <v>8353</v>
      </c>
      <c r="G2261" s="18">
        <v>45119</v>
      </c>
      <c r="H2261" s="18" t="s">
        <v>8379</v>
      </c>
      <c r="I2261" s="18">
        <v>71638</v>
      </c>
      <c r="J2261" s="18" t="s">
        <v>8380</v>
      </c>
      <c r="K2261" s="18"/>
      <c r="L2261" s="18" t="s">
        <v>364</v>
      </c>
      <c r="M2261" s="18" t="s">
        <v>364</v>
      </c>
      <c r="N2261" s="18" t="s">
        <v>364</v>
      </c>
      <c r="O2261" s="18" t="s">
        <v>364</v>
      </c>
      <c r="P2261" s="466" t="s">
        <v>8377</v>
      </c>
      <c r="Q2261" s="134"/>
      <c r="R2261" s="134"/>
      <c r="S2261" s="1">
        <f t="shared" si="1"/>
        <v>1</v>
      </c>
      <c r="T2261" s="512" t="e">
        <f>_xlfn.XLOOKUP(H2261,#REF!,#REF!,0,0)</f>
        <v>#REF!</v>
      </c>
    </row>
    <row r="2262" spans="1:20" s="299" customFormat="1" x14ac:dyDescent="0.4">
      <c r="A2262" s="18" t="s">
        <v>8381</v>
      </c>
      <c r="B2262" s="18" t="s">
        <v>8352</v>
      </c>
      <c r="C2262" s="19" t="s">
        <v>433</v>
      </c>
      <c r="D2262" s="18" t="s">
        <v>693</v>
      </c>
      <c r="E2262" s="18" t="s">
        <v>10</v>
      </c>
      <c r="F2262" s="18" t="s">
        <v>8353</v>
      </c>
      <c r="G2262" s="18">
        <v>45119</v>
      </c>
      <c r="H2262" s="18" t="s">
        <v>8382</v>
      </c>
      <c r="I2262" s="18">
        <v>71639</v>
      </c>
      <c r="J2262" s="18" t="s">
        <v>8383</v>
      </c>
      <c r="K2262" s="18"/>
      <c r="L2262" s="18" t="s">
        <v>364</v>
      </c>
      <c r="M2262" s="18" t="s">
        <v>364</v>
      </c>
      <c r="N2262" s="18" t="s">
        <v>364</v>
      </c>
      <c r="O2262" s="18" t="s">
        <v>364</v>
      </c>
      <c r="P2262" s="466" t="s">
        <v>8377</v>
      </c>
      <c r="Q2262" s="134"/>
      <c r="R2262" s="134"/>
      <c r="S2262" s="1">
        <f t="shared" si="1"/>
        <v>1</v>
      </c>
      <c r="T2262" s="512" t="e">
        <f>_xlfn.XLOOKUP(H2262,#REF!,#REF!,0,0)</f>
        <v>#REF!</v>
      </c>
    </row>
    <row r="2263" spans="1:20" s="299" customFormat="1" x14ac:dyDescent="0.4">
      <c r="A2263" s="18" t="s">
        <v>8384</v>
      </c>
      <c r="B2263" s="18" t="s">
        <v>8352</v>
      </c>
      <c r="C2263" s="19" t="s">
        <v>433</v>
      </c>
      <c r="D2263" s="18" t="s">
        <v>693</v>
      </c>
      <c r="E2263" s="18" t="s">
        <v>10</v>
      </c>
      <c r="F2263" s="18" t="s">
        <v>8353</v>
      </c>
      <c r="G2263" s="18">
        <v>45119</v>
      </c>
      <c r="H2263" s="18" t="s">
        <v>8385</v>
      </c>
      <c r="I2263" s="18">
        <v>71640</v>
      </c>
      <c r="J2263" s="18" t="s">
        <v>8386</v>
      </c>
      <c r="K2263" s="18"/>
      <c r="L2263" s="18" t="s">
        <v>364</v>
      </c>
      <c r="M2263" s="18" t="s">
        <v>364</v>
      </c>
      <c r="N2263" s="18" t="s">
        <v>364</v>
      </c>
      <c r="O2263" s="18" t="s">
        <v>364</v>
      </c>
      <c r="P2263" s="466" t="s">
        <v>8373</v>
      </c>
      <c r="Q2263" s="134"/>
      <c r="R2263" s="134"/>
      <c r="S2263" s="1">
        <f t="shared" si="1"/>
        <v>1</v>
      </c>
      <c r="T2263" s="512" t="e">
        <f>_xlfn.XLOOKUP(H2263,#REF!,#REF!,0,0)</f>
        <v>#REF!</v>
      </c>
    </row>
    <row r="2264" spans="1:20" s="295" customFormat="1" ht="18" customHeight="1" x14ac:dyDescent="0.4">
      <c r="A2264" s="3"/>
      <c r="B2264" s="3" t="s">
        <v>8387</v>
      </c>
      <c r="C2264" s="3"/>
      <c r="D2264" s="3" t="s">
        <v>8127</v>
      </c>
      <c r="E2264" s="3" t="s">
        <v>10</v>
      </c>
      <c r="F2264" s="3">
        <v>840</v>
      </c>
      <c r="G2264" s="3"/>
      <c r="H2264" s="3" t="s">
        <v>1168</v>
      </c>
      <c r="I2264" s="3">
        <v>70640</v>
      </c>
      <c r="J2264" s="3"/>
      <c r="K2264" s="3"/>
      <c r="L2264" s="3" t="s">
        <v>364</v>
      </c>
      <c r="M2264" s="3" t="s">
        <v>364</v>
      </c>
      <c r="N2264" s="3" t="s">
        <v>364</v>
      </c>
      <c r="O2264" s="3" t="s">
        <v>364</v>
      </c>
      <c r="P2264" s="482" t="s">
        <v>7530</v>
      </c>
      <c r="Q2264" s="3"/>
      <c r="R2264" s="3"/>
      <c r="S2264" s="1" t="str">
        <f t="shared" ref="S2264:S2327" si="2">IF(AND(A2264&lt;&gt;"",A2264&lt;&gt;"SCORTA 10"),1,"")</f>
        <v/>
      </c>
      <c r="T2264" s="512" t="e">
        <f>_xlfn.XLOOKUP(H2264,#REF!,#REF!,0,0)</f>
        <v>#REF!</v>
      </c>
    </row>
    <row r="2265" spans="1:20" s="298" customFormat="1" ht="18" customHeight="1" x14ac:dyDescent="0.4">
      <c r="A2265" s="282" t="s">
        <v>8388</v>
      </c>
      <c r="B2265" s="282" t="s">
        <v>8389</v>
      </c>
      <c r="C2265" s="282"/>
      <c r="D2265" s="282" t="s">
        <v>693</v>
      </c>
      <c r="E2265" s="282" t="s">
        <v>3785</v>
      </c>
      <c r="F2265" s="282" t="s">
        <v>3072</v>
      </c>
      <c r="G2265" s="16">
        <v>45103</v>
      </c>
      <c r="H2265" s="282" t="s">
        <v>8390</v>
      </c>
      <c r="I2265" s="282">
        <v>71796</v>
      </c>
      <c r="J2265" s="282" t="s">
        <v>8391</v>
      </c>
      <c r="K2265" s="284">
        <v>45254</v>
      </c>
      <c r="L2265" s="282" t="s">
        <v>364</v>
      </c>
      <c r="M2265" s="282" t="s">
        <v>364</v>
      </c>
      <c r="N2265" s="282" t="s">
        <v>364</v>
      </c>
      <c r="O2265" s="282" t="s">
        <v>364</v>
      </c>
      <c r="P2265" s="483" t="s">
        <v>8392</v>
      </c>
      <c r="Q2265" s="282"/>
      <c r="R2265" s="282"/>
      <c r="S2265" s="1">
        <f t="shared" si="2"/>
        <v>1</v>
      </c>
      <c r="T2265" s="512" t="e">
        <f>_xlfn.XLOOKUP(H2265,#REF!,#REF!,0,0)</f>
        <v>#REF!</v>
      </c>
    </row>
    <row r="2266" spans="1:20" s="507" customFormat="1" ht="18" customHeight="1" x14ac:dyDescent="0.4">
      <c r="A2266" s="264" t="s">
        <v>8393</v>
      </c>
      <c r="B2266" s="264" t="s">
        <v>8394</v>
      </c>
      <c r="C2266" s="264"/>
      <c r="D2266" s="264" t="s">
        <v>693</v>
      </c>
      <c r="E2266" s="264" t="s">
        <v>3785</v>
      </c>
      <c r="F2266" s="264" t="s">
        <v>3072</v>
      </c>
      <c r="G2266" s="25">
        <v>45103</v>
      </c>
      <c r="H2266" s="264" t="s">
        <v>8395</v>
      </c>
      <c r="I2266" s="264">
        <v>71791</v>
      </c>
      <c r="J2266" s="264" t="s">
        <v>8396</v>
      </c>
      <c r="K2266" s="25">
        <v>45261</v>
      </c>
      <c r="L2266" s="264" t="s">
        <v>364</v>
      </c>
      <c r="M2266" s="264" t="s">
        <v>364</v>
      </c>
      <c r="N2266" s="264" t="s">
        <v>364</v>
      </c>
      <c r="O2266" s="264" t="s">
        <v>364</v>
      </c>
      <c r="P2266" s="472" t="s">
        <v>8397</v>
      </c>
      <c r="Q2266" s="264"/>
      <c r="R2266" s="264"/>
      <c r="S2266" s="1">
        <f t="shared" si="2"/>
        <v>1</v>
      </c>
      <c r="T2266" s="512" t="e">
        <f>_xlfn.XLOOKUP(H2266,#REF!,#REF!,0,0)</f>
        <v>#REF!</v>
      </c>
    </row>
    <row r="2267" spans="1:20" s="507" customFormat="1" ht="18" customHeight="1" x14ac:dyDescent="0.4">
      <c r="A2267" s="24" t="s">
        <v>8398</v>
      </c>
      <c r="B2267" s="24" t="s">
        <v>8399</v>
      </c>
      <c r="C2267" s="24"/>
      <c r="D2267" s="24" t="s">
        <v>693</v>
      </c>
      <c r="E2267" s="24" t="s">
        <v>10</v>
      </c>
      <c r="F2267" s="24" t="s">
        <v>5179</v>
      </c>
      <c r="G2267" s="25">
        <v>45107</v>
      </c>
      <c r="H2267" s="24" t="s">
        <v>8400</v>
      </c>
      <c r="I2267" s="264">
        <v>73493</v>
      </c>
      <c r="J2267" s="24" t="s">
        <v>8401</v>
      </c>
      <c r="K2267" s="25">
        <v>45261</v>
      </c>
      <c r="L2267" s="264" t="s">
        <v>364</v>
      </c>
      <c r="M2267" s="264" t="s">
        <v>364</v>
      </c>
      <c r="N2267" s="264" t="s">
        <v>364</v>
      </c>
      <c r="O2267" s="264" t="s">
        <v>364</v>
      </c>
      <c r="P2267" s="468" t="s">
        <v>7938</v>
      </c>
      <c r="Q2267" s="264"/>
      <c r="R2267" s="264"/>
      <c r="S2267" s="1">
        <f t="shared" si="2"/>
        <v>1</v>
      </c>
      <c r="T2267" s="512" t="e">
        <f>_xlfn.XLOOKUP(H2267,#REF!,#REF!,0,0)</f>
        <v>#REF!</v>
      </c>
    </row>
    <row r="2268" spans="1:20" s="298" customFormat="1" ht="18" customHeight="1" x14ac:dyDescent="0.4">
      <c r="A2268" s="282" t="s">
        <v>8402</v>
      </c>
      <c r="B2268" s="282" t="s">
        <v>8403</v>
      </c>
      <c r="C2268" s="282" t="s">
        <v>376</v>
      </c>
      <c r="D2268" s="282" t="s">
        <v>8127</v>
      </c>
      <c r="E2268" s="282" t="s">
        <v>10</v>
      </c>
      <c r="F2268" s="282" t="s">
        <v>5179</v>
      </c>
      <c r="G2268" s="16">
        <v>45107</v>
      </c>
      <c r="H2268" s="282" t="s">
        <v>8404</v>
      </c>
      <c r="I2268" s="282">
        <v>73498</v>
      </c>
      <c r="J2268" s="282" t="s">
        <v>8405</v>
      </c>
      <c r="K2268" s="16">
        <v>45260</v>
      </c>
      <c r="L2268" s="282" t="s">
        <v>364</v>
      </c>
      <c r="M2268" s="282" t="s">
        <v>364</v>
      </c>
      <c r="N2268" s="282" t="s">
        <v>364</v>
      </c>
      <c r="O2268" s="282" t="s">
        <v>364</v>
      </c>
      <c r="P2268" s="483" t="s">
        <v>8406</v>
      </c>
      <c r="Q2268" s="282"/>
      <c r="R2268" s="282"/>
      <c r="S2268" s="1">
        <f t="shared" si="2"/>
        <v>1</v>
      </c>
      <c r="T2268" s="512" t="e">
        <f>_xlfn.XLOOKUP(H2268,#REF!,#REF!,0,0)</f>
        <v>#REF!</v>
      </c>
    </row>
    <row r="2269" spans="1:20" s="295" customFormat="1" ht="18" customHeight="1" x14ac:dyDescent="0.4">
      <c r="A2269" s="264" t="s">
        <v>8407</v>
      </c>
      <c r="B2269" s="264" t="s">
        <v>8408</v>
      </c>
      <c r="C2269" s="264"/>
      <c r="D2269" s="264" t="s">
        <v>8127</v>
      </c>
      <c r="E2269" s="264" t="s">
        <v>3785</v>
      </c>
      <c r="F2269" s="264" t="s">
        <v>8409</v>
      </c>
      <c r="G2269" s="25">
        <v>45243</v>
      </c>
      <c r="H2269" s="264" t="s">
        <v>8410</v>
      </c>
      <c r="I2269" s="264">
        <v>73326</v>
      </c>
      <c r="J2269" s="264" t="s">
        <v>8411</v>
      </c>
      <c r="K2269" s="25">
        <v>45261</v>
      </c>
      <c r="L2269" s="264" t="s">
        <v>364</v>
      </c>
      <c r="M2269" s="264" t="s">
        <v>364</v>
      </c>
      <c r="N2269" s="264" t="s">
        <v>364</v>
      </c>
      <c r="O2269" s="264" t="s">
        <v>364</v>
      </c>
      <c r="P2269" s="472" t="s">
        <v>6278</v>
      </c>
      <c r="Q2269" s="264"/>
      <c r="R2269" s="264"/>
      <c r="S2269" s="1">
        <f t="shared" si="2"/>
        <v>1</v>
      </c>
      <c r="T2269" s="512" t="e">
        <f>_xlfn.XLOOKUP(H2269,#REF!,#REF!,0,0)</f>
        <v>#REF!</v>
      </c>
    </row>
    <row r="2270" spans="1:20" s="295" customFormat="1" ht="18" customHeight="1" x14ac:dyDescent="0.4">
      <c r="A2270" s="264" t="s">
        <v>8412</v>
      </c>
      <c r="B2270" s="264" t="s">
        <v>8413</v>
      </c>
      <c r="C2270" s="264"/>
      <c r="D2270" s="264" t="s">
        <v>693</v>
      </c>
      <c r="E2270" s="264" t="s">
        <v>3785</v>
      </c>
      <c r="F2270" s="264" t="s">
        <v>3072</v>
      </c>
      <c r="G2270" s="25">
        <v>45103</v>
      </c>
      <c r="H2270" s="264" t="s">
        <v>8414</v>
      </c>
      <c r="I2270" s="264">
        <v>71798</v>
      </c>
      <c r="J2270" s="264" t="s">
        <v>8415</v>
      </c>
      <c r="K2270" s="25">
        <v>45261</v>
      </c>
      <c r="L2270" s="264" t="s">
        <v>364</v>
      </c>
      <c r="M2270" s="264" t="s">
        <v>364</v>
      </c>
      <c r="N2270" s="264" t="s">
        <v>364</v>
      </c>
      <c r="O2270" s="264" t="s">
        <v>364</v>
      </c>
      <c r="P2270" s="472" t="s">
        <v>6278</v>
      </c>
      <c r="Q2270" s="264"/>
      <c r="R2270" s="264"/>
      <c r="S2270" s="1">
        <f t="shared" si="2"/>
        <v>1</v>
      </c>
      <c r="T2270" s="512" t="e">
        <f>_xlfn.XLOOKUP(H2270,#REF!,#REF!,0,0)</f>
        <v>#REF!</v>
      </c>
    </row>
    <row r="2271" spans="1:20" s="295" customFormat="1" ht="18" customHeight="1" x14ac:dyDescent="0.4">
      <c r="A2271" s="264" t="s">
        <v>8416</v>
      </c>
      <c r="B2271" s="264" t="s">
        <v>8417</v>
      </c>
      <c r="C2271" s="264"/>
      <c r="D2271" s="264" t="s">
        <v>693</v>
      </c>
      <c r="E2271" s="264" t="s">
        <v>3785</v>
      </c>
      <c r="F2271" s="264" t="s">
        <v>3072</v>
      </c>
      <c r="G2271" s="25">
        <v>45103</v>
      </c>
      <c r="H2271" s="264" t="s">
        <v>8418</v>
      </c>
      <c r="I2271" s="264">
        <v>71797</v>
      </c>
      <c r="J2271" s="264" t="s">
        <v>8419</v>
      </c>
      <c r="K2271" s="25">
        <v>45261</v>
      </c>
      <c r="L2271" s="264" t="s">
        <v>364</v>
      </c>
      <c r="M2271" s="264" t="s">
        <v>364</v>
      </c>
      <c r="N2271" s="264" t="s">
        <v>364</v>
      </c>
      <c r="O2271" s="264" t="s">
        <v>364</v>
      </c>
      <c r="P2271" s="472" t="s">
        <v>6278</v>
      </c>
      <c r="Q2271" s="264"/>
      <c r="R2271" s="264"/>
      <c r="S2271" s="1">
        <f t="shared" si="2"/>
        <v>1</v>
      </c>
      <c r="T2271" s="512" t="e">
        <f>_xlfn.XLOOKUP(H2271,#REF!,#REF!,0,0)</f>
        <v>#REF!</v>
      </c>
    </row>
    <row r="2272" spans="1:20" s="507" customFormat="1" ht="18" customHeight="1" x14ac:dyDescent="0.4">
      <c r="A2272" s="264" t="s">
        <v>8420</v>
      </c>
      <c r="B2272" s="264" t="s">
        <v>8421</v>
      </c>
      <c r="C2272" s="264" t="s">
        <v>8422</v>
      </c>
      <c r="D2272" s="264" t="s">
        <v>693</v>
      </c>
      <c r="E2272" s="264" t="s">
        <v>10</v>
      </c>
      <c r="F2272" s="264" t="s">
        <v>8423</v>
      </c>
      <c r="G2272" s="25">
        <v>45237</v>
      </c>
      <c r="H2272" s="264" t="s">
        <v>8424</v>
      </c>
      <c r="I2272" s="264">
        <v>73289</v>
      </c>
      <c r="J2272" s="264" t="s">
        <v>8425</v>
      </c>
      <c r="K2272" s="25">
        <v>45261</v>
      </c>
      <c r="L2272" s="264" t="s">
        <v>364</v>
      </c>
      <c r="M2272" s="264" t="s">
        <v>364</v>
      </c>
      <c r="N2272" s="264" t="s">
        <v>364</v>
      </c>
      <c r="O2272" s="264" t="s">
        <v>364</v>
      </c>
      <c r="P2272" s="472" t="s">
        <v>8426</v>
      </c>
      <c r="Q2272" s="264"/>
      <c r="R2272" s="264"/>
      <c r="S2272" s="1">
        <f t="shared" si="2"/>
        <v>1</v>
      </c>
      <c r="T2272" s="512" t="e">
        <f>_xlfn.XLOOKUP(H2272,#REF!,#REF!,0,0)</f>
        <v>#REF!</v>
      </c>
    </row>
    <row r="2273" spans="1:20" s="507" customFormat="1" ht="18" customHeight="1" x14ac:dyDescent="0.4">
      <c r="A2273" s="264" t="s">
        <v>8427</v>
      </c>
      <c r="B2273" s="264" t="s">
        <v>8428</v>
      </c>
      <c r="C2273" s="264" t="s">
        <v>8422</v>
      </c>
      <c r="D2273" s="264" t="s">
        <v>693</v>
      </c>
      <c r="E2273" s="264" t="s">
        <v>10</v>
      </c>
      <c r="F2273" s="264" t="s">
        <v>8423</v>
      </c>
      <c r="G2273" s="25">
        <v>45237</v>
      </c>
      <c r="H2273" s="264" t="s">
        <v>8429</v>
      </c>
      <c r="I2273" s="264">
        <v>73291</v>
      </c>
      <c r="J2273" s="264" t="s">
        <v>8430</v>
      </c>
      <c r="K2273" s="25">
        <v>45261</v>
      </c>
      <c r="L2273" s="264" t="s">
        <v>364</v>
      </c>
      <c r="M2273" s="264" t="s">
        <v>364</v>
      </c>
      <c r="N2273" s="264" t="s">
        <v>364</v>
      </c>
      <c r="O2273" s="264" t="s">
        <v>364</v>
      </c>
      <c r="P2273" s="472" t="s">
        <v>7768</v>
      </c>
      <c r="Q2273" s="264"/>
      <c r="R2273" s="264"/>
      <c r="S2273" s="1">
        <f t="shared" si="2"/>
        <v>1</v>
      </c>
      <c r="T2273" s="512" t="e">
        <f>_xlfn.XLOOKUP(H2273,#REF!,#REF!,0,0)</f>
        <v>#REF!</v>
      </c>
    </row>
    <row r="2274" spans="1:20" s="507" customFormat="1" ht="18" customHeight="1" x14ac:dyDescent="0.4">
      <c r="A2274" s="264" t="s">
        <v>8431</v>
      </c>
      <c r="B2274" s="264" t="s">
        <v>8432</v>
      </c>
      <c r="C2274" s="264" t="s">
        <v>8422</v>
      </c>
      <c r="D2274" s="264" t="s">
        <v>8127</v>
      </c>
      <c r="E2274" s="264" t="s">
        <v>10</v>
      </c>
      <c r="F2274" s="264" t="s">
        <v>5179</v>
      </c>
      <c r="G2274" s="25">
        <v>45107</v>
      </c>
      <c r="H2274" s="264" t="s">
        <v>8433</v>
      </c>
      <c r="I2274" s="264">
        <v>73499</v>
      </c>
      <c r="J2274" s="264" t="s">
        <v>8434</v>
      </c>
      <c r="K2274" s="25">
        <v>45261</v>
      </c>
      <c r="L2274" s="264" t="s">
        <v>364</v>
      </c>
      <c r="M2274" s="264" t="s">
        <v>364</v>
      </c>
      <c r="N2274" s="264" t="s">
        <v>364</v>
      </c>
      <c r="O2274" s="264" t="s">
        <v>364</v>
      </c>
      <c r="P2274" s="472" t="s">
        <v>6493</v>
      </c>
      <c r="Q2274" s="264"/>
      <c r="R2274" s="264"/>
      <c r="S2274" s="1">
        <f t="shared" si="2"/>
        <v>1</v>
      </c>
      <c r="T2274" s="512" t="e">
        <f>_xlfn.XLOOKUP(H2274,#REF!,#REF!,0,0)</f>
        <v>#REF!</v>
      </c>
    </row>
    <row r="2275" spans="1:20" s="507" customFormat="1" ht="18" customHeight="1" x14ac:dyDescent="0.4">
      <c r="A2275" s="264" t="s">
        <v>8435</v>
      </c>
      <c r="B2275" s="264" t="s">
        <v>8436</v>
      </c>
      <c r="C2275" s="264" t="s">
        <v>8422</v>
      </c>
      <c r="D2275" s="264" t="s">
        <v>693</v>
      </c>
      <c r="E2275" s="264" t="s">
        <v>10</v>
      </c>
      <c r="F2275" s="264" t="s">
        <v>8423</v>
      </c>
      <c r="G2275" s="25">
        <v>45237</v>
      </c>
      <c r="H2275" s="264" t="s">
        <v>8437</v>
      </c>
      <c r="I2275" s="264">
        <v>73294</v>
      </c>
      <c r="J2275" s="264" t="s">
        <v>8438</v>
      </c>
      <c r="K2275" s="25">
        <v>45261</v>
      </c>
      <c r="L2275" s="264" t="s">
        <v>364</v>
      </c>
      <c r="M2275" s="264" t="s">
        <v>364</v>
      </c>
      <c r="N2275" s="264" t="s">
        <v>364</v>
      </c>
      <c r="O2275" s="264" t="s">
        <v>364</v>
      </c>
      <c r="P2275" s="472" t="s">
        <v>8439</v>
      </c>
      <c r="Q2275" s="264"/>
      <c r="R2275" s="264"/>
      <c r="S2275" s="1">
        <f t="shared" si="2"/>
        <v>1</v>
      </c>
      <c r="T2275" s="512" t="e">
        <f>_xlfn.XLOOKUP(H2275,#REF!,#REF!,0,0)</f>
        <v>#REF!</v>
      </c>
    </row>
    <row r="2276" spans="1:20" s="507" customFormat="1" ht="18" customHeight="1" x14ac:dyDescent="0.4">
      <c r="A2276" s="264" t="s">
        <v>8440</v>
      </c>
      <c r="B2276" s="264" t="s">
        <v>8441</v>
      </c>
      <c r="C2276" s="264" t="s">
        <v>8422</v>
      </c>
      <c r="D2276" s="264" t="s">
        <v>8127</v>
      </c>
      <c r="E2276" s="264" t="s">
        <v>10</v>
      </c>
      <c r="F2276" s="264" t="s">
        <v>8423</v>
      </c>
      <c r="G2276" s="25">
        <v>45237</v>
      </c>
      <c r="H2276" s="264" t="s">
        <v>8442</v>
      </c>
      <c r="I2276" s="264">
        <v>73292</v>
      </c>
      <c r="J2276" s="264" t="s">
        <v>8443</v>
      </c>
      <c r="K2276" s="25">
        <v>45261</v>
      </c>
      <c r="L2276" s="264" t="s">
        <v>364</v>
      </c>
      <c r="M2276" s="264" t="s">
        <v>364</v>
      </c>
      <c r="N2276" s="264" t="s">
        <v>364</v>
      </c>
      <c r="O2276" s="264" t="s">
        <v>364</v>
      </c>
      <c r="P2276" s="472" t="s">
        <v>8444</v>
      </c>
      <c r="Q2276" s="264"/>
      <c r="R2276" s="264"/>
      <c r="S2276" s="1">
        <f t="shared" si="2"/>
        <v>1</v>
      </c>
      <c r="T2276" s="512" t="e">
        <f>_xlfn.XLOOKUP(H2276,#REF!,#REF!,0,0)</f>
        <v>#REF!</v>
      </c>
    </row>
    <row r="2277" spans="1:20" s="507" customFormat="1" ht="18" customHeight="1" x14ac:dyDescent="0.4">
      <c r="A2277" s="264" t="s">
        <v>8445</v>
      </c>
      <c r="B2277" s="264" t="s">
        <v>8446</v>
      </c>
      <c r="C2277" s="264" t="s">
        <v>8422</v>
      </c>
      <c r="D2277" s="264" t="s">
        <v>8127</v>
      </c>
      <c r="E2277" s="264" t="s">
        <v>10</v>
      </c>
      <c r="F2277" s="264" t="s">
        <v>8423</v>
      </c>
      <c r="G2277" s="25">
        <v>45237</v>
      </c>
      <c r="H2277" s="264" t="s">
        <v>8447</v>
      </c>
      <c r="I2277" s="264">
        <v>73287</v>
      </c>
      <c r="J2277" s="264" t="s">
        <v>8448</v>
      </c>
      <c r="K2277" s="25">
        <v>45261</v>
      </c>
      <c r="L2277" s="264" t="s">
        <v>364</v>
      </c>
      <c r="M2277" s="264" t="s">
        <v>364</v>
      </c>
      <c r="N2277" s="264" t="s">
        <v>364</v>
      </c>
      <c r="O2277" s="264" t="s">
        <v>364</v>
      </c>
      <c r="P2277" s="472" t="s">
        <v>8449</v>
      </c>
      <c r="Q2277" s="264"/>
      <c r="R2277" s="264"/>
      <c r="S2277" s="1">
        <f t="shared" si="2"/>
        <v>1</v>
      </c>
      <c r="T2277" s="512" t="e">
        <f>_xlfn.XLOOKUP(H2277,#REF!,#REF!,0,0)</f>
        <v>#REF!</v>
      </c>
    </row>
    <row r="2278" spans="1:20" s="507" customFormat="1" ht="18" customHeight="1" x14ac:dyDescent="0.4">
      <c r="A2278" s="264" t="s">
        <v>8450</v>
      </c>
      <c r="B2278" s="264" t="s">
        <v>8451</v>
      </c>
      <c r="C2278" s="264" t="s">
        <v>8422</v>
      </c>
      <c r="D2278" s="264" t="s">
        <v>8127</v>
      </c>
      <c r="E2278" s="264" t="s">
        <v>10</v>
      </c>
      <c r="F2278" s="264" t="s">
        <v>8423</v>
      </c>
      <c r="G2278" s="25">
        <v>45237</v>
      </c>
      <c r="H2278" s="264" t="s">
        <v>8452</v>
      </c>
      <c r="I2278" s="264">
        <v>73288</v>
      </c>
      <c r="J2278" s="264" t="s">
        <v>8453</v>
      </c>
      <c r="K2278" s="25">
        <v>45261</v>
      </c>
      <c r="L2278" s="264" t="s">
        <v>364</v>
      </c>
      <c r="M2278" s="264" t="s">
        <v>364</v>
      </c>
      <c r="N2278" s="264" t="s">
        <v>364</v>
      </c>
      <c r="O2278" s="264" t="s">
        <v>364</v>
      </c>
      <c r="P2278" s="472" t="s">
        <v>8449</v>
      </c>
      <c r="Q2278" s="264"/>
      <c r="R2278" s="264"/>
      <c r="S2278" s="1">
        <f t="shared" si="2"/>
        <v>1</v>
      </c>
      <c r="T2278" s="512" t="e">
        <f>_xlfn.XLOOKUP(H2278,#REF!,#REF!,0,0)</f>
        <v>#REF!</v>
      </c>
    </row>
    <row r="2279" spans="1:20" s="507" customFormat="1" ht="18" customHeight="1" x14ac:dyDescent="0.4">
      <c r="A2279" s="264" t="s">
        <v>8454</v>
      </c>
      <c r="B2279" s="264" t="s">
        <v>8455</v>
      </c>
      <c r="C2279" s="264" t="s">
        <v>8422</v>
      </c>
      <c r="D2279" s="264" t="s">
        <v>693</v>
      </c>
      <c r="E2279" s="264" t="s">
        <v>10</v>
      </c>
      <c r="F2279" s="264" t="s">
        <v>8423</v>
      </c>
      <c r="G2279" s="25">
        <v>45237</v>
      </c>
      <c r="H2279" s="264" t="s">
        <v>8456</v>
      </c>
      <c r="I2279" s="264">
        <v>73290</v>
      </c>
      <c r="J2279" s="264" t="s">
        <v>8457</v>
      </c>
      <c r="K2279" s="25">
        <v>45261</v>
      </c>
      <c r="L2279" s="264" t="s">
        <v>364</v>
      </c>
      <c r="M2279" s="264" t="s">
        <v>364</v>
      </c>
      <c r="N2279" s="264" t="s">
        <v>364</v>
      </c>
      <c r="O2279" s="264" t="s">
        <v>364</v>
      </c>
      <c r="P2279" s="472" t="s">
        <v>7768</v>
      </c>
      <c r="Q2279" s="264"/>
      <c r="R2279" s="264"/>
      <c r="S2279" s="1">
        <f t="shared" si="2"/>
        <v>1</v>
      </c>
      <c r="T2279" s="512" t="e">
        <f>_xlfn.XLOOKUP(H2279,#REF!,#REF!,0,0)</f>
        <v>#REF!</v>
      </c>
    </row>
    <row r="2280" spans="1:20" s="507" customFormat="1" ht="18" customHeight="1" x14ac:dyDescent="0.4">
      <c r="A2280" s="264" t="s">
        <v>8458</v>
      </c>
      <c r="B2280" s="264" t="s">
        <v>8459</v>
      </c>
      <c r="C2280" s="264" t="s">
        <v>8422</v>
      </c>
      <c r="D2280" s="264" t="s">
        <v>8127</v>
      </c>
      <c r="E2280" s="264" t="s">
        <v>10</v>
      </c>
      <c r="F2280" s="264" t="s">
        <v>8423</v>
      </c>
      <c r="G2280" s="25">
        <v>45237</v>
      </c>
      <c r="H2280" s="264" t="s">
        <v>8460</v>
      </c>
      <c r="I2280" s="264">
        <v>73295</v>
      </c>
      <c r="J2280" s="264" t="s">
        <v>8461</v>
      </c>
      <c r="K2280" s="25">
        <v>45261</v>
      </c>
      <c r="L2280" s="264" t="s">
        <v>364</v>
      </c>
      <c r="M2280" s="264" t="s">
        <v>364</v>
      </c>
      <c r="N2280" s="264" t="s">
        <v>364</v>
      </c>
      <c r="O2280" s="264" t="s">
        <v>364</v>
      </c>
      <c r="P2280" s="472"/>
      <c r="Q2280" s="264"/>
      <c r="R2280" s="264"/>
      <c r="S2280" s="1">
        <f t="shared" si="2"/>
        <v>1</v>
      </c>
      <c r="T2280" s="512" t="e">
        <f>_xlfn.XLOOKUP(H2280,#REF!,#REF!,0,0)</f>
        <v>#REF!</v>
      </c>
    </row>
    <row r="2281" spans="1:20" s="507" customFormat="1" ht="18" customHeight="1" x14ac:dyDescent="0.4">
      <c r="A2281" s="264" t="s">
        <v>8462</v>
      </c>
      <c r="B2281" s="309" t="s">
        <v>8463</v>
      </c>
      <c r="C2281" s="264" t="s">
        <v>433</v>
      </c>
      <c r="D2281" s="264" t="s">
        <v>8127</v>
      </c>
      <c r="E2281" s="264" t="s">
        <v>3785</v>
      </c>
      <c r="F2281" s="264" t="s">
        <v>3072</v>
      </c>
      <c r="G2281" s="25">
        <v>45103</v>
      </c>
      <c r="H2281" s="264" t="s">
        <v>8464</v>
      </c>
      <c r="I2281" s="264">
        <v>71799</v>
      </c>
      <c r="J2281" s="264" t="s">
        <v>8465</v>
      </c>
      <c r="K2281" s="25"/>
      <c r="L2281" s="264" t="s">
        <v>364</v>
      </c>
      <c r="M2281" s="264" t="s">
        <v>364</v>
      </c>
      <c r="N2281" s="264" t="s">
        <v>364</v>
      </c>
      <c r="O2281" s="264" t="s">
        <v>364</v>
      </c>
      <c r="P2281" s="484" t="s">
        <v>8466</v>
      </c>
      <c r="Q2281" s="264"/>
      <c r="R2281" s="264"/>
      <c r="S2281" s="1">
        <f t="shared" si="2"/>
        <v>1</v>
      </c>
      <c r="T2281" s="512" t="e">
        <f>_xlfn.XLOOKUP(H2281,#REF!,#REF!,0,0)</f>
        <v>#REF!</v>
      </c>
    </row>
    <row r="2282" spans="1:20" s="298" customFormat="1" ht="18" customHeight="1" x14ac:dyDescent="0.4">
      <c r="A2282" s="8" t="s">
        <v>8467</v>
      </c>
      <c r="B2282" s="8" t="s">
        <v>8468</v>
      </c>
      <c r="C2282" s="8" t="s">
        <v>433</v>
      </c>
      <c r="D2282" s="8" t="s">
        <v>8127</v>
      </c>
      <c r="E2282" s="8" t="s">
        <v>10</v>
      </c>
      <c r="F2282" s="8" t="s">
        <v>5179</v>
      </c>
      <c r="G2282" s="16">
        <v>45107</v>
      </c>
      <c r="H2282" s="8" t="s">
        <v>8469</v>
      </c>
      <c r="I2282" s="282">
        <v>73452</v>
      </c>
      <c r="J2282" s="8" t="s">
        <v>8470</v>
      </c>
      <c r="K2282" s="16">
        <v>45264</v>
      </c>
      <c r="L2282" s="8" t="s">
        <v>364</v>
      </c>
      <c r="M2282" s="8" t="s">
        <v>364</v>
      </c>
      <c r="N2282" s="8" t="s">
        <v>364</v>
      </c>
      <c r="O2282" s="282" t="s">
        <v>364</v>
      </c>
      <c r="P2282" s="475"/>
      <c r="Q2282" s="282"/>
      <c r="R2282" s="282"/>
      <c r="S2282" s="1">
        <f t="shared" si="2"/>
        <v>1</v>
      </c>
      <c r="T2282" s="512" t="e">
        <f>_xlfn.XLOOKUP(H2282,#REF!,#REF!,0,0)</f>
        <v>#REF!</v>
      </c>
    </row>
    <row r="2283" spans="1:20" s="510" customFormat="1" ht="18" customHeight="1" x14ac:dyDescent="0.4">
      <c r="A2283" s="9" t="s">
        <v>8471</v>
      </c>
      <c r="B2283" s="9" t="s">
        <v>8472</v>
      </c>
      <c r="C2283" s="9" t="s">
        <v>433</v>
      </c>
      <c r="D2283" s="9" t="s">
        <v>8127</v>
      </c>
      <c r="E2283" s="9" t="s">
        <v>10</v>
      </c>
      <c r="F2283" s="9" t="s">
        <v>8353</v>
      </c>
      <c r="G2283" s="17">
        <v>45119</v>
      </c>
      <c r="H2283" s="9" t="s">
        <v>8473</v>
      </c>
      <c r="I2283" s="285"/>
      <c r="J2283" s="9" t="s">
        <v>8474</v>
      </c>
      <c r="K2283" s="9"/>
      <c r="L2283" s="9" t="s">
        <v>364</v>
      </c>
      <c r="M2283" s="9" t="s">
        <v>364</v>
      </c>
      <c r="N2283" s="9" t="s">
        <v>364</v>
      </c>
      <c r="O2283" s="285" t="s">
        <v>364</v>
      </c>
      <c r="P2283" s="485" t="s">
        <v>8475</v>
      </c>
      <c r="Q2283" s="285"/>
      <c r="R2283" s="285"/>
      <c r="S2283" s="1">
        <f t="shared" si="2"/>
        <v>1</v>
      </c>
      <c r="T2283" s="512" t="e">
        <f>_xlfn.XLOOKUP(H2283,#REF!,#REF!,0,0)</f>
        <v>#REF!</v>
      </c>
    </row>
    <row r="2284" spans="1:20" s="510" customFormat="1" ht="18" customHeight="1" x14ac:dyDescent="0.4">
      <c r="A2284" s="9" t="s">
        <v>8476</v>
      </c>
      <c r="B2284" s="9" t="s">
        <v>8472</v>
      </c>
      <c r="C2284" s="9" t="s">
        <v>433</v>
      </c>
      <c r="D2284" s="9" t="s">
        <v>8127</v>
      </c>
      <c r="E2284" s="9" t="s">
        <v>10</v>
      </c>
      <c r="F2284" s="9" t="s">
        <v>8353</v>
      </c>
      <c r="G2284" s="17">
        <v>45119</v>
      </c>
      <c r="H2284" s="9" t="s">
        <v>8477</v>
      </c>
      <c r="I2284" s="285"/>
      <c r="J2284" s="9" t="s">
        <v>8478</v>
      </c>
      <c r="K2284" s="9"/>
      <c r="L2284" s="9" t="s">
        <v>364</v>
      </c>
      <c r="M2284" s="9" t="s">
        <v>364</v>
      </c>
      <c r="N2284" s="9" t="s">
        <v>364</v>
      </c>
      <c r="O2284" s="285" t="s">
        <v>364</v>
      </c>
      <c r="P2284" s="486" t="s">
        <v>8475</v>
      </c>
      <c r="Q2284" s="285"/>
      <c r="R2284" s="285"/>
      <c r="S2284" s="1">
        <f t="shared" si="2"/>
        <v>1</v>
      </c>
      <c r="T2284" s="512" t="e">
        <f>_xlfn.XLOOKUP(H2284,#REF!,#REF!,0,0)</f>
        <v>#REF!</v>
      </c>
    </row>
    <row r="2285" spans="1:20" s="510" customFormat="1" ht="18" customHeight="1" x14ac:dyDescent="0.4">
      <c r="A2285" s="9" t="s">
        <v>8479</v>
      </c>
      <c r="B2285" s="9" t="s">
        <v>8472</v>
      </c>
      <c r="C2285" s="9" t="s">
        <v>433</v>
      </c>
      <c r="D2285" s="9" t="s">
        <v>8127</v>
      </c>
      <c r="E2285" s="9" t="s">
        <v>10</v>
      </c>
      <c r="F2285" s="9" t="s">
        <v>8353</v>
      </c>
      <c r="G2285" s="17">
        <v>45119</v>
      </c>
      <c r="H2285" s="9" t="s">
        <v>8480</v>
      </c>
      <c r="I2285" s="285"/>
      <c r="J2285" s="9" t="s">
        <v>8481</v>
      </c>
      <c r="K2285" s="9"/>
      <c r="L2285" s="9" t="s">
        <v>364</v>
      </c>
      <c r="M2285" s="9" t="s">
        <v>364</v>
      </c>
      <c r="N2285" s="9" t="s">
        <v>364</v>
      </c>
      <c r="O2285" s="285" t="s">
        <v>364</v>
      </c>
      <c r="P2285" s="486" t="s">
        <v>8475</v>
      </c>
      <c r="Q2285" s="285"/>
      <c r="R2285" s="285"/>
      <c r="S2285" s="1">
        <f t="shared" si="2"/>
        <v>1</v>
      </c>
      <c r="T2285" s="512" t="e">
        <f>_xlfn.XLOOKUP(H2285,#REF!,#REF!,0,0)</f>
        <v>#REF!</v>
      </c>
    </row>
    <row r="2286" spans="1:20" s="510" customFormat="1" ht="18" customHeight="1" x14ac:dyDescent="0.4">
      <c r="A2286" s="9" t="s">
        <v>8482</v>
      </c>
      <c r="B2286" s="9" t="s">
        <v>8472</v>
      </c>
      <c r="C2286" s="9" t="s">
        <v>433</v>
      </c>
      <c r="D2286" s="9" t="s">
        <v>693</v>
      </c>
      <c r="E2286" s="9" t="s">
        <v>10</v>
      </c>
      <c r="F2286" s="9" t="s">
        <v>8353</v>
      </c>
      <c r="G2286" s="17">
        <v>45119</v>
      </c>
      <c r="H2286" s="9" t="s">
        <v>8483</v>
      </c>
      <c r="I2286" s="285"/>
      <c r="J2286" s="9" t="s">
        <v>8484</v>
      </c>
      <c r="K2286" s="9"/>
      <c r="L2286" s="9" t="s">
        <v>364</v>
      </c>
      <c r="M2286" s="9" t="s">
        <v>364</v>
      </c>
      <c r="N2286" s="9" t="s">
        <v>364</v>
      </c>
      <c r="O2286" s="285" t="s">
        <v>364</v>
      </c>
      <c r="P2286" s="486" t="s">
        <v>8475</v>
      </c>
      <c r="Q2286" s="285"/>
      <c r="R2286" s="285"/>
      <c r="S2286" s="1">
        <f t="shared" si="2"/>
        <v>1</v>
      </c>
      <c r="T2286" s="512" t="e">
        <f>_xlfn.XLOOKUP(H2286,#REF!,#REF!,0,0)</f>
        <v>#REF!</v>
      </c>
    </row>
    <row r="2287" spans="1:20" s="510" customFormat="1" ht="18" customHeight="1" x14ac:dyDescent="0.4">
      <c r="A2287" s="9" t="s">
        <v>8485</v>
      </c>
      <c r="B2287" s="9" t="s">
        <v>8472</v>
      </c>
      <c r="C2287" s="9" t="s">
        <v>433</v>
      </c>
      <c r="D2287" s="9" t="s">
        <v>693</v>
      </c>
      <c r="E2287" s="9" t="s">
        <v>10</v>
      </c>
      <c r="F2287" s="9" t="s">
        <v>8353</v>
      </c>
      <c r="G2287" s="17">
        <v>45119</v>
      </c>
      <c r="H2287" s="9" t="s">
        <v>8486</v>
      </c>
      <c r="I2287" s="285"/>
      <c r="J2287" s="9" t="s">
        <v>8487</v>
      </c>
      <c r="K2287" s="9"/>
      <c r="L2287" s="9" t="s">
        <v>364</v>
      </c>
      <c r="M2287" s="9" t="s">
        <v>364</v>
      </c>
      <c r="N2287" s="9" t="s">
        <v>364</v>
      </c>
      <c r="O2287" s="285" t="s">
        <v>364</v>
      </c>
      <c r="P2287" s="486" t="s">
        <v>8475</v>
      </c>
      <c r="Q2287" s="285"/>
      <c r="R2287" s="285"/>
      <c r="S2287" s="1">
        <f t="shared" si="2"/>
        <v>1</v>
      </c>
      <c r="T2287" s="512" t="e">
        <f>_xlfn.XLOOKUP(H2287,#REF!,#REF!,0,0)</f>
        <v>#REF!</v>
      </c>
    </row>
    <row r="2288" spans="1:20" s="510" customFormat="1" ht="18" customHeight="1" x14ac:dyDescent="0.4">
      <c r="A2288" s="9" t="s">
        <v>8488</v>
      </c>
      <c r="B2288" s="9" t="s">
        <v>8489</v>
      </c>
      <c r="C2288" s="9" t="s">
        <v>433</v>
      </c>
      <c r="D2288" s="9" t="s">
        <v>8127</v>
      </c>
      <c r="E2288" s="9" t="s">
        <v>10</v>
      </c>
      <c r="F2288" s="9" t="s">
        <v>8423</v>
      </c>
      <c r="G2288" s="17">
        <v>45237</v>
      </c>
      <c r="H2288" s="9" t="s">
        <v>8490</v>
      </c>
      <c r="I2288" s="285">
        <v>73297</v>
      </c>
      <c r="J2288" s="9" t="s">
        <v>8491</v>
      </c>
      <c r="K2288" s="17">
        <v>45266</v>
      </c>
      <c r="L2288" s="9" t="s">
        <v>364</v>
      </c>
      <c r="M2288" s="9" t="s">
        <v>364</v>
      </c>
      <c r="N2288" s="9" t="s">
        <v>364</v>
      </c>
      <c r="O2288" s="285" t="s">
        <v>364</v>
      </c>
      <c r="P2288" s="485" t="s">
        <v>6493</v>
      </c>
      <c r="Q2288" s="285"/>
      <c r="R2288" s="285"/>
      <c r="S2288" s="1">
        <f t="shared" si="2"/>
        <v>1</v>
      </c>
      <c r="T2288" s="512" t="e">
        <f>_xlfn.XLOOKUP(H2288,#REF!,#REF!,0,0)</f>
        <v>#REF!</v>
      </c>
    </row>
    <row r="2289" spans="1:20" s="295" customFormat="1" ht="18" customHeight="1" x14ac:dyDescent="0.4">
      <c r="A2289" s="264" t="s">
        <v>8492</v>
      </c>
      <c r="B2289" s="310" t="s">
        <v>8493</v>
      </c>
      <c r="C2289" s="264" t="s">
        <v>435</v>
      </c>
      <c r="D2289" s="264" t="s">
        <v>8127</v>
      </c>
      <c r="E2289" s="264" t="s">
        <v>3785</v>
      </c>
      <c r="F2289" s="264" t="s">
        <v>3072</v>
      </c>
      <c r="G2289" s="25">
        <v>45103</v>
      </c>
      <c r="H2289" s="264" t="s">
        <v>8494</v>
      </c>
      <c r="I2289" s="264">
        <v>71800</v>
      </c>
      <c r="J2289" s="264" t="s">
        <v>8495</v>
      </c>
      <c r="K2289" s="25">
        <v>45267</v>
      </c>
      <c r="L2289" s="264" t="s">
        <v>364</v>
      </c>
      <c r="M2289" s="264" t="s">
        <v>364</v>
      </c>
      <c r="N2289" s="264" t="s">
        <v>364</v>
      </c>
      <c r="O2289" s="264" t="s">
        <v>364</v>
      </c>
      <c r="P2289" s="472" t="s">
        <v>8496</v>
      </c>
      <c r="Q2289" s="264"/>
      <c r="R2289" s="264"/>
      <c r="S2289" s="1">
        <f t="shared" si="2"/>
        <v>1</v>
      </c>
      <c r="T2289" s="512" t="e">
        <f>_xlfn.XLOOKUP(H2289,#REF!,#REF!,0,0)</f>
        <v>#REF!</v>
      </c>
    </row>
    <row r="2290" spans="1:20" s="510" customFormat="1" ht="18" customHeight="1" x14ac:dyDescent="0.4">
      <c r="A2290" s="285" t="s">
        <v>8497</v>
      </c>
      <c r="B2290" s="285" t="s">
        <v>8498</v>
      </c>
      <c r="C2290" s="285" t="s">
        <v>433</v>
      </c>
      <c r="D2290" s="285" t="s">
        <v>693</v>
      </c>
      <c r="E2290" s="285" t="s">
        <v>10</v>
      </c>
      <c r="F2290" s="285" t="s">
        <v>8499</v>
      </c>
      <c r="G2290" s="17">
        <v>45237</v>
      </c>
      <c r="H2290" s="285" t="s">
        <v>8500</v>
      </c>
      <c r="I2290" s="285">
        <v>71709</v>
      </c>
      <c r="J2290" s="285" t="s">
        <v>8501</v>
      </c>
      <c r="K2290" s="287">
        <v>45271</v>
      </c>
      <c r="L2290" s="285" t="s">
        <v>364</v>
      </c>
      <c r="M2290" s="285" t="s">
        <v>364</v>
      </c>
      <c r="N2290" s="285" t="s">
        <v>364</v>
      </c>
      <c r="O2290" s="285" t="s">
        <v>364</v>
      </c>
      <c r="P2290" s="486" t="s">
        <v>8502</v>
      </c>
      <c r="Q2290" s="285"/>
      <c r="R2290" s="285"/>
      <c r="S2290" s="1">
        <f t="shared" si="2"/>
        <v>1</v>
      </c>
      <c r="T2290" s="512" t="e">
        <f>_xlfn.XLOOKUP(H2290,#REF!,#REF!,0,0)</f>
        <v>#REF!</v>
      </c>
    </row>
    <row r="2291" spans="1:20" s="507" customFormat="1" ht="18" customHeight="1" x14ac:dyDescent="0.4">
      <c r="A2291" s="264" t="s">
        <v>8503</v>
      </c>
      <c r="B2291" s="264" t="s">
        <v>8504</v>
      </c>
      <c r="C2291" s="264" t="s">
        <v>8422</v>
      </c>
      <c r="D2291" s="264" t="s">
        <v>693</v>
      </c>
      <c r="E2291" s="264" t="s">
        <v>10</v>
      </c>
      <c r="F2291" s="264" t="s">
        <v>8423</v>
      </c>
      <c r="G2291" s="25">
        <v>45237</v>
      </c>
      <c r="H2291" s="264" t="s">
        <v>8505</v>
      </c>
      <c r="I2291" s="264">
        <v>73296</v>
      </c>
      <c r="J2291" s="264" t="s">
        <v>8506</v>
      </c>
      <c r="K2291" s="25">
        <v>45271</v>
      </c>
      <c r="L2291" s="264" t="s">
        <v>364</v>
      </c>
      <c r="M2291" s="264" t="s">
        <v>364</v>
      </c>
      <c r="N2291" s="264" t="s">
        <v>364</v>
      </c>
      <c r="O2291" s="264" t="s">
        <v>364</v>
      </c>
      <c r="P2291" s="472" t="s">
        <v>8507</v>
      </c>
      <c r="Q2291" s="264"/>
      <c r="R2291" s="264"/>
      <c r="S2291" s="1">
        <f t="shared" si="2"/>
        <v>1</v>
      </c>
      <c r="T2291" s="512" t="e">
        <f>_xlfn.XLOOKUP(H2291,#REF!,#REF!,0,0)</f>
        <v>#REF!</v>
      </c>
    </row>
    <row r="2292" spans="1:20" s="507" customFormat="1" ht="18" customHeight="1" x14ac:dyDescent="0.4">
      <c r="A2292" s="264" t="s">
        <v>8508</v>
      </c>
      <c r="B2292" s="264" t="s">
        <v>8509</v>
      </c>
      <c r="C2292" s="264" t="s">
        <v>8422</v>
      </c>
      <c r="D2292" s="264" t="s">
        <v>693</v>
      </c>
      <c r="E2292" s="264" t="s">
        <v>10</v>
      </c>
      <c r="F2292" s="264" t="s">
        <v>8423</v>
      </c>
      <c r="G2292" s="25">
        <v>45237</v>
      </c>
      <c r="H2292" s="264" t="s">
        <v>8510</v>
      </c>
      <c r="I2292" s="264">
        <v>73298</v>
      </c>
      <c r="J2292" s="264" t="s">
        <v>8511</v>
      </c>
      <c r="K2292" s="25">
        <v>45272</v>
      </c>
      <c r="L2292" s="264" t="s">
        <v>364</v>
      </c>
      <c r="M2292" s="264" t="s">
        <v>364</v>
      </c>
      <c r="N2292" s="264" t="s">
        <v>364</v>
      </c>
      <c r="O2292" s="264" t="s">
        <v>364</v>
      </c>
      <c r="P2292" s="472" t="s">
        <v>8512</v>
      </c>
      <c r="Q2292" s="264"/>
      <c r="R2292" s="264"/>
      <c r="S2292" s="1">
        <f t="shared" si="2"/>
        <v>1</v>
      </c>
      <c r="T2292" s="512" t="e">
        <f>_xlfn.XLOOKUP(H2292,#REF!,#REF!,0,0)</f>
        <v>#REF!</v>
      </c>
    </row>
    <row r="2293" spans="1:20" x14ac:dyDescent="0.4">
      <c r="A2293" s="26" t="s">
        <v>8513</v>
      </c>
      <c r="B2293" s="290" t="s">
        <v>8514</v>
      </c>
      <c r="C2293" s="26" t="s">
        <v>433</v>
      </c>
      <c r="D2293" s="26" t="s">
        <v>693</v>
      </c>
      <c r="E2293" s="26" t="s">
        <v>10</v>
      </c>
      <c r="F2293" s="26">
        <v>840</v>
      </c>
      <c r="G2293" s="27"/>
      <c r="H2293" s="26" t="s">
        <v>1039</v>
      </c>
      <c r="I2293" s="26">
        <v>69632</v>
      </c>
      <c r="J2293" s="26" t="s">
        <v>1040</v>
      </c>
      <c r="K2293" s="27"/>
      <c r="L2293" s="26" t="s">
        <v>364</v>
      </c>
      <c r="M2293" s="26" t="s">
        <v>364</v>
      </c>
      <c r="N2293" s="26" t="s">
        <v>364</v>
      </c>
      <c r="O2293" s="26" t="s">
        <v>364</v>
      </c>
      <c r="P2293" s="449" t="s">
        <v>8515</v>
      </c>
      <c r="Q2293" s="26"/>
      <c r="R2293" s="26"/>
      <c r="S2293" s="1">
        <f t="shared" si="2"/>
        <v>1</v>
      </c>
      <c r="T2293" s="500" t="e">
        <f>_xlfn.XLOOKUP(H2293,#REF!,#REF!,0,0)</f>
        <v>#REF!</v>
      </c>
    </row>
    <row r="2294" spans="1:20" x14ac:dyDescent="0.4">
      <c r="A2294" s="26" t="s">
        <v>8516</v>
      </c>
      <c r="B2294" s="290" t="s">
        <v>8514</v>
      </c>
      <c r="C2294" s="26" t="s">
        <v>433</v>
      </c>
      <c r="D2294" s="26" t="s">
        <v>8127</v>
      </c>
      <c r="E2294" s="26" t="s">
        <v>10</v>
      </c>
      <c r="F2294" s="26">
        <v>840</v>
      </c>
      <c r="G2294" s="27"/>
      <c r="H2294" s="26" t="s">
        <v>1152</v>
      </c>
      <c r="I2294" s="26">
        <v>69649</v>
      </c>
      <c r="J2294" s="26" t="s">
        <v>1153</v>
      </c>
      <c r="K2294" s="27"/>
      <c r="L2294" s="26" t="s">
        <v>364</v>
      </c>
      <c r="M2294" s="26" t="s">
        <v>364</v>
      </c>
      <c r="N2294" s="26" t="s">
        <v>364</v>
      </c>
      <c r="O2294" s="26" t="s">
        <v>364</v>
      </c>
      <c r="P2294" s="449" t="s">
        <v>8515</v>
      </c>
      <c r="Q2294" s="26"/>
      <c r="R2294" s="26"/>
      <c r="S2294" s="1">
        <f t="shared" si="2"/>
        <v>1</v>
      </c>
      <c r="T2294" s="500" t="e">
        <f>_xlfn.XLOOKUP(H2294,#REF!,#REF!,0,0)</f>
        <v>#REF!</v>
      </c>
    </row>
    <row r="2295" spans="1:20" s="298" customFormat="1" ht="18" customHeight="1" x14ac:dyDescent="0.4">
      <c r="A2295" s="282" t="s">
        <v>8517</v>
      </c>
      <c r="B2295" s="282" t="s">
        <v>8518</v>
      </c>
      <c r="C2295" s="8" t="s">
        <v>433</v>
      </c>
      <c r="D2295" s="282" t="s">
        <v>8127</v>
      </c>
      <c r="E2295" s="282" t="s">
        <v>3785</v>
      </c>
      <c r="F2295" s="282" t="s">
        <v>3072</v>
      </c>
      <c r="G2295" s="16">
        <v>45103</v>
      </c>
      <c r="H2295" s="282" t="s">
        <v>8519</v>
      </c>
      <c r="I2295" s="282">
        <v>71790</v>
      </c>
      <c r="J2295" s="282" t="s">
        <v>8520</v>
      </c>
      <c r="K2295" s="16">
        <v>45274</v>
      </c>
      <c r="L2295" s="1" t="s">
        <v>364</v>
      </c>
      <c r="M2295" s="1" t="s">
        <v>364</v>
      </c>
      <c r="N2295" s="1" t="s">
        <v>364</v>
      </c>
      <c r="O2295" s="1" t="s">
        <v>364</v>
      </c>
      <c r="P2295" s="483" t="s">
        <v>8521</v>
      </c>
      <c r="Q2295" s="282"/>
      <c r="R2295" s="282"/>
      <c r="S2295" s="1">
        <f t="shared" si="2"/>
        <v>1</v>
      </c>
      <c r="T2295" s="512" t="e">
        <f>_xlfn.XLOOKUP(H2295,#REF!,#REF!,0,0)</f>
        <v>#REF!</v>
      </c>
    </row>
    <row r="2296" spans="1:20" s="295" customFormat="1" ht="18" customHeight="1" x14ac:dyDescent="0.4">
      <c r="A2296" s="1" t="s">
        <v>8522</v>
      </c>
      <c r="B2296" s="1" t="s">
        <v>8523</v>
      </c>
      <c r="C2296" s="1" t="s">
        <v>433</v>
      </c>
      <c r="D2296" s="1" t="s">
        <v>8127</v>
      </c>
      <c r="E2296" s="1" t="s">
        <v>3785</v>
      </c>
      <c r="F2296" s="1" t="s">
        <v>8409</v>
      </c>
      <c r="G2296" s="2">
        <v>45243</v>
      </c>
      <c r="H2296" s="1" t="s">
        <v>8524</v>
      </c>
      <c r="I2296" s="1">
        <v>73327</v>
      </c>
      <c r="J2296" s="1" t="s">
        <v>8525</v>
      </c>
      <c r="K2296" s="291">
        <v>45273</v>
      </c>
      <c r="L2296" s="1" t="s">
        <v>364</v>
      </c>
      <c r="M2296" s="1" t="s">
        <v>364</v>
      </c>
      <c r="N2296" s="1" t="s">
        <v>364</v>
      </c>
      <c r="O2296" s="1" t="s">
        <v>364</v>
      </c>
      <c r="P2296" s="487" t="s">
        <v>8526</v>
      </c>
      <c r="Q2296" s="1"/>
      <c r="R2296" s="1"/>
      <c r="S2296" s="1">
        <f t="shared" si="2"/>
        <v>1</v>
      </c>
      <c r="T2296" s="512" t="e">
        <f>_xlfn.XLOOKUP(H2296,#REF!,#REF!,0,0)</f>
        <v>#REF!</v>
      </c>
    </row>
    <row r="2297" spans="1:20" x14ac:dyDescent="0.4">
      <c r="A2297" s="26" t="s">
        <v>8527</v>
      </c>
      <c r="B2297" s="1" t="s">
        <v>8528</v>
      </c>
      <c r="C2297" s="26" t="s">
        <v>433</v>
      </c>
      <c r="D2297" s="26" t="s">
        <v>8127</v>
      </c>
      <c r="E2297" s="26" t="s">
        <v>10</v>
      </c>
      <c r="F2297" s="26" t="s">
        <v>6484</v>
      </c>
      <c r="G2297" s="27"/>
      <c r="H2297" s="26" t="s">
        <v>6532</v>
      </c>
      <c r="I2297" s="26">
        <v>72263</v>
      </c>
      <c r="J2297" s="26" t="s">
        <v>6533</v>
      </c>
      <c r="K2297" s="27"/>
      <c r="L2297" s="26" t="s">
        <v>364</v>
      </c>
      <c r="M2297" s="26" t="s">
        <v>364</v>
      </c>
      <c r="N2297" s="26" t="s">
        <v>364</v>
      </c>
      <c r="O2297" s="26" t="s">
        <v>364</v>
      </c>
      <c r="P2297" s="487" t="s">
        <v>8529</v>
      </c>
      <c r="Q2297" s="26"/>
      <c r="R2297" s="26"/>
      <c r="S2297" s="1">
        <f t="shared" si="2"/>
        <v>1</v>
      </c>
      <c r="T2297" s="500" t="e">
        <f>_xlfn.XLOOKUP(H2297,#REF!,#REF!,0,0)</f>
        <v>#REF!</v>
      </c>
    </row>
    <row r="2298" spans="1:20" s="295" customFormat="1" ht="18" customHeight="1" x14ac:dyDescent="0.4">
      <c r="A2298" s="2" t="s">
        <v>8530</v>
      </c>
      <c r="B2298" s="2" t="s">
        <v>8531</v>
      </c>
      <c r="C2298" s="2" t="s">
        <v>433</v>
      </c>
      <c r="D2298" s="2" t="s">
        <v>693</v>
      </c>
      <c r="E2298" s="2" t="s">
        <v>10</v>
      </c>
      <c r="F2298" s="2" t="s">
        <v>8499</v>
      </c>
      <c r="G2298" s="2">
        <v>45237</v>
      </c>
      <c r="H2298" s="2" t="s">
        <v>8532</v>
      </c>
      <c r="I2298" s="1">
        <v>71710</v>
      </c>
      <c r="J2298" s="2" t="s">
        <v>8533</v>
      </c>
      <c r="K2298" s="2">
        <v>45274</v>
      </c>
      <c r="L2298" s="2" t="s">
        <v>364</v>
      </c>
      <c r="M2298" s="2" t="s">
        <v>364</v>
      </c>
      <c r="N2298" s="2" t="s">
        <v>364</v>
      </c>
      <c r="O2298" s="2" t="s">
        <v>364</v>
      </c>
      <c r="P2298" s="488" t="s">
        <v>8534</v>
      </c>
      <c r="Q2298" s="1"/>
      <c r="R2298" s="1"/>
      <c r="S2298" s="1">
        <f t="shared" si="2"/>
        <v>1</v>
      </c>
      <c r="T2298" s="512" t="e">
        <f>_xlfn.XLOOKUP(H2298,#REF!,#REF!,0,0)</f>
        <v>#REF!</v>
      </c>
    </row>
    <row r="2299" spans="1:20" s="295" customFormat="1" ht="18" customHeight="1" x14ac:dyDescent="0.4">
      <c r="A2299" s="1" t="s">
        <v>8535</v>
      </c>
      <c r="B2299" s="1" t="s">
        <v>8536</v>
      </c>
      <c r="C2299" s="1" t="s">
        <v>433</v>
      </c>
      <c r="D2299" s="1" t="s">
        <v>693</v>
      </c>
      <c r="E2299" s="1" t="s">
        <v>3785</v>
      </c>
      <c r="F2299" s="1" t="s">
        <v>8409</v>
      </c>
      <c r="G2299" s="2">
        <v>45243</v>
      </c>
      <c r="H2299" s="1" t="s">
        <v>8537</v>
      </c>
      <c r="I2299" s="1">
        <v>73328</v>
      </c>
      <c r="J2299" s="1" t="s">
        <v>8538</v>
      </c>
      <c r="K2299" s="291">
        <v>45275</v>
      </c>
      <c r="L2299" s="1" t="s">
        <v>364</v>
      </c>
      <c r="M2299" s="1" t="s">
        <v>364</v>
      </c>
      <c r="N2299" s="1" t="s">
        <v>364</v>
      </c>
      <c r="O2299" s="1" t="s">
        <v>364</v>
      </c>
      <c r="P2299" s="487" t="s">
        <v>8539</v>
      </c>
      <c r="Q2299" s="1"/>
      <c r="R2299" s="1"/>
      <c r="S2299" s="1">
        <f t="shared" si="2"/>
        <v>1</v>
      </c>
      <c r="T2299" s="512" t="e">
        <f>_xlfn.XLOOKUP(H2299,#REF!,#REF!,0,0)</f>
        <v>#REF!</v>
      </c>
    </row>
    <row r="2300" spans="1:20" x14ac:dyDescent="0.4">
      <c r="A2300" s="26" t="s">
        <v>8540</v>
      </c>
      <c r="B2300" s="26" t="s">
        <v>8541</v>
      </c>
      <c r="C2300" s="26" t="s">
        <v>433</v>
      </c>
      <c r="D2300" s="26" t="s">
        <v>693</v>
      </c>
      <c r="E2300" s="26" t="s">
        <v>10</v>
      </c>
      <c r="F2300" s="26">
        <v>840</v>
      </c>
      <c r="G2300" s="27"/>
      <c r="H2300" s="26" t="s">
        <v>8542</v>
      </c>
      <c r="I2300" s="26">
        <v>70480</v>
      </c>
      <c r="J2300" s="26"/>
      <c r="K2300" s="27"/>
      <c r="L2300" s="1" t="s">
        <v>364</v>
      </c>
      <c r="M2300" s="1" t="s">
        <v>364</v>
      </c>
      <c r="N2300" s="1" t="s">
        <v>364</v>
      </c>
      <c r="O2300" s="1" t="s">
        <v>364</v>
      </c>
      <c r="P2300" s="449" t="s">
        <v>6262</v>
      </c>
      <c r="Q2300" s="26"/>
      <c r="R2300" s="26"/>
      <c r="S2300" s="1">
        <f t="shared" si="2"/>
        <v>1</v>
      </c>
      <c r="T2300" s="500" t="e">
        <f>_xlfn.XLOOKUP(H2300,#REF!,#REF!,0,0)</f>
        <v>#REF!</v>
      </c>
    </row>
    <row r="2301" spans="1:20" x14ac:dyDescent="0.4">
      <c r="A2301" s="26" t="s">
        <v>8543</v>
      </c>
      <c r="B2301" s="285" t="s">
        <v>8544</v>
      </c>
      <c r="C2301" s="26" t="s">
        <v>433</v>
      </c>
      <c r="D2301" s="26" t="s">
        <v>693</v>
      </c>
      <c r="E2301" s="26" t="s">
        <v>10</v>
      </c>
      <c r="F2301" s="26" t="s">
        <v>6484</v>
      </c>
      <c r="G2301" s="27"/>
      <c r="H2301" s="26" t="s">
        <v>274</v>
      </c>
      <c r="I2301" s="26">
        <v>70953</v>
      </c>
      <c r="J2301" s="26"/>
      <c r="K2301" s="27"/>
      <c r="L2301" s="1" t="s">
        <v>364</v>
      </c>
      <c r="M2301" s="1" t="s">
        <v>364</v>
      </c>
      <c r="N2301" s="1" t="s">
        <v>364</v>
      </c>
      <c r="O2301" s="1" t="s">
        <v>364</v>
      </c>
      <c r="P2301" s="449" t="s">
        <v>6262</v>
      </c>
      <c r="Q2301" s="26"/>
      <c r="R2301" s="26"/>
      <c r="S2301" s="1">
        <f t="shared" si="2"/>
        <v>1</v>
      </c>
      <c r="T2301" s="500" t="e">
        <f>_xlfn.XLOOKUP(H2301,#REF!,#REF!,0,0)</f>
        <v>#REF!</v>
      </c>
    </row>
    <row r="2302" spans="1:20" s="510" customFormat="1" ht="18" customHeight="1" x14ac:dyDescent="0.4">
      <c r="A2302" s="285" t="s">
        <v>8545</v>
      </c>
      <c r="B2302" s="285" t="s">
        <v>8546</v>
      </c>
      <c r="C2302" s="285" t="s">
        <v>433</v>
      </c>
      <c r="D2302" s="285" t="s">
        <v>8127</v>
      </c>
      <c r="E2302" s="285" t="s">
        <v>10</v>
      </c>
      <c r="F2302" s="285" t="s">
        <v>8499</v>
      </c>
      <c r="G2302" s="17">
        <v>45237</v>
      </c>
      <c r="H2302" s="285" t="s">
        <v>8547</v>
      </c>
      <c r="I2302" s="285">
        <v>71708</v>
      </c>
      <c r="J2302" s="285" t="s">
        <v>8548</v>
      </c>
      <c r="K2302" s="287">
        <v>45279</v>
      </c>
      <c r="L2302" s="1" t="s">
        <v>364</v>
      </c>
      <c r="M2302" s="1" t="s">
        <v>364</v>
      </c>
      <c r="N2302" s="1" t="s">
        <v>364</v>
      </c>
      <c r="O2302" s="1" t="s">
        <v>364</v>
      </c>
      <c r="P2302" s="486" t="s">
        <v>8549</v>
      </c>
      <c r="Q2302" s="285"/>
      <c r="R2302" s="285"/>
      <c r="S2302" s="1">
        <f t="shared" si="2"/>
        <v>1</v>
      </c>
      <c r="T2302" s="512" t="e">
        <f>_xlfn.XLOOKUP(H2302,#REF!,#REF!,0,0)</f>
        <v>#REF!</v>
      </c>
    </row>
    <row r="2303" spans="1:20" s="295" customFormat="1" ht="18" customHeight="1" x14ac:dyDescent="0.4">
      <c r="A2303" s="5"/>
      <c r="B2303" s="5" t="s">
        <v>8550</v>
      </c>
      <c r="C2303" s="5" t="s">
        <v>433</v>
      </c>
      <c r="D2303" s="5" t="s">
        <v>681</v>
      </c>
      <c r="E2303" s="5" t="s">
        <v>10</v>
      </c>
      <c r="F2303" s="5" t="s">
        <v>8423</v>
      </c>
      <c r="G2303" s="4">
        <v>45237</v>
      </c>
      <c r="H2303" s="5" t="s">
        <v>8551</v>
      </c>
      <c r="I2303" s="3">
        <v>73304</v>
      </c>
      <c r="J2303" s="3" t="s">
        <v>8552</v>
      </c>
      <c r="K2303" s="4">
        <v>45282</v>
      </c>
      <c r="L2303" s="1" t="s">
        <v>364</v>
      </c>
      <c r="M2303" s="1" t="s">
        <v>364</v>
      </c>
      <c r="N2303" s="1" t="s">
        <v>364</v>
      </c>
      <c r="O2303" s="1" t="s">
        <v>364</v>
      </c>
      <c r="P2303" s="474"/>
      <c r="Q2303" s="3"/>
      <c r="R2303" s="285"/>
      <c r="S2303" s="1" t="str">
        <f t="shared" si="2"/>
        <v/>
      </c>
      <c r="T2303" s="512" t="e">
        <f>_xlfn.XLOOKUP(H2303,#REF!,#REF!,0,0)</f>
        <v>#REF!</v>
      </c>
    </row>
    <row r="2304" spans="1:20" s="295" customFormat="1" ht="18" customHeight="1" x14ac:dyDescent="0.4">
      <c r="A2304" s="5" t="s">
        <v>8553</v>
      </c>
      <c r="B2304" s="5" t="s">
        <v>8554</v>
      </c>
      <c r="C2304" s="5" t="s">
        <v>435</v>
      </c>
      <c r="D2304" s="5" t="s">
        <v>693</v>
      </c>
      <c r="E2304" s="5" t="s">
        <v>10</v>
      </c>
      <c r="F2304" s="5" t="s">
        <v>8423</v>
      </c>
      <c r="G2304" s="4">
        <v>45237</v>
      </c>
      <c r="H2304" s="5" t="s">
        <v>8555</v>
      </c>
      <c r="I2304" s="3">
        <v>73308</v>
      </c>
      <c r="J2304" s="5" t="s">
        <v>8556</v>
      </c>
      <c r="K2304" s="4">
        <v>45292</v>
      </c>
      <c r="L2304" s="5" t="s">
        <v>364</v>
      </c>
      <c r="M2304" s="5" t="s">
        <v>364</v>
      </c>
      <c r="N2304" s="5" t="s">
        <v>364</v>
      </c>
      <c r="O2304" s="5" t="s">
        <v>364</v>
      </c>
      <c r="P2304" s="474" t="s">
        <v>8557</v>
      </c>
      <c r="Q2304" s="285"/>
      <c r="R2304" s="3"/>
      <c r="S2304" s="1">
        <f t="shared" si="2"/>
        <v>1</v>
      </c>
      <c r="T2304" s="512" t="e">
        <f>_xlfn.XLOOKUP(H2304,#REF!,#REF!,0,0)</f>
        <v>#REF!</v>
      </c>
    </row>
    <row r="2305" spans="1:20" s="295" customFormat="1" ht="18" customHeight="1" x14ac:dyDescent="0.4">
      <c r="A2305" s="292" t="s">
        <v>8558</v>
      </c>
      <c r="B2305" s="292" t="s">
        <v>8559</v>
      </c>
      <c r="C2305" s="292" t="s">
        <v>435</v>
      </c>
      <c r="D2305" s="292" t="s">
        <v>693</v>
      </c>
      <c r="E2305" s="292" t="s">
        <v>10</v>
      </c>
      <c r="F2305" s="292" t="s">
        <v>8423</v>
      </c>
      <c r="G2305" s="292">
        <v>45237</v>
      </c>
      <c r="H2305" s="292" t="s">
        <v>310</v>
      </c>
      <c r="I2305" s="349">
        <v>73301</v>
      </c>
      <c r="J2305" s="290" t="s">
        <v>371</v>
      </c>
      <c r="K2305" s="292">
        <v>45292</v>
      </c>
      <c r="L2305" s="292" t="s">
        <v>364</v>
      </c>
      <c r="M2305" s="292" t="s">
        <v>364</v>
      </c>
      <c r="N2305" s="292" t="s">
        <v>364</v>
      </c>
      <c r="O2305" s="292" t="s">
        <v>364</v>
      </c>
      <c r="P2305" s="489" t="s">
        <v>7768</v>
      </c>
      <c r="Q2305" s="285"/>
      <c r="R2305" s="349"/>
      <c r="S2305" s="1">
        <f t="shared" si="2"/>
        <v>1</v>
      </c>
      <c r="T2305" s="512" t="e">
        <f>_xlfn.XLOOKUP(H2305,#REF!,#REF!,0,0)</f>
        <v>#REF!</v>
      </c>
    </row>
    <row r="2306" spans="1:20" s="295" customFormat="1" ht="18" customHeight="1" x14ac:dyDescent="0.4">
      <c r="A2306" s="281" t="s">
        <v>8560</v>
      </c>
      <c r="B2306" s="281" t="s">
        <v>8561</v>
      </c>
      <c r="C2306" s="281" t="s">
        <v>435</v>
      </c>
      <c r="D2306" s="281" t="s">
        <v>8127</v>
      </c>
      <c r="E2306" s="281" t="s">
        <v>10</v>
      </c>
      <c r="F2306" s="281" t="s">
        <v>8423</v>
      </c>
      <c r="G2306" s="2">
        <v>45237</v>
      </c>
      <c r="H2306" s="281" t="s">
        <v>8562</v>
      </c>
      <c r="I2306" s="1">
        <v>73302</v>
      </c>
      <c r="J2306" s="290" t="s">
        <v>8563</v>
      </c>
      <c r="K2306" s="2">
        <v>44934</v>
      </c>
      <c r="L2306" s="281" t="s">
        <v>364</v>
      </c>
      <c r="M2306" s="281" t="s">
        <v>364</v>
      </c>
      <c r="N2306" s="281" t="s">
        <v>364</v>
      </c>
      <c r="O2306" s="281" t="s">
        <v>364</v>
      </c>
      <c r="P2306" s="489"/>
      <c r="Q2306" s="285"/>
      <c r="R2306" s="1"/>
      <c r="S2306" s="1">
        <f t="shared" si="2"/>
        <v>1</v>
      </c>
      <c r="T2306" s="512" t="e">
        <f>_xlfn.XLOOKUP(H2306,#REF!,#REF!,0,0)</f>
        <v>#REF!</v>
      </c>
    </row>
    <row r="2307" spans="1:20" s="295" customFormat="1" x14ac:dyDescent="0.4">
      <c r="A2307" s="1" t="s">
        <v>8564</v>
      </c>
      <c r="B2307" s="1" t="s">
        <v>8565</v>
      </c>
      <c r="C2307" s="1" t="s">
        <v>435</v>
      </c>
      <c r="D2307" s="1" t="s">
        <v>8127</v>
      </c>
      <c r="E2307" s="1" t="s">
        <v>3785</v>
      </c>
      <c r="F2307" s="1" t="s">
        <v>8409</v>
      </c>
      <c r="G2307" s="2">
        <v>45243</v>
      </c>
      <c r="H2307" s="1" t="s">
        <v>8566</v>
      </c>
      <c r="I2307" s="1">
        <v>73331</v>
      </c>
      <c r="J2307" s="1" t="s">
        <v>8567</v>
      </c>
      <c r="K2307" s="2">
        <v>44934</v>
      </c>
      <c r="L2307" s="1" t="s">
        <v>364</v>
      </c>
      <c r="M2307" s="1" t="s">
        <v>364</v>
      </c>
      <c r="N2307" s="1" t="s">
        <v>364</v>
      </c>
      <c r="O2307" s="1" t="s">
        <v>364</v>
      </c>
      <c r="P2307" s="487" t="s">
        <v>8568</v>
      </c>
      <c r="Q2307" s="1"/>
      <c r="R2307" s="1"/>
      <c r="S2307" s="1">
        <f t="shared" si="2"/>
        <v>1</v>
      </c>
      <c r="T2307" s="512" t="e">
        <f>_xlfn.XLOOKUP(H2307,#REF!,#REF!,0,0)</f>
        <v>#REF!</v>
      </c>
    </row>
    <row r="2308" spans="1:20" s="295" customFormat="1" x14ac:dyDescent="0.4">
      <c r="A2308" s="1" t="s">
        <v>8569</v>
      </c>
      <c r="B2308" s="1" t="s">
        <v>8570</v>
      </c>
      <c r="C2308" s="1" t="s">
        <v>435</v>
      </c>
      <c r="D2308" s="1" t="s">
        <v>8127</v>
      </c>
      <c r="E2308" s="1" t="s">
        <v>3785</v>
      </c>
      <c r="F2308" s="1" t="s">
        <v>8409</v>
      </c>
      <c r="G2308" s="2">
        <v>45243</v>
      </c>
      <c r="H2308" s="1" t="s">
        <v>8571</v>
      </c>
      <c r="I2308" s="1">
        <v>73333</v>
      </c>
      <c r="J2308" s="1" t="s">
        <v>8572</v>
      </c>
      <c r="K2308" s="2">
        <v>44934</v>
      </c>
      <c r="L2308" s="1" t="s">
        <v>364</v>
      </c>
      <c r="M2308" s="1" t="s">
        <v>364</v>
      </c>
      <c r="N2308" s="1" t="s">
        <v>364</v>
      </c>
      <c r="O2308" s="1" t="s">
        <v>364</v>
      </c>
      <c r="P2308" s="487" t="s">
        <v>8573</v>
      </c>
      <c r="Q2308" s="1"/>
      <c r="R2308" s="1"/>
      <c r="S2308" s="1">
        <f t="shared" si="2"/>
        <v>1</v>
      </c>
      <c r="T2308" s="512" t="e">
        <f>_xlfn.XLOOKUP(H2308,#REF!,#REF!,0,0)</f>
        <v>#REF!</v>
      </c>
    </row>
    <row r="2309" spans="1:20" s="295" customFormat="1" ht="18" customHeight="1" x14ac:dyDescent="0.4">
      <c r="A2309" s="5" t="s">
        <v>8574</v>
      </c>
      <c r="B2309" s="5" t="s">
        <v>8575</v>
      </c>
      <c r="C2309" s="5" t="s">
        <v>435</v>
      </c>
      <c r="D2309" s="5" t="s">
        <v>693</v>
      </c>
      <c r="E2309" s="5" t="s">
        <v>10</v>
      </c>
      <c r="F2309" s="5" t="s">
        <v>8423</v>
      </c>
      <c r="G2309" s="4">
        <v>45237</v>
      </c>
      <c r="H2309" s="5" t="s">
        <v>8576</v>
      </c>
      <c r="I2309" s="3">
        <v>73306</v>
      </c>
      <c r="J2309" s="5" t="s">
        <v>8577</v>
      </c>
      <c r="K2309" s="4">
        <v>44934</v>
      </c>
      <c r="L2309" s="5" t="s">
        <v>364</v>
      </c>
      <c r="M2309" s="5" t="s">
        <v>364</v>
      </c>
      <c r="N2309" s="5" t="s">
        <v>364</v>
      </c>
      <c r="O2309" s="5" t="s">
        <v>364</v>
      </c>
      <c r="P2309" s="474" t="s">
        <v>8578</v>
      </c>
      <c r="Q2309" s="285"/>
      <c r="R2309" s="3"/>
      <c r="S2309" s="1">
        <f t="shared" si="2"/>
        <v>1</v>
      </c>
      <c r="T2309" s="512" t="e">
        <f>_xlfn.XLOOKUP(H2309,#REF!,#REF!,0,0)</f>
        <v>#REF!</v>
      </c>
    </row>
    <row r="2310" spans="1:20" s="295" customFormat="1" ht="18" customHeight="1" x14ac:dyDescent="0.4">
      <c r="A2310" s="3" t="s">
        <v>8579</v>
      </c>
      <c r="B2310" s="5" t="s">
        <v>8580</v>
      </c>
      <c r="C2310" s="5" t="s">
        <v>435</v>
      </c>
      <c r="D2310" s="5" t="s">
        <v>8127</v>
      </c>
      <c r="E2310" s="5" t="s">
        <v>10</v>
      </c>
      <c r="F2310" s="5" t="s">
        <v>8423</v>
      </c>
      <c r="G2310" s="4">
        <v>45237</v>
      </c>
      <c r="H2310" s="5" t="s">
        <v>8581</v>
      </c>
      <c r="I2310" s="3">
        <v>73307</v>
      </c>
      <c r="J2310" s="5" t="s">
        <v>8582</v>
      </c>
      <c r="K2310" s="4">
        <v>44934</v>
      </c>
      <c r="L2310" s="5" t="s">
        <v>364</v>
      </c>
      <c r="M2310" s="5" t="s">
        <v>364</v>
      </c>
      <c r="N2310" s="5" t="s">
        <v>364</v>
      </c>
      <c r="O2310" s="5" t="s">
        <v>364</v>
      </c>
      <c r="P2310" s="474" t="s">
        <v>8583</v>
      </c>
      <c r="Q2310" s="285"/>
      <c r="R2310" s="3"/>
      <c r="S2310" s="1">
        <f t="shared" si="2"/>
        <v>1</v>
      </c>
      <c r="T2310" s="512" t="e">
        <f>_xlfn.XLOOKUP(H2310,#REF!,#REF!,0,0)</f>
        <v>#REF!</v>
      </c>
    </row>
    <row r="2311" spans="1:20" s="295" customFormat="1" ht="18" customHeight="1" x14ac:dyDescent="0.4">
      <c r="A2311" s="5" t="s">
        <v>8584</v>
      </c>
      <c r="B2311" s="5" t="s">
        <v>8585</v>
      </c>
      <c r="C2311" s="5" t="s">
        <v>435</v>
      </c>
      <c r="D2311" s="5" t="s">
        <v>8127</v>
      </c>
      <c r="E2311" s="5" t="s">
        <v>10</v>
      </c>
      <c r="F2311" s="5" t="s">
        <v>8423</v>
      </c>
      <c r="G2311" s="4">
        <v>45237</v>
      </c>
      <c r="H2311" s="5" t="s">
        <v>8586</v>
      </c>
      <c r="I2311" s="3">
        <v>73305</v>
      </c>
      <c r="J2311" s="5" t="s">
        <v>8587</v>
      </c>
      <c r="K2311" s="4">
        <v>44934</v>
      </c>
      <c r="L2311" s="5" t="s">
        <v>364</v>
      </c>
      <c r="M2311" s="5" t="s">
        <v>364</v>
      </c>
      <c r="N2311" s="5" t="s">
        <v>364</v>
      </c>
      <c r="O2311" s="5" t="s">
        <v>364</v>
      </c>
      <c r="P2311" s="474" t="s">
        <v>8578</v>
      </c>
      <c r="Q2311" s="285"/>
      <c r="R2311" s="3"/>
      <c r="S2311" s="1">
        <f t="shared" si="2"/>
        <v>1</v>
      </c>
      <c r="T2311" s="512" t="e">
        <f>_xlfn.XLOOKUP(H2311,#REF!,#REF!,0,0)</f>
        <v>#REF!</v>
      </c>
    </row>
    <row r="2312" spans="1:20" s="295" customFormat="1" ht="18" customHeight="1" x14ac:dyDescent="0.4">
      <c r="A2312" s="281" t="s">
        <v>8588</v>
      </c>
      <c r="B2312" s="281" t="s">
        <v>8589</v>
      </c>
      <c r="C2312" s="281" t="s">
        <v>435</v>
      </c>
      <c r="D2312" s="281" t="s">
        <v>693</v>
      </c>
      <c r="E2312" s="281" t="s">
        <v>10</v>
      </c>
      <c r="F2312" s="281" t="s">
        <v>8423</v>
      </c>
      <c r="G2312" s="2">
        <v>45237</v>
      </c>
      <c r="H2312" s="281" t="s">
        <v>8590</v>
      </c>
      <c r="I2312" s="1">
        <v>73303</v>
      </c>
      <c r="J2312" s="290" t="s">
        <v>8591</v>
      </c>
      <c r="K2312" s="2"/>
      <c r="L2312" s="281" t="s">
        <v>364</v>
      </c>
      <c r="M2312" s="281" t="s">
        <v>364</v>
      </c>
      <c r="N2312" s="281" t="s">
        <v>364</v>
      </c>
      <c r="O2312" s="281" t="s">
        <v>364</v>
      </c>
      <c r="P2312" s="489" t="s">
        <v>8592</v>
      </c>
      <c r="Q2312" s="285"/>
      <c r="R2312" s="1"/>
      <c r="S2312" s="1">
        <f t="shared" si="2"/>
        <v>1</v>
      </c>
      <c r="T2312" s="512" t="e">
        <f>_xlfn.XLOOKUP(H2312,#REF!,#REF!,0,0)</f>
        <v>#REF!</v>
      </c>
    </row>
    <row r="2313" spans="1:20" s="294" customFormat="1" ht="18" customHeight="1" x14ac:dyDescent="0.4">
      <c r="A2313" s="290" t="s">
        <v>8593</v>
      </c>
      <c r="B2313" s="292" t="s">
        <v>8594</v>
      </c>
      <c r="C2313" s="290" t="s">
        <v>435</v>
      </c>
      <c r="D2313" s="290" t="s">
        <v>693</v>
      </c>
      <c r="E2313" s="290" t="s">
        <v>10</v>
      </c>
      <c r="F2313" s="290" t="s">
        <v>8423</v>
      </c>
      <c r="G2313" s="311">
        <v>45237</v>
      </c>
      <c r="H2313" s="290" t="s">
        <v>8595</v>
      </c>
      <c r="I2313" s="290">
        <v>73299</v>
      </c>
      <c r="J2313" s="290" t="s">
        <v>8596</v>
      </c>
      <c r="K2313" s="311">
        <v>45299</v>
      </c>
      <c r="L2313" s="290" t="s">
        <v>364</v>
      </c>
      <c r="M2313" s="290" t="s">
        <v>364</v>
      </c>
      <c r="N2313" s="290" t="s">
        <v>364</v>
      </c>
      <c r="O2313" s="290" t="s">
        <v>364</v>
      </c>
      <c r="P2313" s="490" t="s">
        <v>7768</v>
      </c>
      <c r="Q2313" s="285"/>
      <c r="R2313" s="290"/>
      <c r="S2313" s="1">
        <f t="shared" si="2"/>
        <v>1</v>
      </c>
      <c r="T2313" s="512" t="e">
        <f>_xlfn.XLOOKUP(H2313,#REF!,#REF!,0,0)</f>
        <v>#REF!</v>
      </c>
    </row>
    <row r="2314" spans="1:20" s="294" customFormat="1" ht="18" customHeight="1" x14ac:dyDescent="0.4">
      <c r="A2314" s="290" t="s">
        <v>8597</v>
      </c>
      <c r="B2314" s="292" t="s">
        <v>8598</v>
      </c>
      <c r="C2314" s="290" t="s">
        <v>435</v>
      </c>
      <c r="D2314" s="290" t="s">
        <v>8127</v>
      </c>
      <c r="E2314" s="290" t="s">
        <v>10</v>
      </c>
      <c r="F2314" s="290" t="s">
        <v>8423</v>
      </c>
      <c r="G2314" s="311">
        <v>45237</v>
      </c>
      <c r="H2314" s="290" t="s">
        <v>8599</v>
      </c>
      <c r="I2314" s="290">
        <v>73300</v>
      </c>
      <c r="J2314" s="290" t="s">
        <v>8600</v>
      </c>
      <c r="K2314" s="311">
        <v>45299</v>
      </c>
      <c r="L2314" s="290" t="s">
        <v>364</v>
      </c>
      <c r="M2314" s="290" t="s">
        <v>364</v>
      </c>
      <c r="N2314" s="290" t="s">
        <v>364</v>
      </c>
      <c r="O2314" s="290" t="s">
        <v>364</v>
      </c>
      <c r="P2314" s="490" t="s">
        <v>7768</v>
      </c>
      <c r="Q2314" s="285"/>
      <c r="R2314" s="290"/>
      <c r="S2314" s="1">
        <f t="shared" si="2"/>
        <v>1</v>
      </c>
      <c r="T2314" s="512" t="e">
        <f>_xlfn.XLOOKUP(H2314,#REF!,#REF!,0,0)</f>
        <v>#REF!</v>
      </c>
    </row>
    <row r="2315" spans="1:20" s="295" customFormat="1" ht="18" customHeight="1" x14ac:dyDescent="0.4">
      <c r="A2315" s="5" t="s">
        <v>8601</v>
      </c>
      <c r="B2315" s="5" t="s">
        <v>8602</v>
      </c>
      <c r="C2315" s="5" t="s">
        <v>435</v>
      </c>
      <c r="D2315" s="5" t="s">
        <v>8127</v>
      </c>
      <c r="E2315" s="5" t="s">
        <v>10</v>
      </c>
      <c r="F2315" s="5" t="s">
        <v>8423</v>
      </c>
      <c r="G2315" s="4">
        <v>45237</v>
      </c>
      <c r="H2315" s="5" t="s">
        <v>8603</v>
      </c>
      <c r="I2315" s="3">
        <v>73309</v>
      </c>
      <c r="J2315" s="5" t="s">
        <v>8604</v>
      </c>
      <c r="K2315" s="4">
        <v>45300</v>
      </c>
      <c r="L2315" s="5" t="s">
        <v>570</v>
      </c>
      <c r="M2315" s="5" t="s">
        <v>570</v>
      </c>
      <c r="N2315" s="5" t="s">
        <v>570</v>
      </c>
      <c r="O2315" s="5" t="s">
        <v>570</v>
      </c>
      <c r="P2315" s="474" t="s">
        <v>8578</v>
      </c>
      <c r="Q2315" s="285"/>
      <c r="R2315" s="3"/>
      <c r="S2315" s="1">
        <f t="shared" si="2"/>
        <v>1</v>
      </c>
      <c r="T2315" s="512" t="e">
        <f>_xlfn.XLOOKUP(H2315,#REF!,#REF!,0,0)</f>
        <v>#REF!</v>
      </c>
    </row>
    <row r="2316" spans="1:20" s="295" customFormat="1" ht="18" customHeight="1" x14ac:dyDescent="0.4">
      <c r="A2316" s="5" t="s">
        <v>8605</v>
      </c>
      <c r="B2316" s="5" t="s">
        <v>8606</v>
      </c>
      <c r="C2316" s="5" t="s">
        <v>435</v>
      </c>
      <c r="D2316" s="5" t="s">
        <v>693</v>
      </c>
      <c r="E2316" s="5" t="s">
        <v>10</v>
      </c>
      <c r="F2316" s="5" t="s">
        <v>8423</v>
      </c>
      <c r="G2316" s="4">
        <v>45237</v>
      </c>
      <c r="H2316" s="5" t="s">
        <v>8607</v>
      </c>
      <c r="I2316" s="3">
        <v>73310</v>
      </c>
      <c r="J2316" s="5" t="s">
        <v>8608</v>
      </c>
      <c r="K2316" s="4"/>
      <c r="L2316" s="5" t="s">
        <v>570</v>
      </c>
      <c r="M2316" s="5" t="s">
        <v>570</v>
      </c>
      <c r="N2316" s="5" t="s">
        <v>570</v>
      </c>
      <c r="O2316" s="5" t="s">
        <v>570</v>
      </c>
      <c r="P2316" s="474"/>
      <c r="Q2316" s="285"/>
      <c r="R2316" s="3"/>
      <c r="S2316" s="1">
        <f t="shared" si="2"/>
        <v>1</v>
      </c>
      <c r="T2316" s="512" t="e">
        <f>_xlfn.XLOOKUP(H2316,#REF!,#REF!,0,0)</f>
        <v>#REF!</v>
      </c>
    </row>
    <row r="2317" spans="1:20" s="511" customFormat="1" x14ac:dyDescent="0.4">
      <c r="A2317" s="66" t="s">
        <v>8609</v>
      </c>
      <c r="B2317" s="1" t="s">
        <v>8610</v>
      </c>
      <c r="C2317" s="66" t="s">
        <v>435</v>
      </c>
      <c r="D2317" s="66" t="s">
        <v>693</v>
      </c>
      <c r="E2317" s="66"/>
      <c r="F2317" s="66" t="s">
        <v>8423</v>
      </c>
      <c r="G2317" s="15"/>
      <c r="H2317" s="66" t="s">
        <v>7462</v>
      </c>
      <c r="I2317" s="66">
        <v>72446</v>
      </c>
      <c r="J2317" s="66"/>
      <c r="K2317" s="15">
        <v>45306</v>
      </c>
      <c r="L2317" s="5" t="s">
        <v>570</v>
      </c>
      <c r="M2317" s="5" t="s">
        <v>570</v>
      </c>
      <c r="N2317" s="5" t="s">
        <v>570</v>
      </c>
      <c r="O2317" s="5" t="s">
        <v>570</v>
      </c>
      <c r="P2317" s="421" t="s">
        <v>8611</v>
      </c>
      <c r="Q2317" s="66"/>
      <c r="R2317" s="66"/>
      <c r="S2317" s="1">
        <f t="shared" si="2"/>
        <v>1</v>
      </c>
      <c r="T2317" s="512" t="e">
        <f>_xlfn.XLOOKUP(H2317,#REF!,#REF!,0,0)</f>
        <v>#REF!</v>
      </c>
    </row>
    <row r="2318" spans="1:20" s="105" customFormat="1" x14ac:dyDescent="0.4">
      <c r="A2318" s="66" t="s">
        <v>8612</v>
      </c>
      <c r="B2318" s="66" t="s">
        <v>8613</v>
      </c>
      <c r="C2318" s="66" t="s">
        <v>435</v>
      </c>
      <c r="D2318" s="66" t="s">
        <v>8127</v>
      </c>
      <c r="E2318" s="66"/>
      <c r="F2318" s="66" t="s">
        <v>244</v>
      </c>
      <c r="G2318" s="66"/>
      <c r="H2318" s="66" t="s">
        <v>293</v>
      </c>
      <c r="I2318" s="66">
        <v>71372</v>
      </c>
      <c r="J2318" s="66"/>
      <c r="K2318" s="15">
        <v>45306</v>
      </c>
      <c r="L2318" s="5" t="s">
        <v>570</v>
      </c>
      <c r="M2318" s="5" t="s">
        <v>570</v>
      </c>
      <c r="N2318" s="5" t="s">
        <v>570</v>
      </c>
      <c r="O2318" s="5" t="s">
        <v>570</v>
      </c>
      <c r="P2318" s="421" t="s">
        <v>8614</v>
      </c>
      <c r="Q2318" s="66"/>
      <c r="R2318" s="66"/>
      <c r="S2318" s="1">
        <f t="shared" si="2"/>
        <v>1</v>
      </c>
      <c r="T2318" s="512" t="e">
        <f>_xlfn.XLOOKUP(H2318,#REF!,#REF!,0,0)</f>
        <v>#REF!</v>
      </c>
    </row>
    <row r="2319" spans="1:20" s="105" customFormat="1" x14ac:dyDescent="0.4">
      <c r="A2319" s="66" t="s">
        <v>8615</v>
      </c>
      <c r="B2319" s="66" t="s">
        <v>8616</v>
      </c>
      <c r="C2319" s="66" t="s">
        <v>435</v>
      </c>
      <c r="D2319" s="66" t="s">
        <v>693</v>
      </c>
      <c r="E2319" s="66"/>
      <c r="F2319" s="66" t="s">
        <v>244</v>
      </c>
      <c r="G2319" s="66"/>
      <c r="H2319" s="66" t="s">
        <v>302</v>
      </c>
      <c r="I2319" s="66">
        <v>72241</v>
      </c>
      <c r="J2319" s="66"/>
      <c r="K2319" s="15">
        <v>45306</v>
      </c>
      <c r="L2319" s="5" t="s">
        <v>570</v>
      </c>
      <c r="M2319" s="5" t="s">
        <v>570</v>
      </c>
      <c r="N2319" s="5" t="s">
        <v>570</v>
      </c>
      <c r="O2319" s="5" t="s">
        <v>570</v>
      </c>
      <c r="P2319" s="421" t="s">
        <v>8617</v>
      </c>
      <c r="Q2319" s="66"/>
      <c r="R2319" s="66"/>
      <c r="S2319" s="1">
        <f t="shared" si="2"/>
        <v>1</v>
      </c>
      <c r="T2319" s="512" t="e">
        <f>_xlfn.XLOOKUP(H2319,#REF!,#REF!,0,0)</f>
        <v>#REF!</v>
      </c>
    </row>
    <row r="2320" spans="1:20" s="295" customFormat="1" ht="18" customHeight="1" x14ac:dyDescent="0.4">
      <c r="A2320" s="1" t="s">
        <v>8618</v>
      </c>
      <c r="B2320" s="1" t="s">
        <v>8619</v>
      </c>
      <c r="C2320" s="1" t="s">
        <v>435</v>
      </c>
      <c r="D2320" s="1" t="s">
        <v>8127</v>
      </c>
      <c r="E2320" s="1" t="s">
        <v>3785</v>
      </c>
      <c r="F2320" s="1" t="s">
        <v>8409</v>
      </c>
      <c r="G2320" s="2">
        <v>45243</v>
      </c>
      <c r="H2320" s="1" t="s">
        <v>8620</v>
      </c>
      <c r="I2320" s="1">
        <v>73335</v>
      </c>
      <c r="J2320" s="1" t="s">
        <v>8621</v>
      </c>
      <c r="K2320" s="2"/>
      <c r="L2320" s="5" t="s">
        <v>570</v>
      </c>
      <c r="M2320" s="5" t="s">
        <v>570</v>
      </c>
      <c r="N2320" s="5" t="s">
        <v>570</v>
      </c>
      <c r="O2320" s="5" t="s">
        <v>570</v>
      </c>
      <c r="P2320" s="487"/>
      <c r="Q2320" s="1"/>
      <c r="R2320" s="1"/>
      <c r="S2320" s="1">
        <f t="shared" si="2"/>
        <v>1</v>
      </c>
      <c r="T2320" s="512" t="e">
        <f>_xlfn.XLOOKUP(H2320,#REF!,#REF!,0,0)</f>
        <v>#REF!</v>
      </c>
    </row>
    <row r="2321" spans="1:20" s="295" customFormat="1" ht="18" customHeight="1" x14ac:dyDescent="0.4">
      <c r="A2321" s="1" t="s">
        <v>8622</v>
      </c>
      <c r="B2321" s="1" t="s">
        <v>8623</v>
      </c>
      <c r="C2321" s="1" t="s">
        <v>435</v>
      </c>
      <c r="D2321" s="1" t="s">
        <v>8127</v>
      </c>
      <c r="E2321" s="1" t="s">
        <v>3785</v>
      </c>
      <c r="F2321" s="1" t="s">
        <v>8409</v>
      </c>
      <c r="G2321" s="2">
        <v>45243</v>
      </c>
      <c r="H2321" s="1" t="s">
        <v>8624</v>
      </c>
      <c r="I2321" s="1">
        <v>73329</v>
      </c>
      <c r="J2321" s="1" t="s">
        <v>8625</v>
      </c>
      <c r="K2321" s="2">
        <v>45299</v>
      </c>
      <c r="L2321" s="1" t="s">
        <v>364</v>
      </c>
      <c r="M2321" s="1" t="s">
        <v>364</v>
      </c>
      <c r="N2321" s="1" t="s">
        <v>364</v>
      </c>
      <c r="O2321" s="1" t="s">
        <v>364</v>
      </c>
      <c r="P2321" s="487" t="s">
        <v>6278</v>
      </c>
      <c r="Q2321" s="1"/>
      <c r="R2321" s="1"/>
      <c r="S2321" s="1">
        <f t="shared" si="2"/>
        <v>1</v>
      </c>
      <c r="T2321" s="512" t="e">
        <f>_xlfn.XLOOKUP(H2321,#REF!,#REF!,0,0)</f>
        <v>#REF!</v>
      </c>
    </row>
    <row r="2322" spans="1:20" s="295" customFormat="1" ht="18" customHeight="1" x14ac:dyDescent="0.4">
      <c r="A2322" s="1" t="s">
        <v>8626</v>
      </c>
      <c r="B2322" s="1" t="s">
        <v>8627</v>
      </c>
      <c r="C2322" s="281" t="s">
        <v>433</v>
      </c>
      <c r="D2322" s="1" t="s">
        <v>693</v>
      </c>
      <c r="E2322" s="1" t="s">
        <v>3785</v>
      </c>
      <c r="F2322" s="1" t="s">
        <v>8409</v>
      </c>
      <c r="G2322" s="2">
        <v>45243</v>
      </c>
      <c r="H2322" s="1" t="s">
        <v>8628</v>
      </c>
      <c r="I2322" s="1">
        <v>73337</v>
      </c>
      <c r="J2322" s="1" t="s">
        <v>8629</v>
      </c>
      <c r="K2322" s="2">
        <v>45308</v>
      </c>
      <c r="L2322" s="1" t="s">
        <v>364</v>
      </c>
      <c r="M2322" s="1" t="s">
        <v>364</v>
      </c>
      <c r="N2322" s="1" t="s">
        <v>364</v>
      </c>
      <c r="O2322" s="1" t="s">
        <v>364</v>
      </c>
      <c r="P2322" s="487" t="s">
        <v>8630</v>
      </c>
      <c r="Q2322" s="1"/>
      <c r="R2322" s="1"/>
      <c r="S2322" s="1">
        <f t="shared" si="2"/>
        <v>1</v>
      </c>
      <c r="T2322" s="512" t="e">
        <f>_xlfn.XLOOKUP(H2322,#REF!,#REF!,0,0)</f>
        <v>#REF!</v>
      </c>
    </row>
    <row r="2323" spans="1:20" s="295" customFormat="1" ht="18" customHeight="1" x14ac:dyDescent="0.4">
      <c r="A2323" s="1" t="s">
        <v>8631</v>
      </c>
      <c r="B2323" s="1" t="s">
        <v>8632</v>
      </c>
      <c r="C2323" s="281" t="s">
        <v>433</v>
      </c>
      <c r="D2323" s="1" t="s">
        <v>8127</v>
      </c>
      <c r="E2323" s="1" t="s">
        <v>3785</v>
      </c>
      <c r="F2323" s="1" t="s">
        <v>8409</v>
      </c>
      <c r="G2323" s="2">
        <v>45243</v>
      </c>
      <c r="H2323" s="1" t="s">
        <v>8633</v>
      </c>
      <c r="I2323" s="1">
        <v>73336</v>
      </c>
      <c r="J2323" s="1" t="s">
        <v>8634</v>
      </c>
      <c r="K2323" s="2"/>
      <c r="L2323" s="1" t="s">
        <v>364</v>
      </c>
      <c r="M2323" s="1" t="s">
        <v>364</v>
      </c>
      <c r="N2323" s="1" t="s">
        <v>364</v>
      </c>
      <c r="O2323" s="1" t="s">
        <v>364</v>
      </c>
      <c r="P2323" s="487" t="s">
        <v>6262</v>
      </c>
      <c r="Q2323" s="1"/>
      <c r="R2323" s="1"/>
      <c r="S2323" s="1">
        <f t="shared" si="2"/>
        <v>1</v>
      </c>
      <c r="T2323" s="512" t="e">
        <f>_xlfn.XLOOKUP(H2323,#REF!,#REF!,0,0)</f>
        <v>#REF!</v>
      </c>
    </row>
    <row r="2324" spans="1:20" s="512" customFormat="1" x14ac:dyDescent="0.4">
      <c r="A2324" s="66" t="s">
        <v>8635</v>
      </c>
      <c r="B2324" s="66" t="s">
        <v>8636</v>
      </c>
      <c r="C2324" s="66" t="s">
        <v>433</v>
      </c>
      <c r="D2324" s="66" t="s">
        <v>693</v>
      </c>
      <c r="E2324" s="66" t="s">
        <v>10</v>
      </c>
      <c r="F2324" s="66" t="s">
        <v>8637</v>
      </c>
      <c r="G2324" s="66"/>
      <c r="H2324" s="66" t="s">
        <v>7609</v>
      </c>
      <c r="I2324" s="66">
        <v>72780</v>
      </c>
      <c r="J2324" s="66"/>
      <c r="K2324" s="15">
        <v>45308</v>
      </c>
      <c r="L2324" s="1" t="s">
        <v>364</v>
      </c>
      <c r="M2324" s="1" t="s">
        <v>364</v>
      </c>
      <c r="N2324" s="1" t="s">
        <v>364</v>
      </c>
      <c r="O2324" s="1" t="s">
        <v>364</v>
      </c>
      <c r="P2324" s="421"/>
      <c r="Q2324" s="66"/>
      <c r="R2324" s="66"/>
      <c r="S2324" s="1">
        <f t="shared" si="2"/>
        <v>1</v>
      </c>
      <c r="T2324" s="512" t="e">
        <f>_xlfn.XLOOKUP(H2324,#REF!,#REF!,0,0)</f>
        <v>#REF!</v>
      </c>
    </row>
    <row r="2325" spans="1:20" s="510" customFormat="1" ht="18" customHeight="1" x14ac:dyDescent="0.4">
      <c r="A2325" s="9" t="s">
        <v>8638</v>
      </c>
      <c r="B2325" s="3" t="s">
        <v>8639</v>
      </c>
      <c r="C2325" s="9" t="s">
        <v>433</v>
      </c>
      <c r="D2325" s="9" t="s">
        <v>8127</v>
      </c>
      <c r="E2325" s="9" t="s">
        <v>10</v>
      </c>
      <c r="F2325" s="9" t="s">
        <v>8423</v>
      </c>
      <c r="G2325" s="17">
        <v>45237</v>
      </c>
      <c r="H2325" s="9" t="s">
        <v>8640</v>
      </c>
      <c r="I2325" s="285">
        <v>73293</v>
      </c>
      <c r="J2325" s="9" t="s">
        <v>527</v>
      </c>
      <c r="K2325" s="17">
        <v>45310</v>
      </c>
      <c r="L2325" s="1" t="s">
        <v>364</v>
      </c>
      <c r="M2325" s="1" t="s">
        <v>364</v>
      </c>
      <c r="N2325" s="1" t="s">
        <v>364</v>
      </c>
      <c r="O2325" s="1" t="s">
        <v>364</v>
      </c>
      <c r="P2325" s="485" t="s">
        <v>8641</v>
      </c>
      <c r="Q2325" s="285"/>
      <c r="R2325" s="285"/>
      <c r="S2325" s="1">
        <f t="shared" si="2"/>
        <v>1</v>
      </c>
      <c r="T2325" s="512" t="e">
        <f>_xlfn.XLOOKUP(H2325,#REF!,#REF!,0,0)</f>
        <v>#REF!</v>
      </c>
    </row>
    <row r="2326" spans="1:20" s="295" customFormat="1" ht="18" customHeight="1" x14ac:dyDescent="0.4">
      <c r="A2326" s="1" t="s">
        <v>8642</v>
      </c>
      <c r="B2326" s="1" t="s">
        <v>8643</v>
      </c>
      <c r="C2326" s="1" t="s">
        <v>433</v>
      </c>
      <c r="D2326" s="1" t="s">
        <v>693</v>
      </c>
      <c r="E2326" s="1" t="s">
        <v>3785</v>
      </c>
      <c r="F2326" s="1" t="s">
        <v>8409</v>
      </c>
      <c r="G2326" s="2">
        <v>45243</v>
      </c>
      <c r="H2326" s="1" t="s">
        <v>8644</v>
      </c>
      <c r="I2326" s="1">
        <v>73330</v>
      </c>
      <c r="J2326" s="1" t="s">
        <v>8645</v>
      </c>
      <c r="K2326" s="2" t="s">
        <v>8646</v>
      </c>
      <c r="L2326" s="1" t="s">
        <v>364</v>
      </c>
      <c r="M2326" s="1" t="s">
        <v>364</v>
      </c>
      <c r="N2326" s="1" t="s">
        <v>364</v>
      </c>
      <c r="O2326" s="1" t="s">
        <v>364</v>
      </c>
      <c r="P2326" s="487"/>
      <c r="Q2326" s="1"/>
      <c r="R2326" s="1"/>
      <c r="S2326" s="1">
        <f t="shared" si="2"/>
        <v>1</v>
      </c>
      <c r="T2326" s="512" t="e">
        <f>_xlfn.XLOOKUP(H2326,#REF!,#REF!,0,0)</f>
        <v>#REF!</v>
      </c>
    </row>
    <row r="2327" spans="1:20" s="295" customFormat="1" ht="18" customHeight="1" x14ac:dyDescent="0.4">
      <c r="A2327" s="1" t="s">
        <v>8647</v>
      </c>
      <c r="B2327" s="1" t="s">
        <v>8648</v>
      </c>
      <c r="C2327" s="2" t="s">
        <v>433</v>
      </c>
      <c r="D2327" s="1" t="s">
        <v>693</v>
      </c>
      <c r="E2327" s="1" t="s">
        <v>3785</v>
      </c>
      <c r="F2327" s="1" t="s">
        <v>8409</v>
      </c>
      <c r="G2327" s="2">
        <v>45243</v>
      </c>
      <c r="H2327" s="1" t="s">
        <v>8649</v>
      </c>
      <c r="I2327" s="1">
        <v>73334</v>
      </c>
      <c r="J2327" s="1" t="s">
        <v>8650</v>
      </c>
      <c r="K2327" s="2">
        <v>45313</v>
      </c>
      <c r="L2327" s="1" t="s">
        <v>364</v>
      </c>
      <c r="M2327" s="1" t="s">
        <v>364</v>
      </c>
      <c r="N2327" s="1" t="s">
        <v>364</v>
      </c>
      <c r="O2327" s="1" t="s">
        <v>364</v>
      </c>
      <c r="P2327" s="487" t="s">
        <v>8651</v>
      </c>
      <c r="Q2327" s="1"/>
      <c r="R2327" s="1"/>
      <c r="S2327" s="1">
        <f t="shared" si="2"/>
        <v>1</v>
      </c>
      <c r="T2327" s="512" t="e">
        <f>_xlfn.XLOOKUP(H2327,#REF!,#REF!,0,0)</f>
        <v>#REF!</v>
      </c>
    </row>
    <row r="2328" spans="1:20" s="295" customFormat="1" ht="18" customHeight="1" x14ac:dyDescent="0.4">
      <c r="A2328" s="5" t="s">
        <v>8652</v>
      </c>
      <c r="B2328" s="5" t="s">
        <v>8653</v>
      </c>
      <c r="C2328" s="5" t="s">
        <v>433</v>
      </c>
      <c r="D2328" s="5" t="s">
        <v>693</v>
      </c>
      <c r="E2328" s="5" t="s">
        <v>10</v>
      </c>
      <c r="F2328" s="5" t="s">
        <v>8423</v>
      </c>
      <c r="G2328" s="4">
        <v>45237</v>
      </c>
      <c r="H2328" s="5" t="s">
        <v>8654</v>
      </c>
      <c r="I2328" s="3">
        <v>73311</v>
      </c>
      <c r="J2328" s="5" t="s">
        <v>8655</v>
      </c>
      <c r="K2328" s="4">
        <v>44948</v>
      </c>
      <c r="L2328" s="1" t="s">
        <v>364</v>
      </c>
      <c r="M2328" s="1" t="s">
        <v>364</v>
      </c>
      <c r="N2328" s="1" t="s">
        <v>364</v>
      </c>
      <c r="O2328" s="1" t="s">
        <v>364</v>
      </c>
      <c r="P2328" s="474"/>
      <c r="Q2328" s="285"/>
      <c r="R2328" s="3"/>
      <c r="S2328" s="1">
        <f t="shared" ref="S2328:S2371" si="3">IF(AND(A2328&lt;&gt;"",A2328&lt;&gt;"SCORTA 10"),1,"")</f>
        <v>1</v>
      </c>
      <c r="T2328" s="512" t="e">
        <f>_xlfn.XLOOKUP(H2328,#REF!,#REF!,0,0)</f>
        <v>#REF!</v>
      </c>
    </row>
    <row r="2329" spans="1:20" s="292" customFormat="1" ht="18" customHeight="1" x14ac:dyDescent="0.4">
      <c r="A2329" s="2" t="s">
        <v>8656</v>
      </c>
      <c r="B2329" s="2" t="s">
        <v>8657</v>
      </c>
      <c r="C2329" s="2" t="s">
        <v>435</v>
      </c>
      <c r="D2329" s="2" t="s">
        <v>8127</v>
      </c>
      <c r="E2329" s="2" t="s">
        <v>10</v>
      </c>
      <c r="F2329" s="2" t="s">
        <v>8423</v>
      </c>
      <c r="G2329" s="2">
        <v>45237</v>
      </c>
      <c r="H2329" s="2" t="s">
        <v>8658</v>
      </c>
      <c r="I2329" s="520">
        <v>73312</v>
      </c>
      <c r="J2329" s="2" t="s">
        <v>536</v>
      </c>
      <c r="K2329" s="2">
        <v>45323</v>
      </c>
      <c r="L2329" s="2" t="s">
        <v>364</v>
      </c>
      <c r="M2329" s="2" t="s">
        <v>364</v>
      </c>
      <c r="N2329" s="2" t="s">
        <v>364</v>
      </c>
      <c r="O2329" s="2" t="s">
        <v>364</v>
      </c>
      <c r="P2329" s="488"/>
      <c r="Q2329" s="1"/>
      <c r="R2329" s="1"/>
      <c r="S2329" s="1">
        <f t="shared" si="3"/>
        <v>1</v>
      </c>
      <c r="T2329" s="512" t="e">
        <f>_xlfn.XLOOKUP(H2329,#REF!,#REF!,0,0)</f>
        <v>#REF!</v>
      </c>
    </row>
    <row r="2330" spans="1:20" s="295" customFormat="1" ht="18" customHeight="1" x14ac:dyDescent="0.4">
      <c r="A2330" s="2" t="s">
        <v>8659</v>
      </c>
      <c r="B2330" s="2" t="s">
        <v>8660</v>
      </c>
      <c r="C2330" s="2" t="s">
        <v>433</v>
      </c>
      <c r="D2330" s="2" t="s">
        <v>693</v>
      </c>
      <c r="E2330" s="2" t="s">
        <v>10</v>
      </c>
      <c r="F2330" s="2" t="s">
        <v>8499</v>
      </c>
      <c r="G2330" s="2">
        <v>45237</v>
      </c>
      <c r="H2330" s="2" t="s">
        <v>8661</v>
      </c>
      <c r="I2330" s="1">
        <v>71711</v>
      </c>
      <c r="J2330" s="2" t="s">
        <v>8662</v>
      </c>
      <c r="K2330" s="2">
        <v>45323</v>
      </c>
      <c r="L2330" s="2" t="s">
        <v>364</v>
      </c>
      <c r="M2330" s="2" t="s">
        <v>364</v>
      </c>
      <c r="N2330" s="2" t="s">
        <v>364</v>
      </c>
      <c r="O2330" s="2" t="s">
        <v>364</v>
      </c>
      <c r="P2330" s="488"/>
      <c r="Q2330" s="1"/>
      <c r="R2330" s="1"/>
      <c r="S2330" s="1">
        <f t="shared" si="3"/>
        <v>1</v>
      </c>
      <c r="T2330" s="512" t="e">
        <f>_xlfn.XLOOKUP(H2330,#REF!,#REF!,0,0)</f>
        <v>#REF!</v>
      </c>
    </row>
    <row r="2331" spans="1:20" s="295" customFormat="1" ht="18" customHeight="1" x14ac:dyDescent="0.4">
      <c r="A2331" s="2" t="s">
        <v>8663</v>
      </c>
      <c r="B2331" s="2" t="s">
        <v>8664</v>
      </c>
      <c r="C2331" s="2" t="s">
        <v>435</v>
      </c>
      <c r="D2331" s="2" t="s">
        <v>8127</v>
      </c>
      <c r="E2331" s="2" t="s">
        <v>10</v>
      </c>
      <c r="F2331" s="2" t="s">
        <v>8665</v>
      </c>
      <c r="G2331" s="2">
        <v>45278</v>
      </c>
      <c r="H2331" s="2" t="s">
        <v>8666</v>
      </c>
      <c r="I2331" s="1">
        <v>73614</v>
      </c>
      <c r="J2331" s="2" t="s">
        <v>8667</v>
      </c>
      <c r="K2331" s="2">
        <v>45323</v>
      </c>
      <c r="L2331" s="2" t="s">
        <v>364</v>
      </c>
      <c r="M2331" s="2" t="s">
        <v>364</v>
      </c>
      <c r="N2331" s="2" t="s">
        <v>364</v>
      </c>
      <c r="O2331" s="2" t="s">
        <v>364</v>
      </c>
      <c r="P2331" s="488" t="s">
        <v>8668</v>
      </c>
      <c r="Q2331" s="1"/>
      <c r="R2331" s="1"/>
      <c r="S2331" s="1">
        <f t="shared" si="3"/>
        <v>1</v>
      </c>
      <c r="T2331" s="512" t="e">
        <f>_xlfn.XLOOKUP(H2331,#REF!,#REF!,0,0)</f>
        <v>#REF!</v>
      </c>
    </row>
    <row r="2332" spans="1:20" s="292" customFormat="1" ht="18" customHeight="1" x14ac:dyDescent="0.4">
      <c r="A2332" s="2" t="s">
        <v>8669</v>
      </c>
      <c r="B2332" s="2" t="s">
        <v>8670</v>
      </c>
      <c r="C2332" s="2" t="s">
        <v>435</v>
      </c>
      <c r="D2332" s="2" t="s">
        <v>8127</v>
      </c>
      <c r="E2332" s="2" t="s">
        <v>3785</v>
      </c>
      <c r="F2332" s="2" t="s">
        <v>8671</v>
      </c>
      <c r="G2332" s="2">
        <v>45243</v>
      </c>
      <c r="H2332" s="2" t="s">
        <v>8672</v>
      </c>
      <c r="I2332" s="1">
        <v>73338</v>
      </c>
      <c r="J2332" s="2" t="s">
        <v>552</v>
      </c>
      <c r="K2332" s="2">
        <v>44958</v>
      </c>
      <c r="L2332" s="1" t="s">
        <v>364</v>
      </c>
      <c r="M2332" s="1" t="s">
        <v>364</v>
      </c>
      <c r="N2332" s="1" t="s">
        <v>364</v>
      </c>
      <c r="O2332" s="1" t="s">
        <v>364</v>
      </c>
      <c r="P2332" s="488" t="s">
        <v>8673</v>
      </c>
      <c r="Q2332" s="1"/>
      <c r="R2332" s="1"/>
      <c r="S2332" s="1">
        <f t="shared" si="3"/>
        <v>1</v>
      </c>
      <c r="T2332" s="512" t="e">
        <f>_xlfn.XLOOKUP(H2332,#REF!,#REF!,0,0)</f>
        <v>#REF!</v>
      </c>
    </row>
    <row r="2333" spans="1:20" s="292" customFormat="1" ht="18" customHeight="1" x14ac:dyDescent="0.4">
      <c r="A2333" s="2" t="s">
        <v>8674</v>
      </c>
      <c r="B2333" s="2" t="s">
        <v>8675</v>
      </c>
      <c r="C2333" s="2" t="s">
        <v>435</v>
      </c>
      <c r="D2333" s="2" t="s">
        <v>8127</v>
      </c>
      <c r="E2333" s="2" t="s">
        <v>3785</v>
      </c>
      <c r="F2333" s="2" t="s">
        <v>8671</v>
      </c>
      <c r="G2333" s="2">
        <v>45243</v>
      </c>
      <c r="H2333" s="2" t="s">
        <v>8676</v>
      </c>
      <c r="I2333" s="1">
        <v>73339</v>
      </c>
      <c r="J2333" s="2" t="s">
        <v>8677</v>
      </c>
      <c r="K2333" s="2">
        <v>44958</v>
      </c>
      <c r="L2333" s="1" t="s">
        <v>364</v>
      </c>
      <c r="M2333" s="1" t="s">
        <v>364</v>
      </c>
      <c r="N2333" s="1" t="s">
        <v>364</v>
      </c>
      <c r="O2333" s="1" t="s">
        <v>364</v>
      </c>
      <c r="P2333" s="488"/>
      <c r="Q2333" s="1"/>
      <c r="R2333" s="1"/>
      <c r="S2333" s="1">
        <f t="shared" si="3"/>
        <v>1</v>
      </c>
      <c r="T2333" s="512" t="e">
        <f>_xlfn.XLOOKUP(H2333,#REF!,#REF!,0,0)</f>
        <v>#REF!</v>
      </c>
    </row>
    <row r="2334" spans="1:20" s="295" customFormat="1" ht="18" customHeight="1" x14ac:dyDescent="0.4">
      <c r="A2334" s="2" t="s">
        <v>8678</v>
      </c>
      <c r="B2334" s="2" t="s">
        <v>8679</v>
      </c>
      <c r="C2334" s="2" t="s">
        <v>435</v>
      </c>
      <c r="D2334" s="2" t="s">
        <v>8127</v>
      </c>
      <c r="E2334" s="2" t="s">
        <v>10</v>
      </c>
      <c r="F2334" s="2" t="s">
        <v>8665</v>
      </c>
      <c r="G2334" s="2">
        <v>45278</v>
      </c>
      <c r="H2334" s="2" t="s">
        <v>8680</v>
      </c>
      <c r="I2334" s="1">
        <v>73613</v>
      </c>
      <c r="J2334" s="2" t="s">
        <v>8681</v>
      </c>
      <c r="K2334" s="2">
        <v>45323</v>
      </c>
      <c r="L2334" s="2" t="s">
        <v>364</v>
      </c>
      <c r="M2334" s="2" t="s">
        <v>364</v>
      </c>
      <c r="N2334" s="2" t="s">
        <v>364</v>
      </c>
      <c r="O2334" s="2" t="s">
        <v>364</v>
      </c>
      <c r="P2334" s="488"/>
      <c r="Q2334" s="1"/>
      <c r="R2334" s="1"/>
      <c r="S2334" s="1">
        <f t="shared" si="3"/>
        <v>1</v>
      </c>
      <c r="T2334" s="512" t="e">
        <f>_xlfn.XLOOKUP(H2334,#REF!,#REF!,0,0)</f>
        <v>#REF!</v>
      </c>
    </row>
    <row r="2335" spans="1:20" s="292" customFormat="1" ht="18" customHeight="1" x14ac:dyDescent="0.4">
      <c r="A2335" s="2" t="s">
        <v>8682</v>
      </c>
      <c r="B2335" s="2" t="s">
        <v>8683</v>
      </c>
      <c r="C2335" s="2" t="s">
        <v>435</v>
      </c>
      <c r="D2335" s="2" t="s">
        <v>8127</v>
      </c>
      <c r="E2335" s="2" t="s">
        <v>3785</v>
      </c>
      <c r="F2335" s="2" t="s">
        <v>8684</v>
      </c>
      <c r="G2335" s="2">
        <v>45243</v>
      </c>
      <c r="H2335" s="2" t="s">
        <v>8685</v>
      </c>
      <c r="I2335" s="1">
        <v>73340</v>
      </c>
      <c r="J2335" s="2" t="s">
        <v>8686</v>
      </c>
      <c r="K2335" s="2">
        <v>45323</v>
      </c>
      <c r="L2335" s="2" t="s">
        <v>364</v>
      </c>
      <c r="M2335" s="2" t="s">
        <v>364</v>
      </c>
      <c r="N2335" s="2" t="s">
        <v>364</v>
      </c>
      <c r="O2335" s="2" t="s">
        <v>364</v>
      </c>
      <c r="P2335" s="488" t="s">
        <v>8687</v>
      </c>
      <c r="Q2335" s="1"/>
      <c r="R2335" s="1"/>
      <c r="S2335" s="1">
        <f t="shared" si="3"/>
        <v>1</v>
      </c>
      <c r="T2335" s="512" t="e">
        <f>_xlfn.XLOOKUP(H2335,#REF!,#REF!,0,0)</f>
        <v>#REF!</v>
      </c>
    </row>
    <row r="2336" spans="1:20" s="295" customFormat="1" ht="18" customHeight="1" x14ac:dyDescent="0.4">
      <c r="A2336" s="2" t="s">
        <v>8688</v>
      </c>
      <c r="B2336" s="2" t="s">
        <v>8689</v>
      </c>
      <c r="C2336" s="2" t="s">
        <v>433</v>
      </c>
      <c r="D2336" s="2" t="s">
        <v>8127</v>
      </c>
      <c r="E2336" s="2" t="s">
        <v>10</v>
      </c>
      <c r="F2336" s="2" t="s">
        <v>8671</v>
      </c>
      <c r="G2336" s="2">
        <v>45243</v>
      </c>
      <c r="H2336" s="2" t="s">
        <v>8690</v>
      </c>
      <c r="I2336" s="1">
        <v>73638</v>
      </c>
      <c r="J2336" s="2" t="s">
        <v>8691</v>
      </c>
      <c r="K2336" s="2">
        <v>45323</v>
      </c>
      <c r="L2336" s="2" t="s">
        <v>364</v>
      </c>
      <c r="M2336" s="2" t="s">
        <v>364</v>
      </c>
      <c r="N2336" s="2" t="s">
        <v>364</v>
      </c>
      <c r="O2336" s="2" t="s">
        <v>364</v>
      </c>
      <c r="P2336" s="488" t="s">
        <v>8692</v>
      </c>
      <c r="Q2336" s="1"/>
      <c r="R2336" s="1"/>
      <c r="S2336" s="1">
        <f t="shared" si="3"/>
        <v>1</v>
      </c>
      <c r="T2336" s="512" t="e">
        <f>_xlfn.XLOOKUP(H2336,#REF!,#REF!,0,0)</f>
        <v>#REF!</v>
      </c>
    </row>
    <row r="2337" spans="1:20" s="292" customFormat="1" ht="18" customHeight="1" x14ac:dyDescent="0.4">
      <c r="A2337" s="2" t="s">
        <v>8693</v>
      </c>
      <c r="B2337" s="2" t="s">
        <v>8694</v>
      </c>
      <c r="C2337" s="2" t="s">
        <v>435</v>
      </c>
      <c r="D2337" s="2" t="s">
        <v>8127</v>
      </c>
      <c r="E2337" s="2" t="s">
        <v>10</v>
      </c>
      <c r="F2337" s="2" t="s">
        <v>8695</v>
      </c>
      <c r="G2337" s="2"/>
      <c r="H2337" s="2" t="s">
        <v>8429</v>
      </c>
      <c r="I2337" s="1">
        <v>73291</v>
      </c>
      <c r="J2337" s="2"/>
      <c r="K2337" s="2">
        <v>45323</v>
      </c>
      <c r="L2337" s="2" t="s">
        <v>364</v>
      </c>
      <c r="M2337" s="2" t="s">
        <v>364</v>
      </c>
      <c r="N2337" s="2" t="s">
        <v>364</v>
      </c>
      <c r="O2337" s="2" t="s">
        <v>364</v>
      </c>
      <c r="P2337" s="488"/>
      <c r="Q2337" s="1"/>
      <c r="R2337" s="1"/>
      <c r="S2337" s="1">
        <f t="shared" si="3"/>
        <v>1</v>
      </c>
      <c r="T2337" s="512" t="e">
        <f>_xlfn.XLOOKUP(H2337,#REF!,#REF!,0,0)</f>
        <v>#REF!</v>
      </c>
    </row>
    <row r="2338" spans="1:20" s="511" customFormat="1" x14ac:dyDescent="0.4">
      <c r="A2338" s="66" t="s">
        <v>8696</v>
      </c>
      <c r="B2338" s="1" t="s">
        <v>8697</v>
      </c>
      <c r="C2338" s="66" t="s">
        <v>431</v>
      </c>
      <c r="D2338" s="66" t="s">
        <v>8127</v>
      </c>
      <c r="E2338" s="66" t="s">
        <v>10</v>
      </c>
      <c r="F2338" s="66" t="s">
        <v>8637</v>
      </c>
      <c r="G2338" s="15"/>
      <c r="H2338" s="66" t="s">
        <v>254</v>
      </c>
      <c r="I2338" s="66">
        <v>70601</v>
      </c>
      <c r="J2338" s="66"/>
      <c r="K2338" s="15">
        <v>45299</v>
      </c>
      <c r="L2338" s="66" t="s">
        <v>570</v>
      </c>
      <c r="M2338" s="66" t="s">
        <v>570</v>
      </c>
      <c r="N2338" s="66" t="s">
        <v>570</v>
      </c>
      <c r="O2338" s="66" t="s">
        <v>570</v>
      </c>
      <c r="P2338" s="421"/>
      <c r="Q2338" s="66"/>
      <c r="R2338" s="66"/>
      <c r="S2338" s="1">
        <f t="shared" si="3"/>
        <v>1</v>
      </c>
      <c r="T2338" s="512" t="e">
        <f>_xlfn.XLOOKUP(H2338,#REF!,#REF!,0,0)</f>
        <v>#REF!</v>
      </c>
    </row>
    <row r="2339" spans="1:20" s="292" customFormat="1" ht="18" customHeight="1" x14ac:dyDescent="0.4">
      <c r="A2339" s="2" t="s">
        <v>8698</v>
      </c>
      <c r="B2339" s="2" t="s">
        <v>8699</v>
      </c>
      <c r="C2339" s="2" t="s">
        <v>433</v>
      </c>
      <c r="D2339" s="2" t="s">
        <v>693</v>
      </c>
      <c r="E2339" s="2" t="s">
        <v>3785</v>
      </c>
      <c r="F2339" s="2" t="s">
        <v>8409</v>
      </c>
      <c r="G2339" s="2">
        <v>45243</v>
      </c>
      <c r="H2339" s="2" t="s">
        <v>8700</v>
      </c>
      <c r="I2339" s="1">
        <v>73342</v>
      </c>
      <c r="J2339" s="2" t="s">
        <v>8701</v>
      </c>
      <c r="K2339" s="2">
        <v>45328</v>
      </c>
      <c r="L2339" s="2" t="s">
        <v>364</v>
      </c>
      <c r="M2339" s="2" t="s">
        <v>364</v>
      </c>
      <c r="N2339" s="2" t="s">
        <v>364</v>
      </c>
      <c r="O2339" s="2" t="s">
        <v>364</v>
      </c>
      <c r="P2339" s="488" t="s">
        <v>6651</v>
      </c>
      <c r="Q2339" s="1"/>
      <c r="R2339" s="1"/>
      <c r="S2339" s="1">
        <f t="shared" si="3"/>
        <v>1</v>
      </c>
      <c r="T2339" s="512" t="e">
        <f>_xlfn.XLOOKUP(H2339,#REF!,#REF!,0,0)</f>
        <v>#REF!</v>
      </c>
    </row>
    <row r="2340" spans="1:20" s="292" customFormat="1" ht="18" customHeight="1" x14ac:dyDescent="0.4">
      <c r="A2340" s="2" t="s">
        <v>8702</v>
      </c>
      <c r="B2340" s="2" t="s">
        <v>8703</v>
      </c>
      <c r="C2340" s="2" t="s">
        <v>433</v>
      </c>
      <c r="D2340" s="2" t="s">
        <v>8127</v>
      </c>
      <c r="E2340" s="2" t="s">
        <v>3785</v>
      </c>
      <c r="F2340" s="2" t="s">
        <v>8684</v>
      </c>
      <c r="G2340" s="2">
        <v>45243</v>
      </c>
      <c r="H2340" s="2" t="s">
        <v>8704</v>
      </c>
      <c r="I2340" s="1">
        <v>73341</v>
      </c>
      <c r="J2340" s="2" t="s">
        <v>8705</v>
      </c>
      <c r="K2340" s="2">
        <v>45330</v>
      </c>
      <c r="L2340" s="2" t="s">
        <v>364</v>
      </c>
      <c r="M2340" s="2" t="s">
        <v>364</v>
      </c>
      <c r="N2340" s="2" t="s">
        <v>364</v>
      </c>
      <c r="O2340" s="2" t="s">
        <v>364</v>
      </c>
      <c r="P2340" s="488" t="s">
        <v>8706</v>
      </c>
      <c r="Q2340" s="1"/>
      <c r="R2340" s="1"/>
      <c r="S2340" s="1">
        <f t="shared" si="3"/>
        <v>1</v>
      </c>
      <c r="T2340" s="512" t="e">
        <f>_xlfn.XLOOKUP(H2340,#REF!,#REF!,0,0)</f>
        <v>#REF!</v>
      </c>
    </row>
    <row r="2341" spans="1:20" s="295" customFormat="1" ht="18" customHeight="1" x14ac:dyDescent="0.4">
      <c r="A2341" s="2" t="s">
        <v>8707</v>
      </c>
      <c r="B2341" s="2" t="s">
        <v>8708</v>
      </c>
      <c r="C2341" s="2" t="s">
        <v>433</v>
      </c>
      <c r="D2341" s="2" t="s">
        <v>8127</v>
      </c>
      <c r="E2341" s="2" t="s">
        <v>10</v>
      </c>
      <c r="F2341" s="2" t="s">
        <v>8665</v>
      </c>
      <c r="G2341" s="2">
        <v>45278</v>
      </c>
      <c r="H2341" s="2" t="s">
        <v>8709</v>
      </c>
      <c r="I2341" s="1">
        <v>73615</v>
      </c>
      <c r="J2341" s="2" t="s">
        <v>8710</v>
      </c>
      <c r="K2341" s="2">
        <v>45360</v>
      </c>
      <c r="L2341" s="2" t="s">
        <v>364</v>
      </c>
      <c r="M2341" s="2" t="s">
        <v>364</v>
      </c>
      <c r="N2341" s="2" t="s">
        <v>364</v>
      </c>
      <c r="O2341" s="2" t="s">
        <v>364</v>
      </c>
      <c r="P2341" s="488" t="s">
        <v>7518</v>
      </c>
      <c r="Q2341" s="1"/>
      <c r="R2341" s="1"/>
      <c r="S2341" s="1">
        <f t="shared" si="3"/>
        <v>1</v>
      </c>
      <c r="T2341" s="512" t="e">
        <f>_xlfn.XLOOKUP(H2341,#REF!,#REF!,0,0)</f>
        <v>#REF!</v>
      </c>
    </row>
    <row r="2342" spans="1:20" s="292" customFormat="1" ht="18" customHeight="1" x14ac:dyDescent="0.4">
      <c r="A2342" s="2" t="s">
        <v>8711</v>
      </c>
      <c r="B2342" s="2" t="s">
        <v>8712</v>
      </c>
      <c r="C2342" s="2" t="s">
        <v>433</v>
      </c>
      <c r="D2342" s="2" t="s">
        <v>693</v>
      </c>
      <c r="E2342" s="2" t="s">
        <v>3785</v>
      </c>
      <c r="F2342" s="2" t="s">
        <v>8684</v>
      </c>
      <c r="G2342" s="2">
        <v>45243</v>
      </c>
      <c r="H2342" s="2" t="s">
        <v>8713</v>
      </c>
      <c r="I2342" s="1">
        <v>73343</v>
      </c>
      <c r="J2342" s="2" t="s">
        <v>8714</v>
      </c>
      <c r="K2342" s="2"/>
      <c r="L2342" s="2" t="s">
        <v>570</v>
      </c>
      <c r="M2342" s="2" t="s">
        <v>570</v>
      </c>
      <c r="N2342" s="2" t="s">
        <v>570</v>
      </c>
      <c r="O2342" s="2" t="s">
        <v>570</v>
      </c>
      <c r="P2342" s="488"/>
      <c r="Q2342" s="1"/>
      <c r="R2342" s="1"/>
      <c r="S2342" s="1">
        <f t="shared" si="3"/>
        <v>1</v>
      </c>
      <c r="T2342" s="512" t="e">
        <f>_xlfn.XLOOKUP(H2342,#REF!,#REF!,0,0)</f>
        <v>#REF!</v>
      </c>
    </row>
    <row r="2343" spans="1:20" s="295" customFormat="1" ht="18" customHeight="1" x14ac:dyDescent="0.4">
      <c r="A2343" s="2" t="s">
        <v>8715</v>
      </c>
      <c r="B2343" s="2" t="s">
        <v>8716</v>
      </c>
      <c r="C2343" s="2" t="s">
        <v>433</v>
      </c>
      <c r="D2343" s="2" t="s">
        <v>8127</v>
      </c>
      <c r="E2343" s="2" t="s">
        <v>10</v>
      </c>
      <c r="F2343" s="2" t="s">
        <v>8665</v>
      </c>
      <c r="G2343" s="2">
        <v>45278</v>
      </c>
      <c r="H2343" s="2" t="s">
        <v>8717</v>
      </c>
      <c r="I2343" s="1">
        <v>73616</v>
      </c>
      <c r="J2343" s="2" t="s">
        <v>8718</v>
      </c>
      <c r="K2343" s="2">
        <v>45334</v>
      </c>
      <c r="L2343" s="2" t="s">
        <v>364</v>
      </c>
      <c r="M2343" s="2" t="s">
        <v>364</v>
      </c>
      <c r="N2343" s="2" t="s">
        <v>364</v>
      </c>
      <c r="O2343" s="2" t="s">
        <v>364</v>
      </c>
      <c r="P2343" s="488"/>
      <c r="Q2343" s="1"/>
      <c r="R2343" s="1"/>
      <c r="S2343" s="1">
        <f t="shared" si="3"/>
        <v>1</v>
      </c>
      <c r="T2343" s="512" t="e">
        <f>_xlfn.XLOOKUP(H2343,#REF!,#REF!,0,0)</f>
        <v>#REF!</v>
      </c>
    </row>
    <row r="2344" spans="1:20" s="512" customFormat="1" x14ac:dyDescent="0.4">
      <c r="A2344" s="66" t="s">
        <v>8719</v>
      </c>
      <c r="B2344" s="66" t="s">
        <v>8720</v>
      </c>
      <c r="C2344" s="66" t="s">
        <v>433</v>
      </c>
      <c r="D2344" s="66" t="s">
        <v>693</v>
      </c>
      <c r="E2344" s="66" t="s">
        <v>3016</v>
      </c>
      <c r="F2344" s="66" t="s">
        <v>7735</v>
      </c>
      <c r="G2344" s="66"/>
      <c r="H2344" s="66" t="s">
        <v>8721</v>
      </c>
      <c r="I2344" s="66">
        <v>73366</v>
      </c>
      <c r="J2344" s="66" t="s">
        <v>8722</v>
      </c>
      <c r="K2344" s="66"/>
      <c r="L2344" s="66" t="s">
        <v>364</v>
      </c>
      <c r="M2344" s="66" t="s">
        <v>364</v>
      </c>
      <c r="N2344" s="66" t="s">
        <v>364</v>
      </c>
      <c r="O2344" s="66" t="s">
        <v>364</v>
      </c>
      <c r="P2344" s="421" t="s">
        <v>8723</v>
      </c>
      <c r="Q2344" s="66"/>
      <c r="R2344" s="66"/>
      <c r="S2344" s="1">
        <f t="shared" si="3"/>
        <v>1</v>
      </c>
      <c r="T2344" s="512" t="e">
        <f>_xlfn.XLOOKUP(H2344,#REF!,#REF!,0,0)</f>
        <v>#REF!</v>
      </c>
    </row>
    <row r="2345" spans="1:20" s="295" customFormat="1" ht="18" customHeight="1" x14ac:dyDescent="0.4">
      <c r="A2345" s="2" t="s">
        <v>8724</v>
      </c>
      <c r="B2345" s="304" t="s">
        <v>8725</v>
      </c>
      <c r="C2345" s="2" t="s">
        <v>433</v>
      </c>
      <c r="D2345" s="2" t="s">
        <v>704</v>
      </c>
      <c r="E2345" s="2" t="s">
        <v>10</v>
      </c>
      <c r="F2345" s="2" t="s">
        <v>8671</v>
      </c>
      <c r="G2345" s="2">
        <v>45243</v>
      </c>
      <c r="H2345" s="2" t="s">
        <v>8726</v>
      </c>
      <c r="I2345" s="1">
        <v>73639</v>
      </c>
      <c r="J2345" s="2" t="s">
        <v>8727</v>
      </c>
      <c r="K2345" s="2">
        <v>45334</v>
      </c>
      <c r="L2345" s="2" t="s">
        <v>364</v>
      </c>
      <c r="M2345" s="2" t="s">
        <v>364</v>
      </c>
      <c r="N2345" s="2" t="s">
        <v>364</v>
      </c>
      <c r="O2345" s="2" t="s">
        <v>364</v>
      </c>
      <c r="P2345" s="488" t="s">
        <v>8728</v>
      </c>
      <c r="Q2345" s="1"/>
      <c r="R2345" s="1"/>
      <c r="S2345" s="1">
        <f t="shared" si="3"/>
        <v>1</v>
      </c>
      <c r="T2345" s="512" t="e">
        <f>_xlfn.XLOOKUP(H2345,#REF!,#REF!,0,0)</f>
        <v>#REF!</v>
      </c>
    </row>
    <row r="2346" spans="1:20" s="295" customFormat="1" ht="18" customHeight="1" x14ac:dyDescent="0.4">
      <c r="A2346" s="2" t="s">
        <v>8729</v>
      </c>
      <c r="B2346" s="2" t="s">
        <v>8730</v>
      </c>
      <c r="C2346" s="2" t="s">
        <v>433</v>
      </c>
      <c r="D2346" s="2" t="s">
        <v>8127</v>
      </c>
      <c r="E2346" s="2" t="s">
        <v>10</v>
      </c>
      <c r="F2346" s="2" t="s">
        <v>8665</v>
      </c>
      <c r="G2346" s="2">
        <v>45278</v>
      </c>
      <c r="H2346" s="2" t="s">
        <v>8731</v>
      </c>
      <c r="I2346" s="1">
        <v>73618</v>
      </c>
      <c r="J2346" s="2" t="s">
        <v>8732</v>
      </c>
      <c r="K2346" s="2" t="s">
        <v>8733</v>
      </c>
      <c r="L2346" s="2" t="s">
        <v>364</v>
      </c>
      <c r="M2346" s="2" t="s">
        <v>364</v>
      </c>
      <c r="N2346" s="2" t="s">
        <v>364</v>
      </c>
      <c r="O2346" s="2" t="s">
        <v>364</v>
      </c>
      <c r="P2346" s="488"/>
      <c r="Q2346" s="1"/>
      <c r="R2346" s="1"/>
      <c r="S2346" s="1">
        <f t="shared" si="3"/>
        <v>1</v>
      </c>
      <c r="T2346" s="512" t="e">
        <f>_xlfn.XLOOKUP(H2346,#REF!,#REF!,0,0)</f>
        <v>#REF!</v>
      </c>
    </row>
    <row r="2347" spans="1:20" x14ac:dyDescent="0.4">
      <c r="A2347" s="2" t="s">
        <v>8734</v>
      </c>
      <c r="B2347" s="2" t="s">
        <v>8735</v>
      </c>
      <c r="C2347" s="2" t="s">
        <v>435</v>
      </c>
      <c r="D2347" s="2" t="s">
        <v>8127</v>
      </c>
      <c r="E2347" s="2" t="s">
        <v>10</v>
      </c>
      <c r="F2347" s="2" t="s">
        <v>8423</v>
      </c>
      <c r="G2347" s="2">
        <v>45237</v>
      </c>
      <c r="H2347" s="2" t="s">
        <v>8736</v>
      </c>
      <c r="I2347" s="1">
        <v>73313</v>
      </c>
      <c r="J2347" s="2" t="s">
        <v>8737</v>
      </c>
      <c r="K2347" s="2">
        <v>45335</v>
      </c>
      <c r="L2347" s="2" t="s">
        <v>364</v>
      </c>
      <c r="M2347" s="2" t="s">
        <v>364</v>
      </c>
      <c r="N2347" s="2" t="s">
        <v>364</v>
      </c>
      <c r="O2347" s="2" t="s">
        <v>364</v>
      </c>
      <c r="P2347" s="488" t="s">
        <v>8738</v>
      </c>
      <c r="Q2347" s="1"/>
      <c r="R2347" s="1"/>
      <c r="S2347" s="1">
        <f t="shared" si="3"/>
        <v>1</v>
      </c>
      <c r="T2347" s="500" t="e">
        <f>_xlfn.XLOOKUP(H2347,#REF!,#REF!,0,0)</f>
        <v>#REF!</v>
      </c>
    </row>
    <row r="2348" spans="1:20" s="295" customFormat="1" ht="18" customHeight="1" x14ac:dyDescent="0.4">
      <c r="A2348" s="2" t="s">
        <v>8739</v>
      </c>
      <c r="B2348" s="2" t="s">
        <v>8740</v>
      </c>
      <c r="C2348" s="2" t="s">
        <v>435</v>
      </c>
      <c r="D2348" s="2" t="s">
        <v>8741</v>
      </c>
      <c r="E2348" s="2" t="s">
        <v>10</v>
      </c>
      <c r="F2348" s="2" t="s">
        <v>8665</v>
      </c>
      <c r="G2348" s="2">
        <v>45278</v>
      </c>
      <c r="H2348" s="2" t="s">
        <v>8742</v>
      </c>
      <c r="I2348" s="1">
        <v>73620</v>
      </c>
      <c r="J2348" s="2" t="s">
        <v>8743</v>
      </c>
      <c r="K2348" s="2">
        <v>45341</v>
      </c>
      <c r="L2348" s="2" t="s">
        <v>364</v>
      </c>
      <c r="M2348" s="2" t="s">
        <v>364</v>
      </c>
      <c r="N2348" s="2" t="s">
        <v>364</v>
      </c>
      <c r="O2348" s="2" t="s">
        <v>364</v>
      </c>
      <c r="P2348" s="488"/>
      <c r="Q2348" s="1"/>
      <c r="R2348" s="1"/>
      <c r="S2348" s="1">
        <f t="shared" si="3"/>
        <v>1</v>
      </c>
      <c r="T2348" s="512" t="e">
        <f>_xlfn.XLOOKUP(H2348,#REF!,#REF!,0,0)</f>
        <v>#REF!</v>
      </c>
    </row>
    <row r="2349" spans="1:20" s="295" customFormat="1" ht="18" customHeight="1" x14ac:dyDescent="0.4">
      <c r="A2349" s="2" t="s">
        <v>8744</v>
      </c>
      <c r="B2349" s="2" t="s">
        <v>8745</v>
      </c>
      <c r="C2349" s="2" t="s">
        <v>433</v>
      </c>
      <c r="D2349" s="2" t="s">
        <v>693</v>
      </c>
      <c r="E2349" s="2" t="s">
        <v>10</v>
      </c>
      <c r="F2349" s="2" t="s">
        <v>8665</v>
      </c>
      <c r="G2349" s="2">
        <v>45278</v>
      </c>
      <c r="H2349" s="2" t="s">
        <v>8746</v>
      </c>
      <c r="I2349" s="1">
        <v>73619</v>
      </c>
      <c r="J2349" s="2" t="s">
        <v>8747</v>
      </c>
      <c r="K2349" s="2">
        <v>45341.354166666664</v>
      </c>
      <c r="L2349" s="2" t="s">
        <v>364</v>
      </c>
      <c r="M2349" s="2" t="s">
        <v>364</v>
      </c>
      <c r="N2349" s="2" t="s">
        <v>364</v>
      </c>
      <c r="O2349" s="2" t="s">
        <v>364</v>
      </c>
      <c r="P2349" s="488" t="s">
        <v>8748</v>
      </c>
      <c r="Q2349" s="1"/>
      <c r="R2349" s="1"/>
      <c r="S2349" s="1">
        <f t="shared" si="3"/>
        <v>1</v>
      </c>
      <c r="T2349" s="512" t="e">
        <f>_xlfn.XLOOKUP(H2349,#REF!,#REF!,0,0)</f>
        <v>#REF!</v>
      </c>
    </row>
    <row r="2350" spans="1:20" s="295" customFormat="1" ht="18" customHeight="1" x14ac:dyDescent="0.4">
      <c r="A2350" s="2" t="s">
        <v>8749</v>
      </c>
      <c r="B2350" s="2" t="s">
        <v>8750</v>
      </c>
      <c r="C2350" s="2" t="s">
        <v>435</v>
      </c>
      <c r="D2350" s="2" t="s">
        <v>8127</v>
      </c>
      <c r="E2350" s="2" t="s">
        <v>10</v>
      </c>
      <c r="F2350" s="2" t="s">
        <v>8665</v>
      </c>
      <c r="G2350" s="2">
        <v>45278</v>
      </c>
      <c r="H2350" s="2" t="s">
        <v>8751</v>
      </c>
      <c r="I2350" s="1">
        <v>73612</v>
      </c>
      <c r="J2350" s="2" t="s">
        <v>8752</v>
      </c>
      <c r="K2350" s="2">
        <v>45352</v>
      </c>
      <c r="L2350" s="2" t="s">
        <v>364</v>
      </c>
      <c r="M2350" s="2" t="s">
        <v>364</v>
      </c>
      <c r="N2350" s="2" t="s">
        <v>364</v>
      </c>
      <c r="O2350" s="2" t="s">
        <v>364</v>
      </c>
      <c r="P2350" s="488" t="s">
        <v>8753</v>
      </c>
      <c r="Q2350" s="1"/>
      <c r="R2350" s="1"/>
      <c r="S2350" s="1">
        <f t="shared" si="3"/>
        <v>1</v>
      </c>
      <c r="T2350" s="512" t="e">
        <f>_xlfn.XLOOKUP(H2350,#REF!,#REF!,0,0)</f>
        <v>#REF!</v>
      </c>
    </row>
    <row r="2351" spans="1:20" s="295" customFormat="1" ht="18" customHeight="1" x14ac:dyDescent="0.4">
      <c r="A2351" s="2" t="s">
        <v>8754</v>
      </c>
      <c r="B2351" s="2" t="s">
        <v>8755</v>
      </c>
      <c r="C2351" s="2" t="s">
        <v>433</v>
      </c>
      <c r="D2351" s="2" t="s">
        <v>8127</v>
      </c>
      <c r="E2351" s="2" t="s">
        <v>10</v>
      </c>
      <c r="F2351" s="2" t="s">
        <v>8665</v>
      </c>
      <c r="G2351" s="2">
        <v>45278</v>
      </c>
      <c r="H2351" s="2" t="s">
        <v>8756</v>
      </c>
      <c r="I2351" s="1">
        <v>73617</v>
      </c>
      <c r="J2351" s="2" t="s">
        <v>8757</v>
      </c>
      <c r="K2351" s="2">
        <v>45344</v>
      </c>
      <c r="L2351" s="2" t="s">
        <v>364</v>
      </c>
      <c r="M2351" s="2" t="s">
        <v>364</v>
      </c>
      <c r="N2351" s="2" t="s">
        <v>364</v>
      </c>
      <c r="O2351" s="2" t="s">
        <v>364</v>
      </c>
      <c r="P2351" s="488" t="s">
        <v>8758</v>
      </c>
      <c r="Q2351" s="1"/>
      <c r="R2351" s="1"/>
      <c r="S2351" s="1">
        <f t="shared" si="3"/>
        <v>1</v>
      </c>
      <c r="T2351" s="512" t="e">
        <f>_xlfn.XLOOKUP(H2351,#REF!,#REF!,0,0)</f>
        <v>#REF!</v>
      </c>
    </row>
    <row r="2352" spans="1:20" s="295" customFormat="1" ht="18" customHeight="1" x14ac:dyDescent="0.4">
      <c r="A2352" s="2" t="s">
        <v>8759</v>
      </c>
      <c r="B2352" s="2" t="s">
        <v>8760</v>
      </c>
      <c r="C2352" s="2" t="s">
        <v>433</v>
      </c>
      <c r="D2352" s="2" t="s">
        <v>8127</v>
      </c>
      <c r="E2352" s="2" t="s">
        <v>10</v>
      </c>
      <c r="F2352" s="2" t="s">
        <v>8665</v>
      </c>
      <c r="G2352" s="2">
        <v>45278</v>
      </c>
      <c r="H2352" s="2" t="s">
        <v>8761</v>
      </c>
      <c r="I2352" s="1">
        <v>73621</v>
      </c>
      <c r="J2352" s="2" t="s">
        <v>8762</v>
      </c>
      <c r="K2352" s="2">
        <v>45348</v>
      </c>
      <c r="L2352" s="2" t="s">
        <v>364</v>
      </c>
      <c r="M2352" s="2" t="s">
        <v>364</v>
      </c>
      <c r="N2352" s="2" t="s">
        <v>364</v>
      </c>
      <c r="O2352" s="2" t="s">
        <v>364</v>
      </c>
      <c r="P2352" s="488" t="s">
        <v>8763</v>
      </c>
      <c r="Q2352" s="1"/>
      <c r="R2352" s="1"/>
      <c r="S2352" s="1">
        <f t="shared" si="3"/>
        <v>1</v>
      </c>
      <c r="T2352" s="512" t="e">
        <f>_xlfn.XLOOKUP(H2352,#REF!,#REF!,0,0)</f>
        <v>#REF!</v>
      </c>
    </row>
    <row r="2353" spans="1:20" s="294" customFormat="1" ht="18" customHeight="1" x14ac:dyDescent="0.4">
      <c r="A2353" s="312" t="s">
        <v>8764</v>
      </c>
      <c r="B2353" s="312" t="s">
        <v>8765</v>
      </c>
      <c r="C2353" s="312" t="s">
        <v>433</v>
      </c>
      <c r="D2353" s="312" t="s">
        <v>8127</v>
      </c>
      <c r="E2353" s="312" t="s">
        <v>3785</v>
      </c>
      <c r="F2353" s="312" t="s">
        <v>8766</v>
      </c>
      <c r="G2353" s="313">
        <v>45103</v>
      </c>
      <c r="H2353" s="312" t="s">
        <v>8767</v>
      </c>
      <c r="I2353" s="312">
        <v>71793</v>
      </c>
      <c r="J2353" s="312" t="s">
        <v>8768</v>
      </c>
      <c r="K2353" s="313">
        <v>45345</v>
      </c>
      <c r="L2353" s="312" t="s">
        <v>364</v>
      </c>
      <c r="M2353" s="312" t="s">
        <v>364</v>
      </c>
      <c r="N2353" s="312" t="s">
        <v>364</v>
      </c>
      <c r="O2353" s="312" t="s">
        <v>364</v>
      </c>
      <c r="P2353" s="484" t="s">
        <v>6066</v>
      </c>
      <c r="Q2353" s="312"/>
      <c r="R2353" s="312"/>
      <c r="S2353" s="1">
        <f t="shared" si="3"/>
        <v>1</v>
      </c>
      <c r="T2353" s="512" t="e">
        <f>_xlfn.XLOOKUP(H2353,#REF!,#REF!,0,0)</f>
        <v>#REF!</v>
      </c>
    </row>
    <row r="2354" spans="1:20" s="295" customFormat="1" x14ac:dyDescent="0.4">
      <c r="A2354" s="288" t="s">
        <v>8769</v>
      </c>
      <c r="B2354" s="288" t="s">
        <v>8770</v>
      </c>
      <c r="C2354" s="288" t="s">
        <v>435</v>
      </c>
      <c r="D2354" s="288" t="s">
        <v>693</v>
      </c>
      <c r="E2354" s="288" t="s">
        <v>10</v>
      </c>
      <c r="F2354" s="288" t="s">
        <v>8771</v>
      </c>
      <c r="G2354" s="288">
        <v>45271</v>
      </c>
      <c r="H2354" s="288" t="s">
        <v>8772</v>
      </c>
      <c r="I2354" s="305">
        <v>76003</v>
      </c>
      <c r="J2354" s="288" t="s">
        <v>8773</v>
      </c>
      <c r="K2354" s="288"/>
      <c r="L2354" s="288" t="s">
        <v>570</v>
      </c>
      <c r="M2354" s="288" t="s">
        <v>570</v>
      </c>
      <c r="N2354" s="288" t="s">
        <v>570</v>
      </c>
      <c r="O2354" s="288" t="s">
        <v>570</v>
      </c>
      <c r="P2354" s="491"/>
      <c r="Q2354" s="305"/>
      <c r="R2354" s="305"/>
      <c r="S2354" s="1">
        <f t="shared" si="3"/>
        <v>1</v>
      </c>
      <c r="T2354" s="512" t="e">
        <f>_xlfn.XLOOKUP(H2354,#REF!,#REF!,0,0)</f>
        <v>#REF!</v>
      </c>
    </row>
    <row r="2355" spans="1:20" s="295" customFormat="1" ht="18" customHeight="1" x14ac:dyDescent="0.4">
      <c r="A2355" s="2" t="s">
        <v>8774</v>
      </c>
      <c r="B2355" s="2" t="s">
        <v>8775</v>
      </c>
      <c r="C2355" s="2" t="s">
        <v>433</v>
      </c>
      <c r="D2355" s="2" t="s">
        <v>8741</v>
      </c>
      <c r="E2355" s="2" t="s">
        <v>10</v>
      </c>
      <c r="F2355" s="2" t="s">
        <v>436</v>
      </c>
      <c r="G2355" s="2">
        <v>45243</v>
      </c>
      <c r="H2355" s="2" t="s">
        <v>8776</v>
      </c>
      <c r="I2355" s="1">
        <v>73640</v>
      </c>
      <c r="J2355" s="2" t="s">
        <v>8777</v>
      </c>
      <c r="K2355" s="2"/>
      <c r="L2355" s="2" t="s">
        <v>364</v>
      </c>
      <c r="M2355" s="2" t="s">
        <v>364</v>
      </c>
      <c r="N2355" s="2" t="s">
        <v>364</v>
      </c>
      <c r="O2355" s="2" t="s">
        <v>364</v>
      </c>
      <c r="P2355" s="488"/>
      <c r="Q2355" s="1"/>
      <c r="R2355" s="1"/>
      <c r="S2355" s="1">
        <f t="shared" si="3"/>
        <v>1</v>
      </c>
      <c r="T2355" s="512" t="e">
        <f>_xlfn.XLOOKUP(H2355,#REF!,#REF!,0,0)</f>
        <v>#REF!</v>
      </c>
    </row>
    <row r="2356" spans="1:20" s="292" customFormat="1" ht="18" customHeight="1" x14ac:dyDescent="0.4">
      <c r="A2356" s="2" t="s">
        <v>8778</v>
      </c>
      <c r="B2356" s="2" t="s">
        <v>8779</v>
      </c>
      <c r="C2356" s="2" t="s">
        <v>433</v>
      </c>
      <c r="D2356" s="2" t="s">
        <v>8127</v>
      </c>
      <c r="E2356" s="2" t="s">
        <v>3785</v>
      </c>
      <c r="F2356" s="2" t="s">
        <v>8671</v>
      </c>
      <c r="G2356" s="2">
        <v>45243</v>
      </c>
      <c r="H2356" s="2" t="s">
        <v>8780</v>
      </c>
      <c r="I2356" s="1">
        <v>73345</v>
      </c>
      <c r="J2356" s="2" t="s">
        <v>8781</v>
      </c>
      <c r="K2356" s="2">
        <v>45350</v>
      </c>
      <c r="L2356" s="2" t="s">
        <v>364</v>
      </c>
      <c r="M2356" s="2" t="s">
        <v>364</v>
      </c>
      <c r="N2356" s="2" t="s">
        <v>364</v>
      </c>
      <c r="O2356" s="2" t="s">
        <v>364</v>
      </c>
      <c r="P2356" s="488" t="s">
        <v>8782</v>
      </c>
      <c r="Q2356" s="1"/>
      <c r="R2356" s="1"/>
      <c r="S2356" s="1">
        <f t="shared" si="3"/>
        <v>1</v>
      </c>
      <c r="T2356" s="512" t="e">
        <f>_xlfn.XLOOKUP(H2356,#REF!,#REF!,0,0)</f>
        <v>#REF!</v>
      </c>
    </row>
    <row r="2357" spans="1:20" s="292" customFormat="1" ht="18" customHeight="1" x14ac:dyDescent="0.4">
      <c r="A2357" s="2" t="s">
        <v>8783</v>
      </c>
      <c r="B2357" s="2" t="s">
        <v>8784</v>
      </c>
      <c r="C2357" s="2" t="s">
        <v>433</v>
      </c>
      <c r="D2357" s="2" t="s">
        <v>8127</v>
      </c>
      <c r="E2357" s="2" t="s">
        <v>3785</v>
      </c>
      <c r="F2357" s="2" t="s">
        <v>8671</v>
      </c>
      <c r="G2357" s="2">
        <v>45243</v>
      </c>
      <c r="H2357" s="2" t="s">
        <v>8785</v>
      </c>
      <c r="I2357" s="1">
        <v>73344</v>
      </c>
      <c r="J2357" s="2" t="s">
        <v>8786</v>
      </c>
      <c r="K2357" s="2">
        <v>45352</v>
      </c>
      <c r="L2357" s="2" t="s">
        <v>364</v>
      </c>
      <c r="M2357" s="2" t="s">
        <v>364</v>
      </c>
      <c r="N2357" s="2" t="s">
        <v>364</v>
      </c>
      <c r="O2357" s="2" t="s">
        <v>364</v>
      </c>
      <c r="P2357" s="488" t="s">
        <v>8787</v>
      </c>
      <c r="Q2357" s="1"/>
      <c r="R2357" s="1"/>
      <c r="S2357" s="1">
        <f t="shared" si="3"/>
        <v>1</v>
      </c>
      <c r="T2357" s="512" t="e">
        <f>_xlfn.XLOOKUP(H2357,#REF!,#REF!,0,0)</f>
        <v>#REF!</v>
      </c>
    </row>
    <row r="2358" spans="1:20" s="295" customFormat="1" ht="18" customHeight="1" x14ac:dyDescent="0.4">
      <c r="A2358" s="2" t="s">
        <v>8788</v>
      </c>
      <c r="B2358" s="2" t="s">
        <v>8789</v>
      </c>
      <c r="C2358" s="2" t="s">
        <v>435</v>
      </c>
      <c r="D2358" s="2" t="s">
        <v>8741</v>
      </c>
      <c r="E2358" s="2" t="s">
        <v>10</v>
      </c>
      <c r="F2358" s="2" t="s">
        <v>8665</v>
      </c>
      <c r="G2358" s="2">
        <v>45278</v>
      </c>
      <c r="H2358" s="2" t="s">
        <v>8790</v>
      </c>
      <c r="I2358" s="1">
        <v>73622</v>
      </c>
      <c r="J2358" s="2" t="s">
        <v>8791</v>
      </c>
      <c r="K2358" s="2">
        <v>45352</v>
      </c>
      <c r="L2358" s="2" t="s">
        <v>364</v>
      </c>
      <c r="M2358" s="2" t="s">
        <v>364</v>
      </c>
      <c r="N2358" s="2" t="s">
        <v>364</v>
      </c>
      <c r="O2358" s="2" t="s">
        <v>364</v>
      </c>
      <c r="P2358" s="488" t="s">
        <v>7518</v>
      </c>
      <c r="Q2358" s="1"/>
      <c r="R2358" s="1"/>
      <c r="S2358" s="1">
        <f t="shared" si="3"/>
        <v>1</v>
      </c>
      <c r="T2358" s="512" t="e">
        <f>_xlfn.XLOOKUP(H2358,#REF!,#REF!,0,0)</f>
        <v>#REF!</v>
      </c>
    </row>
    <row r="2359" spans="1:20" s="295" customFormat="1" ht="18" customHeight="1" x14ac:dyDescent="0.4">
      <c r="A2359" s="2" t="s">
        <v>8792</v>
      </c>
      <c r="B2359" s="2" t="s">
        <v>8793</v>
      </c>
      <c r="C2359" s="2" t="s">
        <v>435</v>
      </c>
      <c r="D2359" s="2" t="s">
        <v>8741</v>
      </c>
      <c r="E2359" s="2" t="s">
        <v>10</v>
      </c>
      <c r="F2359" s="2" t="s">
        <v>8665</v>
      </c>
      <c r="G2359" s="2">
        <v>45278</v>
      </c>
      <c r="H2359" s="2" t="s">
        <v>8794</v>
      </c>
      <c r="I2359" s="1">
        <v>73625</v>
      </c>
      <c r="J2359" s="2" t="s">
        <v>8795</v>
      </c>
      <c r="K2359" s="2">
        <v>45352</v>
      </c>
      <c r="L2359" s="2" t="s">
        <v>364</v>
      </c>
      <c r="M2359" s="2" t="s">
        <v>364</v>
      </c>
      <c r="N2359" s="2" t="s">
        <v>364</v>
      </c>
      <c r="O2359" s="2" t="s">
        <v>364</v>
      </c>
      <c r="P2359" s="488"/>
      <c r="Q2359" s="1"/>
      <c r="R2359" s="1"/>
      <c r="S2359" s="1">
        <f t="shared" si="3"/>
        <v>1</v>
      </c>
      <c r="T2359" s="512" t="e">
        <f>_xlfn.XLOOKUP(H2359,#REF!,#REF!,0,0)</f>
        <v>#REF!</v>
      </c>
    </row>
    <row r="2360" spans="1:20" s="295" customFormat="1" ht="18" customHeight="1" x14ac:dyDescent="0.4">
      <c r="A2360" s="2" t="s">
        <v>8796</v>
      </c>
      <c r="B2360" s="2" t="s">
        <v>8797</v>
      </c>
      <c r="C2360" s="2" t="s">
        <v>435</v>
      </c>
      <c r="D2360" s="2" t="s">
        <v>8741</v>
      </c>
      <c r="E2360" s="2" t="s">
        <v>10</v>
      </c>
      <c r="F2360" s="2" t="s">
        <v>362</v>
      </c>
      <c r="G2360" s="2">
        <v>45281</v>
      </c>
      <c r="H2360" s="2" t="s">
        <v>8798</v>
      </c>
      <c r="I2360" s="1">
        <v>73665</v>
      </c>
      <c r="J2360" s="2" t="s">
        <v>8799</v>
      </c>
      <c r="K2360" s="2">
        <v>45352</v>
      </c>
      <c r="L2360" s="2" t="s">
        <v>364</v>
      </c>
      <c r="M2360" s="2" t="s">
        <v>364</v>
      </c>
      <c r="N2360" s="2" t="s">
        <v>364</v>
      </c>
      <c r="O2360" s="2" t="s">
        <v>364</v>
      </c>
      <c r="P2360" s="488" t="s">
        <v>8800</v>
      </c>
      <c r="Q2360" s="1"/>
      <c r="R2360" s="1"/>
      <c r="S2360" s="1">
        <f t="shared" si="3"/>
        <v>1</v>
      </c>
      <c r="T2360" s="512" t="e">
        <f>_xlfn.XLOOKUP(H2360,#REF!,#REF!,0,0)</f>
        <v>#REF!</v>
      </c>
    </row>
    <row r="2361" spans="1:20" s="295" customFormat="1" ht="18" customHeight="1" x14ac:dyDescent="0.4">
      <c r="A2361" s="2" t="s">
        <v>8801</v>
      </c>
      <c r="B2361" s="2" t="s">
        <v>8802</v>
      </c>
      <c r="C2361" s="2" t="s">
        <v>435</v>
      </c>
      <c r="D2361" s="2" t="s">
        <v>8741</v>
      </c>
      <c r="E2361" s="2" t="s">
        <v>10</v>
      </c>
      <c r="F2361" s="2" t="s">
        <v>8665</v>
      </c>
      <c r="G2361" s="2">
        <v>45278</v>
      </c>
      <c r="H2361" s="2" t="s">
        <v>8803</v>
      </c>
      <c r="I2361" s="1">
        <v>73624</v>
      </c>
      <c r="J2361" s="2" t="s">
        <v>8804</v>
      </c>
      <c r="K2361" s="2">
        <v>45355</v>
      </c>
      <c r="L2361" s="2" t="s">
        <v>364</v>
      </c>
      <c r="M2361" s="2" t="s">
        <v>364</v>
      </c>
      <c r="N2361" s="2" t="s">
        <v>364</v>
      </c>
      <c r="O2361" s="2" t="s">
        <v>364</v>
      </c>
      <c r="P2361" s="488" t="s">
        <v>8805</v>
      </c>
      <c r="Q2361" s="1"/>
      <c r="R2361" s="1"/>
      <c r="S2361" s="1">
        <f t="shared" si="3"/>
        <v>1</v>
      </c>
      <c r="T2361" s="512" t="e">
        <f>_xlfn.XLOOKUP(H2361,#REF!,#REF!,0,0)</f>
        <v>#REF!</v>
      </c>
    </row>
    <row r="2362" spans="1:20" s="295" customFormat="1" ht="18" customHeight="1" x14ac:dyDescent="0.4">
      <c r="A2362" s="2" t="s">
        <v>8806</v>
      </c>
      <c r="B2362" s="2" t="s">
        <v>8807</v>
      </c>
      <c r="C2362" s="2" t="s">
        <v>433</v>
      </c>
      <c r="D2362" s="2" t="s">
        <v>693</v>
      </c>
      <c r="E2362" s="2" t="s">
        <v>10</v>
      </c>
      <c r="F2362" s="2" t="s">
        <v>8808</v>
      </c>
      <c r="G2362" s="2">
        <v>45237</v>
      </c>
      <c r="H2362" s="2" t="s">
        <v>363</v>
      </c>
      <c r="I2362" s="1">
        <v>71712</v>
      </c>
      <c r="J2362" s="2"/>
      <c r="K2362" s="2"/>
      <c r="L2362" s="315" t="s">
        <v>364</v>
      </c>
      <c r="M2362" s="315" t="s">
        <v>364</v>
      </c>
      <c r="N2362" s="315" t="s">
        <v>364</v>
      </c>
      <c r="O2362" s="315" t="s">
        <v>364</v>
      </c>
      <c r="P2362" s="488"/>
      <c r="Q2362" s="1"/>
      <c r="R2362" s="1"/>
      <c r="S2362" s="1">
        <f t="shared" si="3"/>
        <v>1</v>
      </c>
      <c r="T2362" s="512" t="e">
        <f>_xlfn.XLOOKUP(H2362,#REF!,#REF!,0,0)</f>
        <v>#REF!</v>
      </c>
    </row>
    <row r="2363" spans="1:20" s="292" customFormat="1" ht="18" customHeight="1" x14ac:dyDescent="0.4">
      <c r="A2363" s="2" t="s">
        <v>8809</v>
      </c>
      <c r="B2363" s="2" t="s">
        <v>8810</v>
      </c>
      <c r="C2363" s="2" t="s">
        <v>433</v>
      </c>
      <c r="D2363" s="2" t="s">
        <v>8741</v>
      </c>
      <c r="E2363" s="2" t="s">
        <v>3785</v>
      </c>
      <c r="F2363" s="2" t="s">
        <v>8671</v>
      </c>
      <c r="G2363" s="2">
        <v>45243</v>
      </c>
      <c r="H2363" s="2" t="s">
        <v>8811</v>
      </c>
      <c r="I2363" s="1">
        <v>73346</v>
      </c>
      <c r="J2363" s="2" t="s">
        <v>8812</v>
      </c>
      <c r="K2363" s="2">
        <v>45355</v>
      </c>
      <c r="L2363" s="315" t="s">
        <v>364</v>
      </c>
      <c r="M2363" s="315" t="s">
        <v>364</v>
      </c>
      <c r="N2363" s="315" t="s">
        <v>364</v>
      </c>
      <c r="O2363" s="315" t="s">
        <v>364</v>
      </c>
      <c r="P2363" s="488" t="s">
        <v>8813</v>
      </c>
      <c r="Q2363" s="1"/>
      <c r="R2363" s="1"/>
      <c r="S2363" s="1">
        <f t="shared" si="3"/>
        <v>1</v>
      </c>
      <c r="T2363" s="512" t="e">
        <f>_xlfn.XLOOKUP(H2363,#REF!,#REF!,0,0)</f>
        <v>#REF!</v>
      </c>
    </row>
    <row r="2364" spans="1:20" s="295" customFormat="1" ht="18" customHeight="1" x14ac:dyDescent="0.4">
      <c r="A2364" s="2" t="s">
        <v>8814</v>
      </c>
      <c r="B2364" s="2" t="s">
        <v>8815</v>
      </c>
      <c r="C2364" s="2" t="s">
        <v>433</v>
      </c>
      <c r="D2364" s="2" t="s">
        <v>8127</v>
      </c>
      <c r="E2364" s="2" t="s">
        <v>10</v>
      </c>
      <c r="F2364" s="2" t="s">
        <v>8665</v>
      </c>
      <c r="G2364" s="2">
        <v>45278</v>
      </c>
      <c r="H2364" s="2" t="s">
        <v>8816</v>
      </c>
      <c r="I2364" s="1">
        <v>73623</v>
      </c>
      <c r="J2364" s="2" t="s">
        <v>8817</v>
      </c>
      <c r="K2364" s="2">
        <v>45356</v>
      </c>
      <c r="L2364" s="315" t="s">
        <v>364</v>
      </c>
      <c r="M2364" s="315" t="s">
        <v>364</v>
      </c>
      <c r="N2364" s="315" t="s">
        <v>364</v>
      </c>
      <c r="O2364" s="315" t="s">
        <v>364</v>
      </c>
      <c r="P2364" s="488" t="s">
        <v>8818</v>
      </c>
      <c r="Q2364" s="1"/>
      <c r="R2364" s="1"/>
      <c r="S2364" s="1">
        <f t="shared" si="3"/>
        <v>1</v>
      </c>
      <c r="T2364" s="512" t="e">
        <f>_xlfn.XLOOKUP(H2364,#REF!,#REF!,0,0)</f>
        <v>#REF!</v>
      </c>
    </row>
    <row r="2365" spans="1:20" s="295" customFormat="1" ht="18" customHeight="1" x14ac:dyDescent="0.4">
      <c r="A2365" s="315" t="s">
        <v>8819</v>
      </c>
      <c r="B2365" s="315" t="s">
        <v>8820</v>
      </c>
      <c r="C2365" s="315" t="s">
        <v>433</v>
      </c>
      <c r="D2365" s="315" t="s">
        <v>693</v>
      </c>
      <c r="E2365" s="315" t="s">
        <v>10</v>
      </c>
      <c r="F2365" s="315" t="s">
        <v>8665</v>
      </c>
      <c r="G2365" s="315">
        <v>45278</v>
      </c>
      <c r="H2365" s="315" t="s">
        <v>8821</v>
      </c>
      <c r="I2365" s="348">
        <v>73626</v>
      </c>
      <c r="J2365" s="315" t="s">
        <v>8822</v>
      </c>
      <c r="K2365" s="315">
        <v>45357</v>
      </c>
      <c r="L2365" s="315" t="s">
        <v>364</v>
      </c>
      <c r="M2365" s="315" t="s">
        <v>364</v>
      </c>
      <c r="N2365" s="315" t="s">
        <v>364</v>
      </c>
      <c r="O2365" s="315" t="s">
        <v>364</v>
      </c>
      <c r="P2365" s="492"/>
      <c r="Q2365" s="1"/>
      <c r="R2365" s="1"/>
      <c r="S2365" s="1">
        <f t="shared" si="3"/>
        <v>1</v>
      </c>
      <c r="T2365" s="512" t="e">
        <f>_xlfn.XLOOKUP(H2365,#REF!,#REF!,0,0)</f>
        <v>#REF!</v>
      </c>
    </row>
    <row r="2366" spans="1:20" s="292" customFormat="1" ht="18" customHeight="1" x14ac:dyDescent="0.4">
      <c r="A2366" s="2" t="s">
        <v>8823</v>
      </c>
      <c r="B2366" s="2" t="s">
        <v>8824</v>
      </c>
      <c r="C2366" s="2" t="s">
        <v>433</v>
      </c>
      <c r="D2366" s="2" t="s">
        <v>693</v>
      </c>
      <c r="E2366" s="2" t="s">
        <v>3785</v>
      </c>
      <c r="F2366" s="2" t="s">
        <v>437</v>
      </c>
      <c r="G2366" s="2">
        <v>45243</v>
      </c>
      <c r="H2366" s="2" t="s">
        <v>8825</v>
      </c>
      <c r="I2366" s="1">
        <v>73347</v>
      </c>
      <c r="J2366" s="2" t="s">
        <v>8826</v>
      </c>
      <c r="K2366" s="2">
        <v>45357</v>
      </c>
      <c r="L2366" s="2" t="s">
        <v>364</v>
      </c>
      <c r="M2366" s="2" t="s">
        <v>364</v>
      </c>
      <c r="N2366" s="2" t="s">
        <v>364</v>
      </c>
      <c r="O2366" s="2" t="s">
        <v>364</v>
      </c>
      <c r="P2366" s="488" t="s">
        <v>8827</v>
      </c>
      <c r="Q2366" s="1"/>
      <c r="R2366" s="1"/>
      <c r="S2366" s="1">
        <f t="shared" si="3"/>
        <v>1</v>
      </c>
      <c r="T2366" s="512" t="e">
        <f>_xlfn.XLOOKUP(H2366,#REF!,#REF!,0,0)</f>
        <v>#REF!</v>
      </c>
    </row>
    <row r="2367" spans="1:20" s="295" customFormat="1" ht="18" customHeight="1" x14ac:dyDescent="0.4">
      <c r="A2367" s="2" t="s">
        <v>8828</v>
      </c>
      <c r="B2367" s="2" t="s">
        <v>8829</v>
      </c>
      <c r="C2367" s="2" t="s">
        <v>433</v>
      </c>
      <c r="D2367" s="2" t="s">
        <v>8127</v>
      </c>
      <c r="E2367" s="2" t="s">
        <v>10</v>
      </c>
      <c r="F2367" s="2" t="s">
        <v>362</v>
      </c>
      <c r="G2367" s="2">
        <v>45281</v>
      </c>
      <c r="H2367" s="2" t="s">
        <v>8830</v>
      </c>
      <c r="I2367" s="1">
        <v>73666</v>
      </c>
      <c r="J2367" s="2" t="s">
        <v>8831</v>
      </c>
      <c r="K2367" s="2" t="s">
        <v>8832</v>
      </c>
      <c r="L2367" s="2" t="s">
        <v>364</v>
      </c>
      <c r="M2367" s="2" t="s">
        <v>364</v>
      </c>
      <c r="N2367" s="2" t="s">
        <v>364</v>
      </c>
      <c r="O2367" s="2" t="s">
        <v>364</v>
      </c>
      <c r="P2367" s="488"/>
      <c r="Q2367" s="1"/>
      <c r="R2367" s="1"/>
      <c r="S2367" s="1">
        <f t="shared" si="3"/>
        <v>1</v>
      </c>
      <c r="T2367" s="512" t="e">
        <f>_xlfn.XLOOKUP(H2367,#REF!,#REF!,0,0)</f>
        <v>#REF!</v>
      </c>
    </row>
    <row r="2368" spans="1:20" s="512" customFormat="1" x14ac:dyDescent="0.4">
      <c r="A2368" s="66" t="s">
        <v>8833</v>
      </c>
      <c r="B2368" s="66" t="s">
        <v>8834</v>
      </c>
      <c r="C2368" s="66" t="s">
        <v>433</v>
      </c>
      <c r="D2368" s="66" t="s">
        <v>8835</v>
      </c>
      <c r="E2368" s="66" t="s">
        <v>10</v>
      </c>
      <c r="F2368" s="66">
        <v>840</v>
      </c>
      <c r="G2368" s="66"/>
      <c r="H2368" s="66" t="s">
        <v>6970</v>
      </c>
      <c r="I2368" s="66">
        <v>71550</v>
      </c>
      <c r="J2368" s="66"/>
      <c r="K2368" s="66"/>
      <c r="L2368" s="66" t="s">
        <v>364</v>
      </c>
      <c r="M2368" s="66" t="s">
        <v>364</v>
      </c>
      <c r="N2368" s="66" t="s">
        <v>364</v>
      </c>
      <c r="O2368" s="66" t="s">
        <v>364</v>
      </c>
      <c r="P2368" s="421"/>
      <c r="Q2368" s="66"/>
      <c r="R2368" s="66"/>
      <c r="S2368" s="1">
        <f t="shared" si="3"/>
        <v>1</v>
      </c>
      <c r="T2368" s="512" t="e">
        <f>_xlfn.XLOOKUP(H2368,#REF!,#REF!,0,0)</f>
        <v>#REF!</v>
      </c>
    </row>
    <row r="2369" spans="1:20" s="512" customFormat="1" x14ac:dyDescent="0.4">
      <c r="A2369" s="66" t="s">
        <v>8836</v>
      </c>
      <c r="B2369" s="66" t="s">
        <v>8837</v>
      </c>
      <c r="C2369" s="66" t="s">
        <v>431</v>
      </c>
      <c r="D2369" s="66" t="s">
        <v>693</v>
      </c>
      <c r="E2369" s="66" t="s">
        <v>10</v>
      </c>
      <c r="F2369" s="66">
        <v>840</v>
      </c>
      <c r="G2369" s="66"/>
      <c r="H2369" s="66" t="s">
        <v>255</v>
      </c>
      <c r="I2369" s="66">
        <v>70611</v>
      </c>
      <c r="J2369" s="66"/>
      <c r="K2369" s="15">
        <v>45356</v>
      </c>
      <c r="L2369" s="66" t="s">
        <v>364</v>
      </c>
      <c r="M2369" s="66" t="s">
        <v>364</v>
      </c>
      <c r="N2369" s="66" t="s">
        <v>364</v>
      </c>
      <c r="O2369" s="66" t="s">
        <v>364</v>
      </c>
      <c r="P2369" s="421" t="s">
        <v>8805</v>
      </c>
      <c r="Q2369" s="66"/>
      <c r="R2369" s="66"/>
      <c r="S2369" s="1">
        <f t="shared" si="3"/>
        <v>1</v>
      </c>
      <c r="T2369" s="512" t="e">
        <f>_xlfn.XLOOKUP(H2369,#REF!,#REF!,0,0)</f>
        <v>#REF!</v>
      </c>
    </row>
    <row r="2370" spans="1:20" s="295" customFormat="1" ht="18" customHeight="1" x14ac:dyDescent="0.4">
      <c r="A2370" s="2" t="s">
        <v>8838</v>
      </c>
      <c r="B2370" s="2" t="s">
        <v>8839</v>
      </c>
      <c r="C2370" s="2" t="s">
        <v>433</v>
      </c>
      <c r="D2370" s="2"/>
      <c r="E2370" s="2" t="s">
        <v>10</v>
      </c>
      <c r="F2370" s="2" t="s">
        <v>8665</v>
      </c>
      <c r="G2370" s="2">
        <v>45278</v>
      </c>
      <c r="H2370" s="2" t="s">
        <v>8840</v>
      </c>
      <c r="I2370" s="1">
        <v>73627</v>
      </c>
      <c r="J2370" s="2" t="s">
        <v>8841</v>
      </c>
      <c r="K2370" s="2">
        <v>45363</v>
      </c>
      <c r="L2370" s="2" t="s">
        <v>364</v>
      </c>
      <c r="M2370" s="2" t="s">
        <v>364</v>
      </c>
      <c r="N2370" s="2" t="s">
        <v>364</v>
      </c>
      <c r="O2370" s="2" t="s">
        <v>364</v>
      </c>
      <c r="P2370" s="488" t="s">
        <v>8842</v>
      </c>
      <c r="Q2370" s="1"/>
      <c r="R2370" s="1"/>
      <c r="S2370" s="1">
        <f t="shared" si="3"/>
        <v>1</v>
      </c>
      <c r="T2370" s="512" t="e">
        <f>_xlfn.XLOOKUP(H2370,#REF!,#REF!,0,0)</f>
        <v>#REF!</v>
      </c>
    </row>
    <row r="2371" spans="1:20" s="295" customFormat="1" ht="18" customHeight="1" x14ac:dyDescent="0.4">
      <c r="A2371" s="2" t="s">
        <v>8843</v>
      </c>
      <c r="B2371" s="2" t="s">
        <v>8844</v>
      </c>
      <c r="C2371" s="2" t="s">
        <v>433</v>
      </c>
      <c r="D2371" s="2" t="s">
        <v>8127</v>
      </c>
      <c r="E2371" s="2" t="s">
        <v>10</v>
      </c>
      <c r="F2371" s="2" t="s">
        <v>362</v>
      </c>
      <c r="G2371" s="2">
        <v>45281</v>
      </c>
      <c r="H2371" s="2" t="s">
        <v>8845</v>
      </c>
      <c r="I2371" s="1">
        <v>73664</v>
      </c>
      <c r="J2371" s="2" t="s">
        <v>8846</v>
      </c>
      <c r="K2371" s="2">
        <v>45363</v>
      </c>
      <c r="L2371" s="2" t="s">
        <v>364</v>
      </c>
      <c r="M2371" s="2" t="s">
        <v>364</v>
      </c>
      <c r="N2371" s="2" t="s">
        <v>364</v>
      </c>
      <c r="O2371" s="2" t="s">
        <v>364</v>
      </c>
      <c r="P2371" s="488" t="s">
        <v>8847</v>
      </c>
      <c r="Q2371" s="1"/>
      <c r="R2371" s="1"/>
      <c r="S2371" s="1">
        <f t="shared" si="3"/>
        <v>1</v>
      </c>
      <c r="T2371" s="512" t="e">
        <f>_xlfn.XLOOKUP(H2371,#REF!,#REF!,0,0)</f>
        <v>#REF!</v>
      </c>
    </row>
    <row r="2372" spans="1:20" s="295" customFormat="1" x14ac:dyDescent="0.4">
      <c r="A2372" s="2" t="s">
        <v>8848</v>
      </c>
      <c r="B2372" s="2" t="s">
        <v>8849</v>
      </c>
      <c r="C2372" s="2" t="s">
        <v>433</v>
      </c>
      <c r="D2372" s="2" t="s">
        <v>8127</v>
      </c>
      <c r="E2372" s="2" t="s">
        <v>10</v>
      </c>
      <c r="F2372" s="2" t="s">
        <v>437</v>
      </c>
      <c r="G2372" s="2">
        <v>45243</v>
      </c>
      <c r="H2372" s="2" t="s">
        <v>8850</v>
      </c>
      <c r="I2372" s="1">
        <v>73643</v>
      </c>
      <c r="J2372" s="2" t="s">
        <v>8851</v>
      </c>
      <c r="K2372" s="2">
        <v>45364</v>
      </c>
      <c r="L2372" s="2" t="s">
        <v>364</v>
      </c>
      <c r="M2372" s="2" t="s">
        <v>364</v>
      </c>
      <c r="N2372" s="2" t="s">
        <v>364</v>
      </c>
      <c r="O2372" s="2" t="s">
        <v>364</v>
      </c>
      <c r="P2372" s="488" t="s">
        <v>8852</v>
      </c>
      <c r="Q2372" s="1"/>
      <c r="R2372" s="1"/>
      <c r="S2372" s="1"/>
      <c r="T2372" s="512" t="e">
        <f>_xlfn.XLOOKUP(H2372,#REF!,#REF!,0,0)</f>
        <v>#REF!</v>
      </c>
    </row>
    <row r="2373" spans="1:20" s="512" customFormat="1" x14ac:dyDescent="0.4">
      <c r="A2373" s="66" t="s">
        <v>8853</v>
      </c>
      <c r="B2373" s="66" t="s">
        <v>8854</v>
      </c>
      <c r="C2373" s="66" t="s">
        <v>433</v>
      </c>
      <c r="D2373" s="66" t="s">
        <v>693</v>
      </c>
      <c r="E2373" s="66" t="s">
        <v>10</v>
      </c>
      <c r="F2373" s="66" t="s">
        <v>244</v>
      </c>
      <c r="G2373" s="66"/>
      <c r="H2373" s="66" t="s">
        <v>5815</v>
      </c>
      <c r="I2373" s="66">
        <v>70929</v>
      </c>
      <c r="J2373" s="66"/>
      <c r="K2373" s="66"/>
      <c r="L2373" s="2" t="s">
        <v>364</v>
      </c>
      <c r="M2373" s="2" t="s">
        <v>364</v>
      </c>
      <c r="N2373" s="2" t="s">
        <v>364</v>
      </c>
      <c r="O2373" s="2" t="s">
        <v>364</v>
      </c>
      <c r="P2373" s="421" t="s">
        <v>8855</v>
      </c>
      <c r="Q2373" s="66"/>
      <c r="R2373" s="1">
        <f t="shared" ref="R2373:R2394" si="4">IF(H2373="","",1)</f>
        <v>1</v>
      </c>
      <c r="S2373" s="1">
        <f t="shared" ref="S2373:S2394" si="5">IF(I2373="","",1)</f>
        <v>1</v>
      </c>
      <c r="T2373" s="512" t="e">
        <f>_xlfn.XLOOKUP(H2373,#REF!,#REF!,0,0)</f>
        <v>#REF!</v>
      </c>
    </row>
    <row r="2374" spans="1:20" s="512" customFormat="1" x14ac:dyDescent="0.4">
      <c r="A2374" s="66" t="s">
        <v>8856</v>
      </c>
      <c r="B2374" s="66" t="s">
        <v>8857</v>
      </c>
      <c r="C2374" s="66" t="s">
        <v>433</v>
      </c>
      <c r="D2374" s="66" t="s">
        <v>693</v>
      </c>
      <c r="E2374" s="66" t="s">
        <v>3785</v>
      </c>
      <c r="F2374" s="66" t="s">
        <v>5423</v>
      </c>
      <c r="G2374" s="66"/>
      <c r="H2374" s="66" t="s">
        <v>8858</v>
      </c>
      <c r="I2374" s="66">
        <v>76007</v>
      </c>
      <c r="J2374" s="66" t="s">
        <v>8859</v>
      </c>
      <c r="K2374" s="314">
        <v>45365</v>
      </c>
      <c r="L2374" s="2" t="s">
        <v>364</v>
      </c>
      <c r="M2374" s="2" t="s">
        <v>364</v>
      </c>
      <c r="N2374" s="2" t="s">
        <v>364</v>
      </c>
      <c r="O2374" s="2" t="s">
        <v>364</v>
      </c>
      <c r="P2374" s="421" t="s">
        <v>8860</v>
      </c>
      <c r="Q2374" s="66"/>
      <c r="R2374" s="1">
        <f t="shared" si="4"/>
        <v>1</v>
      </c>
      <c r="S2374" s="1">
        <f t="shared" si="5"/>
        <v>1</v>
      </c>
      <c r="T2374" s="512" t="e">
        <f>_xlfn.XLOOKUP(H2374,#REF!,#REF!,0,0)</f>
        <v>#REF!</v>
      </c>
    </row>
    <row r="2375" spans="1:20" s="292" customFormat="1" ht="18" customHeight="1" x14ac:dyDescent="0.4">
      <c r="A2375" s="2" t="s">
        <v>8861</v>
      </c>
      <c r="B2375" s="2" t="s">
        <v>8862</v>
      </c>
      <c r="C2375" s="2" t="s">
        <v>433</v>
      </c>
      <c r="D2375" s="2" t="s">
        <v>8863</v>
      </c>
      <c r="E2375" s="2" t="s">
        <v>3785</v>
      </c>
      <c r="F2375" s="2" t="s">
        <v>437</v>
      </c>
      <c r="G2375" s="2">
        <v>45243</v>
      </c>
      <c r="H2375" s="2" t="s">
        <v>8864</v>
      </c>
      <c r="I2375" s="1">
        <v>73351</v>
      </c>
      <c r="J2375" s="2" t="s">
        <v>8865</v>
      </c>
      <c r="K2375" s="2">
        <v>45413</v>
      </c>
      <c r="L2375" s="2" t="s">
        <v>364</v>
      </c>
      <c r="M2375" s="2" t="s">
        <v>364</v>
      </c>
      <c r="N2375" s="2" t="s">
        <v>364</v>
      </c>
      <c r="O2375" s="2" t="s">
        <v>364</v>
      </c>
      <c r="P2375" s="488" t="s">
        <v>8866</v>
      </c>
      <c r="Q2375" s="2"/>
      <c r="R2375" s="1">
        <f t="shared" si="4"/>
        <v>1</v>
      </c>
      <c r="S2375" s="1">
        <f t="shared" si="5"/>
        <v>1</v>
      </c>
      <c r="T2375" s="512" t="e">
        <f>_xlfn.XLOOKUP(H2375,#REF!,#REF!,0,0)</f>
        <v>#REF!</v>
      </c>
    </row>
    <row r="2376" spans="1:20" s="295" customFormat="1" ht="18" customHeight="1" x14ac:dyDescent="0.4">
      <c r="A2376" s="2" t="s">
        <v>8867</v>
      </c>
      <c r="B2376" s="2" t="s">
        <v>8868</v>
      </c>
      <c r="C2376" s="2" t="s">
        <v>433</v>
      </c>
      <c r="D2376" s="2" t="s">
        <v>8127</v>
      </c>
      <c r="E2376" s="2" t="s">
        <v>10</v>
      </c>
      <c r="F2376" s="2" t="s">
        <v>437</v>
      </c>
      <c r="G2376" s="2">
        <v>45243</v>
      </c>
      <c r="H2376" s="2" t="s">
        <v>8869</v>
      </c>
      <c r="I2376" s="1">
        <v>73642</v>
      </c>
      <c r="J2376" s="2" t="s">
        <v>8870</v>
      </c>
      <c r="K2376" s="2">
        <v>45366</v>
      </c>
      <c r="L2376" s="2" t="s">
        <v>364</v>
      </c>
      <c r="M2376" s="2" t="s">
        <v>364</v>
      </c>
      <c r="N2376" s="2" t="s">
        <v>364</v>
      </c>
      <c r="O2376" s="2" t="s">
        <v>364</v>
      </c>
      <c r="P2376" s="488" t="s">
        <v>8871</v>
      </c>
      <c r="Q2376" s="1"/>
      <c r="R2376" s="1">
        <f t="shared" si="4"/>
        <v>1</v>
      </c>
      <c r="S2376" s="1">
        <f t="shared" si="5"/>
        <v>1</v>
      </c>
      <c r="T2376" s="512" t="e">
        <f>_xlfn.XLOOKUP(H2376,#REF!,#REF!,0,0)</f>
        <v>#REF!</v>
      </c>
    </row>
    <row r="2377" spans="1:20" s="292" customFormat="1" ht="18" customHeight="1" x14ac:dyDescent="0.4">
      <c r="A2377" s="2" t="s">
        <v>8872</v>
      </c>
      <c r="B2377" s="2" t="s">
        <v>8873</v>
      </c>
      <c r="C2377" s="2" t="s">
        <v>435</v>
      </c>
      <c r="D2377" s="2" t="s">
        <v>8127</v>
      </c>
      <c r="E2377" s="2" t="s">
        <v>3785</v>
      </c>
      <c r="F2377" s="2" t="s">
        <v>437</v>
      </c>
      <c r="G2377" s="2">
        <v>45243</v>
      </c>
      <c r="H2377" s="2" t="s">
        <v>8874</v>
      </c>
      <c r="I2377" s="1">
        <v>73350</v>
      </c>
      <c r="J2377" s="2" t="s">
        <v>8875</v>
      </c>
      <c r="K2377" s="2">
        <v>45369</v>
      </c>
      <c r="L2377" s="2" t="s">
        <v>364</v>
      </c>
      <c r="M2377" s="2" t="s">
        <v>364</v>
      </c>
      <c r="N2377" s="2" t="s">
        <v>364</v>
      </c>
      <c r="O2377" s="2" t="s">
        <v>364</v>
      </c>
      <c r="P2377" s="488" t="s">
        <v>8876</v>
      </c>
      <c r="Q2377" s="2"/>
      <c r="R2377" s="1">
        <f t="shared" si="4"/>
        <v>1</v>
      </c>
      <c r="S2377" s="1">
        <f t="shared" si="5"/>
        <v>1</v>
      </c>
      <c r="T2377" s="512" t="e">
        <f>_xlfn.XLOOKUP(H2377,#REF!,#REF!,0,0)</f>
        <v>#REF!</v>
      </c>
    </row>
    <row r="2378" spans="1:20" s="512" customFormat="1" x14ac:dyDescent="0.4">
      <c r="A2378" s="26" t="s">
        <v>8877</v>
      </c>
      <c r="B2378" s="26" t="s">
        <v>8878</v>
      </c>
      <c r="C2378" s="66" t="s">
        <v>433</v>
      </c>
      <c r="D2378" s="26" t="s">
        <v>8127</v>
      </c>
      <c r="E2378" s="26" t="s">
        <v>8879</v>
      </c>
      <c r="F2378" s="26" t="s">
        <v>8880</v>
      </c>
      <c r="G2378" s="27"/>
      <c r="H2378" s="26" t="s">
        <v>8881</v>
      </c>
      <c r="I2378" s="26">
        <v>73602</v>
      </c>
      <c r="J2378" s="26"/>
      <c r="K2378" s="27">
        <v>45366</v>
      </c>
      <c r="L2378" s="26" t="s">
        <v>570</v>
      </c>
      <c r="M2378" s="26" t="s">
        <v>570</v>
      </c>
      <c r="N2378" s="26" t="s">
        <v>570</v>
      </c>
      <c r="O2378" s="26" t="s">
        <v>570</v>
      </c>
      <c r="P2378" s="449"/>
      <c r="Q2378" s="26"/>
      <c r="R2378" s="1">
        <f t="shared" si="4"/>
        <v>1</v>
      </c>
      <c r="S2378" s="1">
        <f t="shared" si="5"/>
        <v>1</v>
      </c>
      <c r="T2378" s="512" t="e">
        <f>_xlfn.XLOOKUP(H2378,#REF!,#REF!,0,0)</f>
        <v>#REF!</v>
      </c>
    </row>
    <row r="2379" spans="1:20" s="295" customFormat="1" ht="18" customHeight="1" x14ac:dyDescent="0.4">
      <c r="A2379" s="2" t="s">
        <v>8882</v>
      </c>
      <c r="B2379" s="2" t="s">
        <v>8883</v>
      </c>
      <c r="C2379" s="2" t="s">
        <v>433</v>
      </c>
      <c r="D2379" s="2" t="s">
        <v>8127</v>
      </c>
      <c r="E2379" s="2" t="s">
        <v>3785</v>
      </c>
      <c r="F2379" s="2" t="s">
        <v>436</v>
      </c>
      <c r="G2379" s="2">
        <v>45278</v>
      </c>
      <c r="H2379" s="2" t="s">
        <v>8884</v>
      </c>
      <c r="I2379" s="1">
        <v>73650</v>
      </c>
      <c r="J2379" s="2" t="s">
        <v>8885</v>
      </c>
      <c r="K2379" s="2">
        <v>45371</v>
      </c>
      <c r="L2379" s="26" t="s">
        <v>570</v>
      </c>
      <c r="M2379" s="26" t="s">
        <v>570</v>
      </c>
      <c r="N2379" s="26" t="s">
        <v>570</v>
      </c>
      <c r="O2379" s="26" t="s">
        <v>570</v>
      </c>
      <c r="P2379" s="488" t="s">
        <v>8886</v>
      </c>
      <c r="Q2379" s="1"/>
      <c r="R2379" s="1">
        <f t="shared" si="4"/>
        <v>1</v>
      </c>
      <c r="S2379" s="1">
        <f t="shared" si="5"/>
        <v>1</v>
      </c>
      <c r="T2379" s="512" t="e">
        <f>_xlfn.XLOOKUP(H2379,#REF!,#REF!,0,0)</f>
        <v>#REF!</v>
      </c>
    </row>
    <row r="2380" spans="1:20" s="295" customFormat="1" ht="18" customHeight="1" x14ac:dyDescent="0.4">
      <c r="A2380" s="2" t="s">
        <v>8887</v>
      </c>
      <c r="B2380" s="2" t="s">
        <v>8888</v>
      </c>
      <c r="C2380" s="2" t="s">
        <v>433</v>
      </c>
      <c r="D2380" s="2" t="s">
        <v>8127</v>
      </c>
      <c r="E2380" s="2" t="s">
        <v>10</v>
      </c>
      <c r="F2380" s="2" t="s">
        <v>436</v>
      </c>
      <c r="G2380" s="2">
        <v>45243</v>
      </c>
      <c r="H2380" s="2" t="s">
        <v>8889</v>
      </c>
      <c r="I2380" s="1">
        <v>73641</v>
      </c>
      <c r="J2380" s="2" t="s">
        <v>8890</v>
      </c>
      <c r="K2380" s="2">
        <v>45372</v>
      </c>
      <c r="L2380" s="26" t="s">
        <v>570</v>
      </c>
      <c r="M2380" s="26" t="s">
        <v>570</v>
      </c>
      <c r="N2380" s="26" t="s">
        <v>570</v>
      </c>
      <c r="O2380" s="26" t="s">
        <v>570</v>
      </c>
      <c r="P2380" s="488" t="s">
        <v>8891</v>
      </c>
      <c r="Q2380" s="1"/>
      <c r="R2380" s="1">
        <f t="shared" si="4"/>
        <v>1</v>
      </c>
      <c r="S2380" s="1">
        <f t="shared" si="5"/>
        <v>1</v>
      </c>
      <c r="T2380" s="512" t="e">
        <f>_xlfn.XLOOKUP(H2380,#REF!,#REF!,0,0)</f>
        <v>#REF!</v>
      </c>
    </row>
    <row r="2381" spans="1:20" s="295" customFormat="1" ht="18" customHeight="1" x14ac:dyDescent="0.4">
      <c r="A2381" s="2" t="s">
        <v>8892</v>
      </c>
      <c r="B2381" s="2" t="s">
        <v>8893</v>
      </c>
      <c r="C2381" s="2" t="s">
        <v>433</v>
      </c>
      <c r="D2381" s="2" t="s">
        <v>693</v>
      </c>
      <c r="E2381" s="2" t="s">
        <v>3785</v>
      </c>
      <c r="F2381" s="2" t="s">
        <v>436</v>
      </c>
      <c r="G2381" s="2">
        <v>45278</v>
      </c>
      <c r="H2381" s="2" t="s">
        <v>8894</v>
      </c>
      <c r="I2381" s="1">
        <v>73649</v>
      </c>
      <c r="J2381" s="2" t="s">
        <v>8895</v>
      </c>
      <c r="K2381" s="2">
        <v>45373</v>
      </c>
      <c r="L2381" s="26" t="s">
        <v>570</v>
      </c>
      <c r="M2381" s="26" t="s">
        <v>570</v>
      </c>
      <c r="N2381" s="26" t="s">
        <v>570</v>
      </c>
      <c r="O2381" s="26" t="s">
        <v>570</v>
      </c>
      <c r="P2381" s="488" t="s">
        <v>6278</v>
      </c>
      <c r="Q2381" s="1"/>
      <c r="R2381" s="1">
        <f t="shared" si="4"/>
        <v>1</v>
      </c>
      <c r="S2381" s="1">
        <f t="shared" si="5"/>
        <v>1</v>
      </c>
      <c r="T2381" s="512" t="e">
        <f>_xlfn.XLOOKUP(H2381,#REF!,#REF!,0,0)</f>
        <v>#REF!</v>
      </c>
    </row>
    <row r="2382" spans="1:20" s="512" customFormat="1" x14ac:dyDescent="0.4">
      <c r="A2382" s="66" t="s">
        <v>8896</v>
      </c>
      <c r="B2382" s="66" t="s">
        <v>8897</v>
      </c>
      <c r="C2382" s="66" t="s">
        <v>433</v>
      </c>
      <c r="D2382" s="66" t="s">
        <v>693</v>
      </c>
      <c r="E2382" s="66" t="s">
        <v>10</v>
      </c>
      <c r="F2382" s="66" t="s">
        <v>8898</v>
      </c>
      <c r="G2382" s="66"/>
      <c r="H2382" s="66" t="s">
        <v>8899</v>
      </c>
      <c r="I2382" s="66">
        <v>70600</v>
      </c>
      <c r="J2382" s="66"/>
      <c r="K2382" s="66"/>
      <c r="L2382" s="26" t="s">
        <v>570</v>
      </c>
      <c r="M2382" s="26" t="s">
        <v>570</v>
      </c>
      <c r="N2382" s="26" t="s">
        <v>570</v>
      </c>
      <c r="O2382" s="26" t="s">
        <v>570</v>
      </c>
      <c r="P2382" s="421" t="s">
        <v>8900</v>
      </c>
      <c r="Q2382" s="66"/>
      <c r="R2382" s="1">
        <f t="shared" si="4"/>
        <v>1</v>
      </c>
      <c r="S2382" s="1">
        <f t="shared" si="5"/>
        <v>1</v>
      </c>
      <c r="T2382" s="512" t="e">
        <f>_xlfn.XLOOKUP(H2382,#REF!,#REF!,0,0)</f>
        <v>#REF!</v>
      </c>
    </row>
    <row r="2383" spans="1:20" s="513" customFormat="1" ht="18" customHeight="1" x14ac:dyDescent="0.4">
      <c r="A2383" s="2" t="s">
        <v>8901</v>
      </c>
      <c r="B2383" s="2" t="s">
        <v>8902</v>
      </c>
      <c r="C2383" s="304" t="s">
        <v>433</v>
      </c>
      <c r="D2383" s="2" t="s">
        <v>693</v>
      </c>
      <c r="E2383" s="2" t="s">
        <v>3785</v>
      </c>
      <c r="F2383" s="2" t="s">
        <v>437</v>
      </c>
      <c r="G2383" s="2">
        <v>45243</v>
      </c>
      <c r="H2383" s="2" t="s">
        <v>8903</v>
      </c>
      <c r="I2383" s="1">
        <v>73349</v>
      </c>
      <c r="J2383" s="2" t="s">
        <v>8904</v>
      </c>
      <c r="K2383" s="2">
        <v>45376</v>
      </c>
      <c r="L2383" s="26" t="s">
        <v>570</v>
      </c>
      <c r="M2383" s="26" t="s">
        <v>570</v>
      </c>
      <c r="N2383" s="26" t="s">
        <v>570</v>
      </c>
      <c r="O2383" s="26" t="s">
        <v>570</v>
      </c>
      <c r="P2383" s="488" t="s">
        <v>8905</v>
      </c>
      <c r="Q2383" s="2" t="str">
        <f t="shared" ref="Q2383:Q2399" si="6">IF(A2383="SCORTA 15",1,"")</f>
        <v/>
      </c>
      <c r="R2383" s="1">
        <f t="shared" si="4"/>
        <v>1</v>
      </c>
      <c r="S2383" s="1">
        <f t="shared" si="5"/>
        <v>1</v>
      </c>
      <c r="T2383" s="512" t="e">
        <f>_xlfn.XLOOKUP(H2383,#REF!,#REF!,0,0)</f>
        <v>#REF!</v>
      </c>
    </row>
    <row r="2384" spans="1:20" s="513" customFormat="1" ht="18" customHeight="1" x14ac:dyDescent="0.4">
      <c r="A2384" s="2" t="s">
        <v>8906</v>
      </c>
      <c r="B2384" s="2" t="s">
        <v>8907</v>
      </c>
      <c r="C2384" s="2" t="s">
        <v>433</v>
      </c>
      <c r="D2384" s="2"/>
      <c r="E2384" s="2" t="s">
        <v>10</v>
      </c>
      <c r="F2384" s="2" t="s">
        <v>8908</v>
      </c>
      <c r="G2384" s="2">
        <v>45237</v>
      </c>
      <c r="H2384" s="2" t="s">
        <v>8909</v>
      </c>
      <c r="I2384" s="1">
        <v>73315</v>
      </c>
      <c r="J2384" s="2" t="s">
        <v>8910</v>
      </c>
      <c r="K2384" s="2" t="s">
        <v>8911</v>
      </c>
      <c r="L2384" s="26" t="s">
        <v>570</v>
      </c>
      <c r="M2384" s="26" t="s">
        <v>570</v>
      </c>
      <c r="N2384" s="26" t="s">
        <v>570</v>
      </c>
      <c r="O2384" s="26" t="s">
        <v>570</v>
      </c>
      <c r="P2384" s="488" t="s">
        <v>8912</v>
      </c>
      <c r="Q2384" s="1" t="str">
        <f t="shared" si="6"/>
        <v/>
      </c>
      <c r="R2384" s="1">
        <f t="shared" si="4"/>
        <v>1</v>
      </c>
      <c r="S2384" s="1">
        <f t="shared" si="5"/>
        <v>1</v>
      </c>
      <c r="T2384" s="512" t="e">
        <f>_xlfn.XLOOKUP(H2384,#REF!,#REF!,0,0)</f>
        <v>#REF!</v>
      </c>
    </row>
    <row r="2385" spans="1:20" s="295" customFormat="1" ht="18" customHeight="1" x14ac:dyDescent="0.4">
      <c r="A2385" s="2" t="s">
        <v>8913</v>
      </c>
      <c r="B2385" s="2" t="s">
        <v>8914</v>
      </c>
      <c r="C2385" s="2" t="s">
        <v>433</v>
      </c>
      <c r="D2385" s="2" t="s">
        <v>8127</v>
      </c>
      <c r="E2385" s="2" t="s">
        <v>3785</v>
      </c>
      <c r="F2385" s="2" t="s">
        <v>8671</v>
      </c>
      <c r="G2385" s="2">
        <v>45243</v>
      </c>
      <c r="H2385" s="2" t="s">
        <v>8915</v>
      </c>
      <c r="I2385" s="1">
        <v>73637</v>
      </c>
      <c r="J2385" s="2" t="s">
        <v>8916</v>
      </c>
      <c r="K2385" s="2">
        <v>45378</v>
      </c>
      <c r="L2385" s="26" t="s">
        <v>570</v>
      </c>
      <c r="M2385" s="26" t="s">
        <v>570</v>
      </c>
      <c r="N2385" s="26" t="s">
        <v>570</v>
      </c>
      <c r="O2385" s="26" t="s">
        <v>570</v>
      </c>
      <c r="P2385" s="488" t="s">
        <v>8917</v>
      </c>
      <c r="Q2385" s="1" t="str">
        <f t="shared" si="6"/>
        <v/>
      </c>
      <c r="R2385" s="1">
        <f t="shared" si="4"/>
        <v>1</v>
      </c>
      <c r="S2385" s="1">
        <f t="shared" si="5"/>
        <v>1</v>
      </c>
      <c r="T2385" s="512" t="e">
        <f>_xlfn.XLOOKUP(H2385,#REF!,#REF!,0,0)</f>
        <v>#REF!</v>
      </c>
    </row>
    <row r="2386" spans="1:20" s="295" customFormat="1" ht="18" customHeight="1" x14ac:dyDescent="0.4">
      <c r="A2386" s="2" t="s">
        <v>8918</v>
      </c>
      <c r="B2386" s="2" t="s">
        <v>8919</v>
      </c>
      <c r="C2386" s="2" t="s">
        <v>433</v>
      </c>
      <c r="D2386" s="2" t="s">
        <v>8127</v>
      </c>
      <c r="E2386" s="2" t="s">
        <v>3785</v>
      </c>
      <c r="F2386" s="2" t="s">
        <v>436</v>
      </c>
      <c r="G2386" s="2">
        <v>45278</v>
      </c>
      <c r="H2386" s="2" t="s">
        <v>8920</v>
      </c>
      <c r="I2386" s="1">
        <v>73646</v>
      </c>
      <c r="J2386" s="2" t="s">
        <v>8921</v>
      </c>
      <c r="K2386" s="2" t="s">
        <v>8922</v>
      </c>
      <c r="L2386" s="26" t="s">
        <v>570</v>
      </c>
      <c r="M2386" s="26" t="s">
        <v>570</v>
      </c>
      <c r="N2386" s="26" t="s">
        <v>570</v>
      </c>
      <c r="O2386" s="26" t="s">
        <v>570</v>
      </c>
      <c r="P2386" s="488" t="s">
        <v>6278</v>
      </c>
      <c r="Q2386" s="1" t="str">
        <f t="shared" si="6"/>
        <v/>
      </c>
      <c r="R2386" s="1">
        <f t="shared" si="4"/>
        <v>1</v>
      </c>
      <c r="S2386" s="1">
        <f t="shared" si="5"/>
        <v>1</v>
      </c>
      <c r="T2386" s="512" t="e">
        <f>_xlfn.XLOOKUP(H2386,#REF!,#REF!,0,0)</f>
        <v>#REF!</v>
      </c>
    </row>
    <row r="2387" spans="1:20" s="295" customFormat="1" ht="18" customHeight="1" x14ac:dyDescent="0.4">
      <c r="A2387" s="316" t="s">
        <v>8923</v>
      </c>
      <c r="B2387" s="316" t="s">
        <v>8924</v>
      </c>
      <c r="C2387" s="316" t="s">
        <v>8925</v>
      </c>
      <c r="D2387" s="316"/>
      <c r="E2387" s="316" t="s">
        <v>10</v>
      </c>
      <c r="F2387" s="316" t="s">
        <v>8665</v>
      </c>
      <c r="G2387" s="316">
        <v>45278</v>
      </c>
      <c r="H2387" s="316" t="s">
        <v>8926</v>
      </c>
      <c r="I2387" s="289">
        <v>73629</v>
      </c>
      <c r="J2387" s="316" t="s">
        <v>8927</v>
      </c>
      <c r="K2387" s="316">
        <v>45413</v>
      </c>
      <c r="L2387" s="316" t="s">
        <v>364</v>
      </c>
      <c r="M2387" s="316" t="s">
        <v>364</v>
      </c>
      <c r="N2387" s="316" t="s">
        <v>364</v>
      </c>
      <c r="O2387" s="316" t="s">
        <v>364</v>
      </c>
      <c r="P2387" s="493" t="s">
        <v>8928</v>
      </c>
      <c r="Q2387" s="289" t="str">
        <f t="shared" si="6"/>
        <v/>
      </c>
      <c r="R2387" s="1">
        <f t="shared" si="4"/>
        <v>1</v>
      </c>
      <c r="S2387" s="1">
        <f t="shared" si="5"/>
        <v>1</v>
      </c>
      <c r="T2387" s="512" t="e">
        <f>_xlfn.XLOOKUP(H2387,#REF!,#REF!,0,0)</f>
        <v>#REF!</v>
      </c>
    </row>
    <row r="2388" spans="1:20" s="295" customFormat="1" ht="18" customHeight="1" x14ac:dyDescent="0.4">
      <c r="A2388" s="316" t="s">
        <v>8929</v>
      </c>
      <c r="B2388" s="316" t="s">
        <v>8930</v>
      </c>
      <c r="C2388" s="316" t="s">
        <v>8925</v>
      </c>
      <c r="D2388" s="316"/>
      <c r="E2388" s="316" t="s">
        <v>10</v>
      </c>
      <c r="F2388" s="316" t="s">
        <v>362</v>
      </c>
      <c r="G2388" s="316">
        <v>45281</v>
      </c>
      <c r="H2388" s="316" t="s">
        <v>8931</v>
      </c>
      <c r="I2388" s="289">
        <v>73667</v>
      </c>
      <c r="J2388" s="316" t="s">
        <v>8932</v>
      </c>
      <c r="K2388" s="316">
        <v>45383</v>
      </c>
      <c r="L2388" s="316" t="s">
        <v>570</v>
      </c>
      <c r="M2388" s="316" t="s">
        <v>570</v>
      </c>
      <c r="N2388" s="316" t="s">
        <v>570</v>
      </c>
      <c r="O2388" s="316" t="s">
        <v>570</v>
      </c>
      <c r="P2388" s="493" t="s">
        <v>8933</v>
      </c>
      <c r="Q2388" s="289" t="str">
        <f t="shared" si="6"/>
        <v/>
      </c>
      <c r="R2388" s="1">
        <f t="shared" si="4"/>
        <v>1</v>
      </c>
      <c r="S2388" s="1">
        <f t="shared" si="5"/>
        <v>1</v>
      </c>
      <c r="T2388" s="512" t="e">
        <f>_xlfn.XLOOKUP(H2388,#REF!,#REF!,0,0)</f>
        <v>#REF!</v>
      </c>
    </row>
    <row r="2389" spans="1:20" s="295" customFormat="1" ht="18" customHeight="1" x14ac:dyDescent="0.4">
      <c r="A2389" s="316" t="s">
        <v>8934</v>
      </c>
      <c r="B2389" s="316" t="s">
        <v>8935</v>
      </c>
      <c r="C2389" s="316" t="s">
        <v>8925</v>
      </c>
      <c r="D2389" s="316"/>
      <c r="E2389" s="316" t="s">
        <v>3785</v>
      </c>
      <c r="F2389" s="316" t="s">
        <v>436</v>
      </c>
      <c r="G2389" s="316">
        <v>45278</v>
      </c>
      <c r="H2389" s="316" t="s">
        <v>8936</v>
      </c>
      <c r="I2389" s="289">
        <v>73652</v>
      </c>
      <c r="J2389" s="316" t="s">
        <v>8937</v>
      </c>
      <c r="K2389" s="316"/>
      <c r="L2389" s="316" t="s">
        <v>364</v>
      </c>
      <c r="M2389" s="316" t="s">
        <v>364</v>
      </c>
      <c r="N2389" s="316" t="s">
        <v>364</v>
      </c>
      <c r="O2389" s="316" t="s">
        <v>364</v>
      </c>
      <c r="P2389" s="493" t="s">
        <v>6278</v>
      </c>
      <c r="Q2389" s="289" t="str">
        <f t="shared" si="6"/>
        <v/>
      </c>
      <c r="R2389" s="1">
        <f t="shared" si="4"/>
        <v>1</v>
      </c>
      <c r="S2389" s="1">
        <f t="shared" si="5"/>
        <v>1</v>
      </c>
      <c r="T2389" s="512" t="e">
        <f>_xlfn.XLOOKUP(H2389,#REF!,#REF!,0,0)</f>
        <v>#REF!</v>
      </c>
    </row>
    <row r="2390" spans="1:20" s="295" customFormat="1" ht="18" customHeight="1" x14ac:dyDescent="0.4">
      <c r="A2390" s="316" t="s">
        <v>8938</v>
      </c>
      <c r="B2390" s="316" t="s">
        <v>8939</v>
      </c>
      <c r="C2390" s="316" t="s">
        <v>8925</v>
      </c>
      <c r="D2390" s="316"/>
      <c r="E2390" s="316" t="s">
        <v>3785</v>
      </c>
      <c r="F2390" s="316" t="s">
        <v>436</v>
      </c>
      <c r="G2390" s="316">
        <v>45278</v>
      </c>
      <c r="H2390" s="316" t="s">
        <v>8940</v>
      </c>
      <c r="I2390" s="289">
        <v>73653</v>
      </c>
      <c r="J2390" s="316" t="s">
        <v>8941</v>
      </c>
      <c r="K2390" s="316">
        <v>45413</v>
      </c>
      <c r="L2390" s="316" t="s">
        <v>364</v>
      </c>
      <c r="M2390" s="316" t="s">
        <v>364</v>
      </c>
      <c r="N2390" s="316" t="s">
        <v>364</v>
      </c>
      <c r="O2390" s="316" t="s">
        <v>364</v>
      </c>
      <c r="P2390" s="493" t="s">
        <v>8866</v>
      </c>
      <c r="Q2390" s="289" t="str">
        <f t="shared" si="6"/>
        <v/>
      </c>
      <c r="R2390" s="1">
        <f t="shared" si="4"/>
        <v>1</v>
      </c>
      <c r="S2390" s="1">
        <f t="shared" si="5"/>
        <v>1</v>
      </c>
      <c r="T2390" s="512" t="e">
        <f>_xlfn.XLOOKUP(H2390,#REF!,#REF!,0,0)</f>
        <v>#REF!</v>
      </c>
    </row>
    <row r="2391" spans="1:20" s="295" customFormat="1" ht="18" customHeight="1" x14ac:dyDescent="0.4">
      <c r="A2391" s="2" t="s">
        <v>8942</v>
      </c>
      <c r="B2391" s="2" t="s">
        <v>8943</v>
      </c>
      <c r="C2391" s="2" t="s">
        <v>433</v>
      </c>
      <c r="D2391" s="2"/>
      <c r="E2391" s="2" t="s">
        <v>3785</v>
      </c>
      <c r="F2391" s="2" t="s">
        <v>436</v>
      </c>
      <c r="G2391" s="2">
        <v>45278</v>
      </c>
      <c r="H2391" s="2" t="s">
        <v>8944</v>
      </c>
      <c r="I2391" s="1">
        <v>73647</v>
      </c>
      <c r="J2391" s="2" t="s">
        <v>8945</v>
      </c>
      <c r="K2391" s="2">
        <v>45380</v>
      </c>
      <c r="L2391" s="2" t="s">
        <v>364</v>
      </c>
      <c r="M2391" s="2" t="s">
        <v>364</v>
      </c>
      <c r="N2391" s="2" t="s">
        <v>364</v>
      </c>
      <c r="O2391" s="2" t="s">
        <v>364</v>
      </c>
      <c r="P2391" s="488" t="s">
        <v>6278</v>
      </c>
      <c r="Q2391" s="1" t="str">
        <f t="shared" si="6"/>
        <v/>
      </c>
      <c r="R2391" s="1">
        <f t="shared" si="4"/>
        <v>1</v>
      </c>
      <c r="S2391" s="1">
        <f t="shared" si="5"/>
        <v>1</v>
      </c>
      <c r="T2391" s="512" t="e">
        <f>_xlfn.XLOOKUP(H2391,#REF!,#REF!,0,0)</f>
        <v>#REF!</v>
      </c>
    </row>
    <row r="2392" spans="1:20" s="513" customFormat="1" ht="18" customHeight="1" x14ac:dyDescent="0.4">
      <c r="A2392" s="2" t="s">
        <v>8946</v>
      </c>
      <c r="B2392" s="2" t="s">
        <v>8947</v>
      </c>
      <c r="C2392" s="2" t="s">
        <v>435</v>
      </c>
      <c r="D2392" s="2" t="s">
        <v>570</v>
      </c>
      <c r="E2392" s="2" t="s">
        <v>3785</v>
      </c>
      <c r="F2392" s="2" t="s">
        <v>437</v>
      </c>
      <c r="G2392" s="2">
        <v>45243</v>
      </c>
      <c r="H2392" s="2" t="s">
        <v>8948</v>
      </c>
      <c r="I2392" s="1">
        <v>73352</v>
      </c>
      <c r="J2392" s="2" t="s">
        <v>8949</v>
      </c>
      <c r="K2392" s="2">
        <v>45384</v>
      </c>
      <c r="L2392" s="2" t="s">
        <v>364</v>
      </c>
      <c r="M2392" s="2" t="s">
        <v>364</v>
      </c>
      <c r="N2392" s="2" t="s">
        <v>364</v>
      </c>
      <c r="O2392" s="2" t="s">
        <v>364</v>
      </c>
      <c r="P2392" s="488" t="s">
        <v>8950</v>
      </c>
      <c r="Q2392" s="2" t="str">
        <f t="shared" si="6"/>
        <v/>
      </c>
      <c r="R2392" s="1">
        <f t="shared" si="4"/>
        <v>1</v>
      </c>
      <c r="S2392" s="1">
        <f t="shared" si="5"/>
        <v>1</v>
      </c>
      <c r="T2392" s="512" t="e">
        <f>_xlfn.XLOOKUP(H2392,#REF!,#REF!,0,0)</f>
        <v>#REF!</v>
      </c>
    </row>
    <row r="2393" spans="1:20" s="295" customFormat="1" ht="18" customHeight="1" x14ac:dyDescent="0.4">
      <c r="A2393" s="2" t="s">
        <v>8951</v>
      </c>
      <c r="B2393" s="2" t="s">
        <v>8952</v>
      </c>
      <c r="C2393" s="2" t="s">
        <v>435</v>
      </c>
      <c r="D2393" s="2" t="s">
        <v>570</v>
      </c>
      <c r="E2393" s="2" t="s">
        <v>3785</v>
      </c>
      <c r="F2393" s="2" t="s">
        <v>436</v>
      </c>
      <c r="G2393" s="2">
        <v>45278</v>
      </c>
      <c r="H2393" s="2" t="s">
        <v>8953</v>
      </c>
      <c r="I2393" s="1">
        <v>73651</v>
      </c>
      <c r="J2393" s="2" t="s">
        <v>8954</v>
      </c>
      <c r="K2393" s="2">
        <v>45384</v>
      </c>
      <c r="L2393" s="2" t="s">
        <v>364</v>
      </c>
      <c r="M2393" s="2" t="s">
        <v>364</v>
      </c>
      <c r="N2393" s="2" t="s">
        <v>364</v>
      </c>
      <c r="O2393" s="2" t="s">
        <v>364</v>
      </c>
      <c r="P2393" s="488" t="s">
        <v>7623</v>
      </c>
      <c r="Q2393" s="1" t="str">
        <f t="shared" si="6"/>
        <v/>
      </c>
      <c r="R2393" s="1">
        <f t="shared" si="4"/>
        <v>1</v>
      </c>
      <c r="S2393" s="1">
        <f t="shared" si="5"/>
        <v>1</v>
      </c>
      <c r="T2393" s="512" t="e">
        <f>_xlfn.XLOOKUP(H2393,#REF!,#REF!,0,0)</f>
        <v>#REF!</v>
      </c>
    </row>
    <row r="2394" spans="1:20" s="295" customFormat="1" ht="18" customHeight="1" x14ac:dyDescent="0.4">
      <c r="A2394" s="2" t="s">
        <v>8955</v>
      </c>
      <c r="B2394" s="2" t="s">
        <v>8956</v>
      </c>
      <c r="C2394" s="2" t="s">
        <v>433</v>
      </c>
      <c r="D2394" s="2" t="s">
        <v>570</v>
      </c>
      <c r="E2394" s="2" t="s">
        <v>3785</v>
      </c>
      <c r="F2394" s="2" t="s">
        <v>436</v>
      </c>
      <c r="G2394" s="2">
        <v>45278</v>
      </c>
      <c r="H2394" s="2" t="s">
        <v>8957</v>
      </c>
      <c r="I2394" s="1">
        <v>73645</v>
      </c>
      <c r="J2394" s="2" t="s">
        <v>8958</v>
      </c>
      <c r="K2394" s="2">
        <v>45384</v>
      </c>
      <c r="L2394" s="2" t="s">
        <v>364</v>
      </c>
      <c r="M2394" s="2" t="s">
        <v>364</v>
      </c>
      <c r="N2394" s="2" t="s">
        <v>364</v>
      </c>
      <c r="O2394" s="2" t="s">
        <v>364</v>
      </c>
      <c r="P2394" s="488" t="s">
        <v>6278</v>
      </c>
      <c r="Q2394" s="1" t="str">
        <f t="shared" si="6"/>
        <v/>
      </c>
      <c r="R2394" s="1">
        <f t="shared" si="4"/>
        <v>1</v>
      </c>
      <c r="S2394" s="1">
        <f t="shared" si="5"/>
        <v>1</v>
      </c>
      <c r="T2394" s="512" t="e">
        <f>_xlfn.XLOOKUP(H2394,#REF!,#REF!,0,0)</f>
        <v>#REF!</v>
      </c>
    </row>
    <row r="2395" spans="1:20" s="513" customFormat="1" ht="18" customHeight="1" x14ac:dyDescent="0.4">
      <c r="A2395" s="2" t="s">
        <v>8959</v>
      </c>
      <c r="B2395" s="2" t="s">
        <v>8960</v>
      </c>
      <c r="C2395" s="2" t="s">
        <v>435</v>
      </c>
      <c r="D2395" s="2" t="s">
        <v>570</v>
      </c>
      <c r="E2395" s="2" t="s">
        <v>10</v>
      </c>
      <c r="F2395" s="2" t="s">
        <v>8908</v>
      </c>
      <c r="G2395" s="2">
        <v>45237</v>
      </c>
      <c r="H2395" s="2" t="s">
        <v>8961</v>
      </c>
      <c r="I2395" s="1">
        <v>73314</v>
      </c>
      <c r="J2395" s="2" t="s">
        <v>8962</v>
      </c>
      <c r="K2395" s="2">
        <v>45384</v>
      </c>
      <c r="L2395" s="2" t="s">
        <v>364</v>
      </c>
      <c r="M2395" s="2" t="s">
        <v>364</v>
      </c>
      <c r="N2395" s="2" t="s">
        <v>364</v>
      </c>
      <c r="O2395" s="2" t="s">
        <v>364</v>
      </c>
      <c r="P2395" s="488" t="s">
        <v>8963</v>
      </c>
      <c r="Q2395" s="1" t="str">
        <f t="shared" si="6"/>
        <v/>
      </c>
      <c r="R2395" s="1">
        <f t="shared" ref="R2395:S2398" si="7">IF(H2395&lt;&gt;"",1,"")</f>
        <v>1</v>
      </c>
      <c r="S2395" s="1">
        <f t="shared" si="7"/>
        <v>1</v>
      </c>
      <c r="T2395" s="512" t="e">
        <f>_xlfn.XLOOKUP(H2395,#REF!,#REF!,0,0)</f>
        <v>#REF!</v>
      </c>
    </row>
    <row r="2396" spans="1:20" s="295" customFormat="1" ht="18" customHeight="1" x14ac:dyDescent="0.4">
      <c r="A2396" s="2" t="s">
        <v>8964</v>
      </c>
      <c r="B2396" s="2" t="s">
        <v>8965</v>
      </c>
      <c r="C2396" s="2" t="s">
        <v>435</v>
      </c>
      <c r="D2396" s="2" t="s">
        <v>570</v>
      </c>
      <c r="E2396" s="2" t="s">
        <v>10</v>
      </c>
      <c r="F2396" s="2" t="s">
        <v>8908</v>
      </c>
      <c r="G2396" s="2">
        <v>45278</v>
      </c>
      <c r="H2396" s="2" t="s">
        <v>8966</v>
      </c>
      <c r="I2396" s="1">
        <v>73630</v>
      </c>
      <c r="J2396" s="2" t="s">
        <v>8967</v>
      </c>
      <c r="K2396" s="2">
        <v>45384</v>
      </c>
      <c r="L2396" s="2" t="s">
        <v>364</v>
      </c>
      <c r="M2396" s="2" t="s">
        <v>364</v>
      </c>
      <c r="N2396" s="2" t="s">
        <v>364</v>
      </c>
      <c r="O2396" s="2" t="s">
        <v>364</v>
      </c>
      <c r="P2396" s="488"/>
      <c r="Q2396" s="1" t="str">
        <f t="shared" si="6"/>
        <v/>
      </c>
      <c r="R2396" s="1">
        <f t="shared" si="7"/>
        <v>1</v>
      </c>
      <c r="S2396" s="1">
        <f t="shared" si="7"/>
        <v>1</v>
      </c>
      <c r="T2396" s="512" t="e">
        <f>_xlfn.XLOOKUP(H2396,#REF!,#REF!,0,0)</f>
        <v>#REF!</v>
      </c>
    </row>
    <row r="2397" spans="1:20" s="295" customFormat="1" ht="18" customHeight="1" x14ac:dyDescent="0.4">
      <c r="A2397" s="2" t="s">
        <v>8968</v>
      </c>
      <c r="B2397" s="2" t="s">
        <v>8969</v>
      </c>
      <c r="C2397" s="2" t="s">
        <v>435</v>
      </c>
      <c r="D2397" s="2"/>
      <c r="E2397" s="2" t="s">
        <v>10</v>
      </c>
      <c r="F2397" s="2" t="s">
        <v>8665</v>
      </c>
      <c r="G2397" s="2">
        <v>45278</v>
      </c>
      <c r="H2397" s="2" t="s">
        <v>8970</v>
      </c>
      <c r="I2397" s="1">
        <v>73631</v>
      </c>
      <c r="J2397" s="2" t="s">
        <v>8971</v>
      </c>
      <c r="K2397" s="2">
        <v>45384</v>
      </c>
      <c r="L2397" s="2" t="s">
        <v>364</v>
      </c>
      <c r="M2397" s="2" t="s">
        <v>364</v>
      </c>
      <c r="N2397" s="2" t="s">
        <v>364</v>
      </c>
      <c r="O2397" s="2" t="s">
        <v>364</v>
      </c>
      <c r="P2397" s="488" t="s">
        <v>8928</v>
      </c>
      <c r="Q2397" s="1" t="str">
        <f t="shared" si="6"/>
        <v/>
      </c>
      <c r="R2397" s="1">
        <f t="shared" si="7"/>
        <v>1</v>
      </c>
      <c r="S2397" s="1">
        <f t="shared" si="7"/>
        <v>1</v>
      </c>
      <c r="T2397" s="512" t="e">
        <f>_xlfn.XLOOKUP(H2397,#REF!,#REF!,0,0)</f>
        <v>#REF!</v>
      </c>
    </row>
    <row r="2398" spans="1:20" s="295" customFormat="1" ht="18" customHeight="1" x14ac:dyDescent="0.4">
      <c r="A2398" s="2" t="s">
        <v>8972</v>
      </c>
      <c r="B2398" s="1" t="s">
        <v>8973</v>
      </c>
      <c r="C2398" s="2" t="s">
        <v>435</v>
      </c>
      <c r="D2398" s="2" t="s">
        <v>570</v>
      </c>
      <c r="E2398" s="2" t="s">
        <v>10</v>
      </c>
      <c r="F2398" s="2" t="s">
        <v>8808</v>
      </c>
      <c r="G2398" s="2">
        <v>45237</v>
      </c>
      <c r="H2398" s="2" t="s">
        <v>8974</v>
      </c>
      <c r="I2398" s="1">
        <v>71713</v>
      </c>
      <c r="J2398" s="2" t="s">
        <v>8975</v>
      </c>
      <c r="K2398" s="2">
        <v>45384</v>
      </c>
      <c r="L2398" s="2" t="s">
        <v>364</v>
      </c>
      <c r="M2398" s="2" t="s">
        <v>364</v>
      </c>
      <c r="N2398" s="2" t="s">
        <v>364</v>
      </c>
      <c r="O2398" s="2" t="s">
        <v>364</v>
      </c>
      <c r="P2398" s="488"/>
      <c r="Q2398" s="1" t="str">
        <f t="shared" si="6"/>
        <v/>
      </c>
      <c r="R2398" s="1">
        <f t="shared" si="7"/>
        <v>1</v>
      </c>
      <c r="S2398" s="1">
        <f t="shared" si="7"/>
        <v>1</v>
      </c>
      <c r="T2398" s="512" t="e">
        <f>_xlfn.XLOOKUP(H2398,#REF!,#REF!,0,0)</f>
        <v>#REF!</v>
      </c>
    </row>
    <row r="2399" spans="1:20" s="295" customFormat="1" ht="18" customHeight="1" x14ac:dyDescent="0.4">
      <c r="A2399" s="2" t="s">
        <v>8976</v>
      </c>
      <c r="B2399" s="2" t="s">
        <v>8977</v>
      </c>
      <c r="C2399" s="2" t="s">
        <v>433</v>
      </c>
      <c r="D2399" s="2" t="s">
        <v>8127</v>
      </c>
      <c r="E2399" s="2" t="s">
        <v>3785</v>
      </c>
      <c r="F2399" s="2" t="s">
        <v>436</v>
      </c>
      <c r="G2399" s="2">
        <v>45278</v>
      </c>
      <c r="H2399" s="2" t="s">
        <v>8978</v>
      </c>
      <c r="I2399" s="1">
        <v>73644</v>
      </c>
      <c r="J2399" s="2" t="s">
        <v>8979</v>
      </c>
      <c r="K2399" s="2">
        <v>45385</v>
      </c>
      <c r="L2399" s="2" t="s">
        <v>364</v>
      </c>
      <c r="M2399" s="2" t="s">
        <v>364</v>
      </c>
      <c r="N2399" s="2" t="s">
        <v>364</v>
      </c>
      <c r="O2399" s="2" t="s">
        <v>364</v>
      </c>
      <c r="P2399" s="488" t="s">
        <v>6278</v>
      </c>
      <c r="Q2399" s="1" t="str">
        <f t="shared" si="6"/>
        <v/>
      </c>
      <c r="R2399" s="1">
        <f>IF(H2399="","",1)</f>
        <v>1</v>
      </c>
      <c r="S2399" s="1">
        <f>IF(I2399="","",1)</f>
        <v>1</v>
      </c>
      <c r="T2399" s="512" t="e">
        <f>_xlfn.XLOOKUP(H2399,#REF!,#REF!,0,0)</f>
        <v>#REF!</v>
      </c>
    </row>
    <row r="2400" spans="1:20" s="512" customFormat="1" x14ac:dyDescent="0.4">
      <c r="A2400" s="26" t="s">
        <v>8980</v>
      </c>
      <c r="B2400" s="26" t="s">
        <v>8981</v>
      </c>
      <c r="C2400" s="66" t="s">
        <v>433</v>
      </c>
      <c r="D2400" s="26" t="s">
        <v>8835</v>
      </c>
      <c r="E2400" s="26" t="s">
        <v>10</v>
      </c>
      <c r="F2400" s="26" t="s">
        <v>244</v>
      </c>
      <c r="G2400" s="27"/>
      <c r="H2400" s="26" t="s">
        <v>7592</v>
      </c>
      <c r="I2400" s="26">
        <v>72761</v>
      </c>
      <c r="J2400" s="26"/>
      <c r="K2400" s="27">
        <v>45385</v>
      </c>
      <c r="L2400" s="26" t="s">
        <v>364</v>
      </c>
      <c r="M2400" s="26" t="s">
        <v>364</v>
      </c>
      <c r="N2400" s="26" t="s">
        <v>364</v>
      </c>
      <c r="O2400" s="26" t="s">
        <v>364</v>
      </c>
      <c r="P2400" s="449"/>
      <c r="Q2400" s="26"/>
      <c r="R2400" s="26"/>
      <c r="S2400" s="26"/>
      <c r="T2400" s="512" t="e">
        <f>_xlfn.XLOOKUP(H2400,#REF!,#REF!,0,0)</f>
        <v>#REF!</v>
      </c>
    </row>
    <row r="2401" spans="1:20" s="295" customFormat="1" ht="18" customHeight="1" x14ac:dyDescent="0.4">
      <c r="A2401" s="2" t="s">
        <v>8982</v>
      </c>
      <c r="B2401" s="2" t="s">
        <v>8983</v>
      </c>
      <c r="C2401" s="2" t="s">
        <v>433</v>
      </c>
      <c r="D2401" s="2" t="s">
        <v>1097</v>
      </c>
      <c r="E2401" s="2" t="s">
        <v>3785</v>
      </c>
      <c r="F2401" s="2" t="s">
        <v>436</v>
      </c>
      <c r="G2401" s="2">
        <v>45278</v>
      </c>
      <c r="H2401" s="2" t="s">
        <v>8984</v>
      </c>
      <c r="I2401" s="1">
        <v>73648</v>
      </c>
      <c r="J2401" s="2" t="s">
        <v>8985</v>
      </c>
      <c r="K2401" s="2" t="s">
        <v>8986</v>
      </c>
      <c r="L2401" s="2" t="s">
        <v>364</v>
      </c>
      <c r="M2401" s="2" t="s">
        <v>364</v>
      </c>
      <c r="N2401" s="2" t="s">
        <v>364</v>
      </c>
      <c r="O2401" s="2" t="s">
        <v>364</v>
      </c>
      <c r="P2401" s="488" t="s">
        <v>6278</v>
      </c>
      <c r="Q2401" s="1" t="str">
        <f>IF(A2401="SCORTA 15",1,"")</f>
        <v/>
      </c>
      <c r="R2401" s="1">
        <f>IF(H2401="","",1)</f>
        <v>1</v>
      </c>
      <c r="S2401" s="1">
        <f>IF(I2401="","",1)</f>
        <v>1</v>
      </c>
      <c r="T2401" s="512" t="e">
        <f>_xlfn.XLOOKUP(H2401,#REF!,#REF!,0,0)</f>
        <v>#REF!</v>
      </c>
    </row>
    <row r="2402" spans="1:20" s="512" customFormat="1" x14ac:dyDescent="0.4">
      <c r="A2402" s="26" t="s">
        <v>8987</v>
      </c>
      <c r="B2402" s="26" t="s">
        <v>8988</v>
      </c>
      <c r="C2402" s="66" t="s">
        <v>433</v>
      </c>
      <c r="D2402" s="26" t="s">
        <v>1097</v>
      </c>
      <c r="E2402" s="26" t="s">
        <v>10</v>
      </c>
      <c r="F2402" s="26" t="s">
        <v>8898</v>
      </c>
      <c r="G2402" s="27"/>
      <c r="H2402" s="26" t="s">
        <v>269</v>
      </c>
      <c r="I2402" s="26">
        <v>70716</v>
      </c>
      <c r="J2402" s="26"/>
      <c r="K2402" s="27">
        <v>45384</v>
      </c>
      <c r="L2402" s="26" t="s">
        <v>364</v>
      </c>
      <c r="M2402" s="26" t="s">
        <v>364</v>
      </c>
      <c r="N2402" s="26" t="s">
        <v>364</v>
      </c>
      <c r="O2402" s="26" t="s">
        <v>364</v>
      </c>
      <c r="P2402" s="449"/>
      <c r="Q2402" s="26">
        <v>1</v>
      </c>
      <c r="R2402" s="26"/>
      <c r="S2402" s="26"/>
      <c r="T2402" s="512" t="e">
        <f>_xlfn.XLOOKUP(H2402,#REF!,#REF!,0,0)</f>
        <v>#REF!</v>
      </c>
    </row>
    <row r="2403" spans="1:20" s="295" customFormat="1" ht="18" customHeight="1" x14ac:dyDescent="0.4">
      <c r="A2403" s="1"/>
      <c r="B2403" s="2" t="s">
        <v>8989</v>
      </c>
      <c r="C2403" s="1" t="s">
        <v>433</v>
      </c>
      <c r="D2403" s="303" t="s">
        <v>8127</v>
      </c>
      <c r="E2403" s="1" t="s">
        <v>10</v>
      </c>
      <c r="F2403" s="1" t="s">
        <v>8990</v>
      </c>
      <c r="G2403" s="2"/>
      <c r="H2403" s="1" t="s">
        <v>8991</v>
      </c>
      <c r="I2403" s="1">
        <v>73332</v>
      </c>
      <c r="J2403" s="1"/>
      <c r="K2403" s="2">
        <v>45386</v>
      </c>
      <c r="L2403" s="2" t="s">
        <v>364</v>
      </c>
      <c r="M2403" s="2" t="s">
        <v>364</v>
      </c>
      <c r="N2403" s="2" t="s">
        <v>364</v>
      </c>
      <c r="O2403" s="2" t="s">
        <v>364</v>
      </c>
      <c r="P2403" s="488" t="s">
        <v>8992</v>
      </c>
      <c r="Q2403" s="1" t="str">
        <f>IF(A2403="SCORTA 15",1,"")</f>
        <v/>
      </c>
      <c r="R2403" s="1">
        <f>IF(H2403="","",1)</f>
        <v>1</v>
      </c>
      <c r="S2403" s="1">
        <f>IF(I2403="","",1)</f>
        <v>1</v>
      </c>
      <c r="T2403" s="512" t="e">
        <f>_xlfn.XLOOKUP(H2403,#REF!,#REF!,0,0)</f>
        <v>#REF!</v>
      </c>
    </row>
    <row r="2404" spans="1:20" s="295" customFormat="1" ht="18" customHeight="1" x14ac:dyDescent="0.4">
      <c r="A2404" s="2" t="s">
        <v>8993</v>
      </c>
      <c r="B2404" s="2" t="s">
        <v>8994</v>
      </c>
      <c r="C2404" s="2" t="s">
        <v>433</v>
      </c>
      <c r="D2404" s="2" t="s">
        <v>8127</v>
      </c>
      <c r="E2404" s="2" t="s">
        <v>10</v>
      </c>
      <c r="F2404" s="2" t="s">
        <v>8808</v>
      </c>
      <c r="G2404" s="2">
        <v>45237</v>
      </c>
      <c r="H2404" s="2" t="s">
        <v>8995</v>
      </c>
      <c r="I2404" s="1">
        <v>71714</v>
      </c>
      <c r="J2404" s="2" t="s">
        <v>8996</v>
      </c>
      <c r="K2404" s="2">
        <v>45386</v>
      </c>
      <c r="L2404" s="2" t="s">
        <v>364</v>
      </c>
      <c r="M2404" s="2" t="s">
        <v>364</v>
      </c>
      <c r="N2404" s="2" t="s">
        <v>364</v>
      </c>
      <c r="O2404" s="2" t="s">
        <v>364</v>
      </c>
      <c r="P2404" s="488" t="s">
        <v>8997</v>
      </c>
      <c r="Q2404" s="1" t="str">
        <f>IF(A2404="SCORTA 15",1,"")</f>
        <v/>
      </c>
      <c r="R2404" s="1">
        <f>IF(H2404&lt;&gt;"",1,"")</f>
        <v>1</v>
      </c>
      <c r="S2404" s="1">
        <f>IF(I2404&lt;&gt;"",1,"")</f>
        <v>1</v>
      </c>
      <c r="T2404" s="512" t="e">
        <f>_xlfn.XLOOKUP(H2404,#REF!,#REF!,0,0)</f>
        <v>#REF!</v>
      </c>
    </row>
    <row r="2405" spans="1:20" s="512" customFormat="1" x14ac:dyDescent="0.4">
      <c r="A2405" s="66" t="s">
        <v>8998</v>
      </c>
      <c r="B2405" s="66" t="s">
        <v>8999</v>
      </c>
      <c r="C2405" s="66" t="s">
        <v>433</v>
      </c>
      <c r="D2405" s="66" t="s">
        <v>8835</v>
      </c>
      <c r="E2405" s="66" t="s">
        <v>10</v>
      </c>
      <c r="F2405" s="66" t="s">
        <v>244</v>
      </c>
      <c r="G2405" s="66"/>
      <c r="H2405" s="66" t="s">
        <v>6094</v>
      </c>
      <c r="I2405" s="66">
        <v>70550</v>
      </c>
      <c r="J2405" s="66"/>
      <c r="K2405" s="66"/>
      <c r="L2405" s="66" t="s">
        <v>364</v>
      </c>
      <c r="M2405" s="66" t="s">
        <v>364</v>
      </c>
      <c r="N2405" s="66" t="s">
        <v>364</v>
      </c>
      <c r="O2405" s="66" t="s">
        <v>364</v>
      </c>
      <c r="P2405" s="421" t="s">
        <v>9000</v>
      </c>
      <c r="Q2405" s="66"/>
      <c r="R2405" s="66">
        <v>1</v>
      </c>
      <c r="S2405" s="66">
        <v>1</v>
      </c>
      <c r="T2405" s="512" t="e">
        <f>_xlfn.XLOOKUP(H2405,#REF!,#REF!,0,0)</f>
        <v>#REF!</v>
      </c>
    </row>
    <row r="2406" spans="1:20" s="512" customFormat="1" x14ac:dyDescent="0.4">
      <c r="A2406" s="66" t="s">
        <v>9001</v>
      </c>
      <c r="B2406" s="66" t="s">
        <v>9002</v>
      </c>
      <c r="C2406" s="66" t="s">
        <v>433</v>
      </c>
      <c r="D2406" s="66" t="s">
        <v>8835</v>
      </c>
      <c r="E2406" s="66" t="s">
        <v>10</v>
      </c>
      <c r="F2406" s="66" t="s">
        <v>244</v>
      </c>
      <c r="G2406" s="66"/>
      <c r="H2406" s="66" t="s">
        <v>7903</v>
      </c>
      <c r="I2406" s="66">
        <v>70564</v>
      </c>
      <c r="J2406" s="66"/>
      <c r="K2406" s="66"/>
      <c r="L2406" s="66" t="s">
        <v>364</v>
      </c>
      <c r="M2406" s="66" t="s">
        <v>364</v>
      </c>
      <c r="N2406" s="66" t="s">
        <v>364</v>
      </c>
      <c r="O2406" s="66" t="s">
        <v>364</v>
      </c>
      <c r="P2406" s="421" t="s">
        <v>9000</v>
      </c>
      <c r="Q2406" s="66"/>
      <c r="R2406" s="66">
        <v>1</v>
      </c>
      <c r="S2406" s="66">
        <v>1</v>
      </c>
      <c r="T2406" s="512" t="e">
        <f>_xlfn.XLOOKUP(H2406,#REF!,#REF!,0,0)</f>
        <v>#REF!</v>
      </c>
    </row>
    <row r="2407" spans="1:20" s="295" customFormat="1" ht="18" customHeight="1" x14ac:dyDescent="0.4">
      <c r="A2407" s="2" t="s">
        <v>9003</v>
      </c>
      <c r="B2407" s="2" t="s">
        <v>9004</v>
      </c>
      <c r="C2407" s="2" t="s">
        <v>435</v>
      </c>
      <c r="D2407" s="2" t="s">
        <v>8127</v>
      </c>
      <c r="E2407" s="2" t="s">
        <v>10</v>
      </c>
      <c r="F2407" s="2" t="s">
        <v>8665</v>
      </c>
      <c r="G2407" s="2">
        <v>45278</v>
      </c>
      <c r="H2407" s="2" t="s">
        <v>9005</v>
      </c>
      <c r="I2407" s="1">
        <v>73635</v>
      </c>
      <c r="J2407" s="2" t="s">
        <v>9006</v>
      </c>
      <c r="K2407" s="2">
        <v>45390</v>
      </c>
      <c r="L2407" s="2" t="s">
        <v>364</v>
      </c>
      <c r="M2407" s="2" t="s">
        <v>364</v>
      </c>
      <c r="N2407" s="2" t="s">
        <v>364</v>
      </c>
      <c r="O2407" s="2" t="s">
        <v>364</v>
      </c>
      <c r="P2407" s="488"/>
      <c r="Q2407" s="1" t="str">
        <f>IF(A2407="SCORTA 15",1,"")</f>
        <v/>
      </c>
      <c r="R2407" s="1">
        <f>IF(H2407&lt;&gt;"",1,"")</f>
        <v>1</v>
      </c>
      <c r="S2407" s="1">
        <f>IF(I2407&lt;&gt;"",1,"")</f>
        <v>1</v>
      </c>
      <c r="T2407" s="512" t="e">
        <f>_xlfn.XLOOKUP(H2407,#REF!,#REF!,0,0)</f>
        <v>#REF!</v>
      </c>
    </row>
    <row r="2408" spans="1:20" s="295" customFormat="1" ht="18" customHeight="1" x14ac:dyDescent="0.4">
      <c r="A2408" s="2" t="s">
        <v>9007</v>
      </c>
      <c r="B2408" s="2" t="s">
        <v>9008</v>
      </c>
      <c r="C2408" s="2" t="s">
        <v>433</v>
      </c>
      <c r="D2408" s="2" t="s">
        <v>8127</v>
      </c>
      <c r="E2408" s="2" t="s">
        <v>3785</v>
      </c>
      <c r="F2408" s="2" t="s">
        <v>436</v>
      </c>
      <c r="G2408" s="2">
        <v>45278</v>
      </c>
      <c r="H2408" s="2" t="s">
        <v>9009</v>
      </c>
      <c r="I2408" s="1">
        <v>73657</v>
      </c>
      <c r="J2408" s="2" t="s">
        <v>9010</v>
      </c>
      <c r="K2408" s="2"/>
      <c r="L2408" s="2" t="s">
        <v>7332</v>
      </c>
      <c r="M2408" s="2" t="s">
        <v>7332</v>
      </c>
      <c r="N2408" s="2" t="s">
        <v>7332</v>
      </c>
      <c r="O2408" s="2" t="s">
        <v>7332</v>
      </c>
      <c r="P2408" s="488" t="s">
        <v>9011</v>
      </c>
      <c r="Q2408" s="1" t="str">
        <f>IF(A2408="SCORTA 15",1,"")</f>
        <v/>
      </c>
      <c r="R2408" s="1">
        <f>IF(H2408="","",1)</f>
        <v>1</v>
      </c>
      <c r="S2408" s="1">
        <f>IF(I2408="","",1)</f>
        <v>1</v>
      </c>
      <c r="T2408" s="512" t="e">
        <f>_xlfn.XLOOKUP(H2408,#REF!,#REF!,0,0)</f>
        <v>#REF!</v>
      </c>
    </row>
    <row r="2409" spans="1:20" s="512" customFormat="1" x14ac:dyDescent="0.4">
      <c r="A2409" s="306" t="s">
        <v>9012</v>
      </c>
      <c r="B2409" s="306" t="s">
        <v>9013</v>
      </c>
      <c r="C2409" s="306" t="s">
        <v>433</v>
      </c>
      <c r="D2409" s="306" t="s">
        <v>8835</v>
      </c>
      <c r="E2409" s="306" t="s">
        <v>10</v>
      </c>
      <c r="F2409" s="306" t="s">
        <v>9014</v>
      </c>
      <c r="G2409" s="306"/>
      <c r="H2409" s="306" t="s">
        <v>3511</v>
      </c>
      <c r="I2409" s="306">
        <v>69473</v>
      </c>
      <c r="J2409" s="306"/>
      <c r="K2409" s="306"/>
      <c r="L2409" s="306" t="s">
        <v>364</v>
      </c>
      <c r="M2409" s="306" t="s">
        <v>364</v>
      </c>
      <c r="N2409" s="306" t="s">
        <v>364</v>
      </c>
      <c r="O2409" s="306" t="s">
        <v>364</v>
      </c>
      <c r="P2409" s="494" t="s">
        <v>9015</v>
      </c>
      <c r="Q2409" s="66"/>
      <c r="R2409" s="66">
        <v>1</v>
      </c>
      <c r="S2409" s="66">
        <v>1</v>
      </c>
      <c r="T2409" s="512" t="e">
        <f>_xlfn.XLOOKUP(H2409,#REF!,#REF!,0,0)</f>
        <v>#REF!</v>
      </c>
    </row>
    <row r="2410" spans="1:20" s="512" customFormat="1" x14ac:dyDescent="0.4">
      <c r="A2410" s="66" t="s">
        <v>9016</v>
      </c>
      <c r="B2410" s="66" t="s">
        <v>9013</v>
      </c>
      <c r="C2410" s="66" t="s">
        <v>433</v>
      </c>
      <c r="D2410" s="66" t="s">
        <v>8835</v>
      </c>
      <c r="E2410" s="66" t="s">
        <v>10</v>
      </c>
      <c r="F2410" s="66" t="s">
        <v>9014</v>
      </c>
      <c r="G2410" s="66"/>
      <c r="H2410" s="66" t="s">
        <v>3503</v>
      </c>
      <c r="I2410" s="66">
        <v>69474</v>
      </c>
      <c r="J2410" s="66"/>
      <c r="K2410" s="66"/>
      <c r="L2410" s="66" t="s">
        <v>364</v>
      </c>
      <c r="M2410" s="66" t="s">
        <v>364</v>
      </c>
      <c r="N2410" s="66" t="s">
        <v>364</v>
      </c>
      <c r="O2410" s="66" t="s">
        <v>364</v>
      </c>
      <c r="P2410" s="421" t="s">
        <v>9015</v>
      </c>
      <c r="Q2410" s="66"/>
      <c r="R2410" s="66">
        <v>1</v>
      </c>
      <c r="S2410" s="66">
        <v>1</v>
      </c>
      <c r="T2410" s="512" t="e">
        <f>_xlfn.XLOOKUP(H2410,#REF!,#REF!,0,0)</f>
        <v>#REF!</v>
      </c>
    </row>
    <row r="2411" spans="1:20" s="295" customFormat="1" ht="18" customHeight="1" x14ac:dyDescent="0.4">
      <c r="A2411" s="2" t="s">
        <v>9017</v>
      </c>
      <c r="B2411" s="2" t="s">
        <v>9018</v>
      </c>
      <c r="C2411" s="2" t="s">
        <v>433</v>
      </c>
      <c r="D2411" s="2" t="s">
        <v>693</v>
      </c>
      <c r="E2411" s="2" t="s">
        <v>10</v>
      </c>
      <c r="F2411" s="2" t="s">
        <v>8665</v>
      </c>
      <c r="G2411" s="2">
        <v>45278</v>
      </c>
      <c r="H2411" s="2" t="s">
        <v>9019</v>
      </c>
      <c r="I2411" s="1">
        <v>73634</v>
      </c>
      <c r="J2411" s="2" t="s">
        <v>9020</v>
      </c>
      <c r="K2411" s="2">
        <v>45393</v>
      </c>
      <c r="L2411" s="2" t="s">
        <v>364</v>
      </c>
      <c r="M2411" s="2" t="s">
        <v>364</v>
      </c>
      <c r="N2411" s="2" t="s">
        <v>364</v>
      </c>
      <c r="O2411" s="2" t="s">
        <v>364</v>
      </c>
      <c r="P2411" s="488" t="s">
        <v>9021</v>
      </c>
      <c r="Q2411" s="1" t="str">
        <f>IF(A2411="SCORTA 15",1,"")</f>
        <v/>
      </c>
      <c r="R2411" s="1">
        <f>IF(H2411&lt;&gt;"",1,"")</f>
        <v>1</v>
      </c>
      <c r="S2411" s="1">
        <f>IF(I2411&lt;&gt;"",1,"")</f>
        <v>1</v>
      </c>
      <c r="T2411" s="512" t="e">
        <f>_xlfn.XLOOKUP(H2411,#REF!,#REF!,0,0)</f>
        <v>#REF!</v>
      </c>
    </row>
    <row r="2412" spans="1:20" s="295" customFormat="1" ht="18" customHeight="1" x14ac:dyDescent="0.4">
      <c r="A2412" s="2" t="s">
        <v>9022</v>
      </c>
      <c r="B2412" s="2" t="s">
        <v>9023</v>
      </c>
      <c r="C2412" s="2" t="s">
        <v>433</v>
      </c>
      <c r="D2412" s="2" t="s">
        <v>8127</v>
      </c>
      <c r="E2412" s="2" t="s">
        <v>3785</v>
      </c>
      <c r="F2412" s="2" t="s">
        <v>436</v>
      </c>
      <c r="G2412" s="2">
        <v>45278</v>
      </c>
      <c r="H2412" s="2" t="s">
        <v>9024</v>
      </c>
      <c r="I2412" s="1">
        <v>73658</v>
      </c>
      <c r="J2412" s="2" t="s">
        <v>9025</v>
      </c>
      <c r="K2412" s="2">
        <v>45393</v>
      </c>
      <c r="L2412" s="2" t="s">
        <v>364</v>
      </c>
      <c r="M2412" s="2" t="s">
        <v>364</v>
      </c>
      <c r="N2412" s="2" t="s">
        <v>364</v>
      </c>
      <c r="O2412" s="2" t="s">
        <v>364</v>
      </c>
      <c r="P2412" s="488" t="s">
        <v>9026</v>
      </c>
      <c r="Q2412" s="1"/>
      <c r="R2412" s="1">
        <f t="shared" ref="R2412:R2443" si="8">IF(H2412="","",1)</f>
        <v>1</v>
      </c>
      <c r="S2412" s="1">
        <f t="shared" ref="S2412:S2443" si="9">IF(I2412="","",1)</f>
        <v>1</v>
      </c>
      <c r="T2412" s="512" t="e">
        <f>_xlfn.XLOOKUP(H2412,#REF!,#REF!,0,0)</f>
        <v>#REF!</v>
      </c>
    </row>
    <row r="2413" spans="1:20" s="295" customFormat="1" ht="18" customHeight="1" x14ac:dyDescent="0.4">
      <c r="A2413" s="2" t="s">
        <v>9027</v>
      </c>
      <c r="B2413" s="2" t="s">
        <v>9028</v>
      </c>
      <c r="C2413" s="2" t="s">
        <v>435</v>
      </c>
      <c r="D2413" s="2" t="s">
        <v>8127</v>
      </c>
      <c r="E2413" s="2" t="s">
        <v>10</v>
      </c>
      <c r="F2413" s="2" t="s">
        <v>8665</v>
      </c>
      <c r="G2413" s="2">
        <v>45278</v>
      </c>
      <c r="H2413" s="2" t="s">
        <v>9029</v>
      </c>
      <c r="I2413" s="1">
        <v>73636</v>
      </c>
      <c r="J2413" s="2" t="s">
        <v>9030</v>
      </c>
      <c r="K2413" s="2">
        <v>45397</v>
      </c>
      <c r="L2413" s="2" t="s">
        <v>364</v>
      </c>
      <c r="M2413" s="2" t="s">
        <v>364</v>
      </c>
      <c r="N2413" s="2" t="s">
        <v>364</v>
      </c>
      <c r="O2413" s="2" t="s">
        <v>364</v>
      </c>
      <c r="P2413" s="488" t="s">
        <v>9031</v>
      </c>
      <c r="Q2413" s="1" t="str">
        <f>IF(A2413="SCORTA 15",1,"")</f>
        <v/>
      </c>
      <c r="R2413" s="1">
        <f t="shared" si="8"/>
        <v>1</v>
      </c>
      <c r="S2413" s="1">
        <f t="shared" si="9"/>
        <v>1</v>
      </c>
      <c r="T2413" s="512" t="e">
        <f>_xlfn.XLOOKUP(H2413,#REF!,#REF!,0,0)</f>
        <v>#REF!</v>
      </c>
    </row>
    <row r="2414" spans="1:20" s="295" customFormat="1" ht="18" customHeight="1" x14ac:dyDescent="0.4">
      <c r="A2414" s="2" t="s">
        <v>9032</v>
      </c>
      <c r="B2414" s="2" t="s">
        <v>9033</v>
      </c>
      <c r="C2414" s="2" t="s">
        <v>433</v>
      </c>
      <c r="D2414" s="2" t="s">
        <v>8127</v>
      </c>
      <c r="E2414" s="2" t="s">
        <v>10</v>
      </c>
      <c r="F2414" s="2" t="s">
        <v>362</v>
      </c>
      <c r="G2414" s="2">
        <v>45237</v>
      </c>
      <c r="H2414" s="2" t="s">
        <v>9034</v>
      </c>
      <c r="I2414" s="1">
        <v>71716</v>
      </c>
      <c r="J2414" s="2" t="s">
        <v>9035</v>
      </c>
      <c r="K2414" s="2" t="s">
        <v>9036</v>
      </c>
      <c r="L2414" s="2" t="s">
        <v>364</v>
      </c>
      <c r="M2414" s="2" t="s">
        <v>364</v>
      </c>
      <c r="N2414" s="2" t="s">
        <v>364</v>
      </c>
      <c r="O2414" s="2" t="s">
        <v>364</v>
      </c>
      <c r="P2414" s="488"/>
      <c r="Q2414" s="1" t="str">
        <f>IF(A2414="SCORTA 15",1,"")</f>
        <v/>
      </c>
      <c r="R2414" s="1">
        <f t="shared" si="8"/>
        <v>1</v>
      </c>
      <c r="S2414" s="1">
        <f t="shared" si="9"/>
        <v>1</v>
      </c>
      <c r="T2414" s="512" t="e">
        <f>_xlfn.XLOOKUP(H2414,#REF!,#REF!,0,0)</f>
        <v>#REF!</v>
      </c>
    </row>
    <row r="2415" spans="1:20" s="295" customFormat="1" ht="18" customHeight="1" x14ac:dyDescent="0.4">
      <c r="A2415" s="2" t="s">
        <v>9037</v>
      </c>
      <c r="B2415" s="2" t="s">
        <v>9038</v>
      </c>
      <c r="C2415" s="2" t="s">
        <v>433</v>
      </c>
      <c r="D2415" s="2" t="s">
        <v>9039</v>
      </c>
      <c r="E2415" s="2" t="s">
        <v>10</v>
      </c>
      <c r="F2415" s="2" t="s">
        <v>8665</v>
      </c>
      <c r="G2415" s="2">
        <v>45278</v>
      </c>
      <c r="H2415" s="2" t="s">
        <v>9040</v>
      </c>
      <c r="I2415" s="1">
        <v>73633</v>
      </c>
      <c r="J2415" s="2" t="s">
        <v>9041</v>
      </c>
      <c r="K2415" s="2" t="s">
        <v>9042</v>
      </c>
      <c r="L2415" s="2" t="s">
        <v>364</v>
      </c>
      <c r="M2415" s="2" t="s">
        <v>364</v>
      </c>
      <c r="N2415" s="2" t="s">
        <v>364</v>
      </c>
      <c r="O2415" s="2" t="s">
        <v>364</v>
      </c>
      <c r="P2415" s="488"/>
      <c r="Q2415" s="1" t="str">
        <f>IF(A2415="SCORTA 15",1,"")</f>
        <v/>
      </c>
      <c r="R2415" s="1">
        <f t="shared" si="8"/>
        <v>1</v>
      </c>
      <c r="S2415" s="1">
        <f t="shared" si="9"/>
        <v>1</v>
      </c>
      <c r="T2415" s="512" t="e">
        <f>_xlfn.XLOOKUP(H2415,#REF!,#REF!,0,0)</f>
        <v>#REF!</v>
      </c>
    </row>
    <row r="2416" spans="1:20" s="295" customFormat="1" ht="18" customHeight="1" x14ac:dyDescent="0.4">
      <c r="A2416" s="2" t="s">
        <v>9043</v>
      </c>
      <c r="B2416" s="2" t="s">
        <v>9044</v>
      </c>
      <c r="C2416" s="2" t="s">
        <v>433</v>
      </c>
      <c r="D2416" s="2" t="s">
        <v>693</v>
      </c>
      <c r="E2416" s="2" t="s">
        <v>10</v>
      </c>
      <c r="F2416" s="2" t="s">
        <v>8665</v>
      </c>
      <c r="G2416" s="2">
        <v>45278</v>
      </c>
      <c r="H2416" s="2" t="s">
        <v>9045</v>
      </c>
      <c r="I2416" s="1">
        <v>73632</v>
      </c>
      <c r="J2416" s="2" t="s">
        <v>9046</v>
      </c>
      <c r="K2416" s="2">
        <v>45399</v>
      </c>
      <c r="L2416" s="2" t="s">
        <v>364</v>
      </c>
      <c r="M2416" s="2" t="s">
        <v>364</v>
      </c>
      <c r="N2416" s="2" t="s">
        <v>364</v>
      </c>
      <c r="O2416" s="2" t="s">
        <v>364</v>
      </c>
      <c r="P2416" s="488" t="s">
        <v>9047</v>
      </c>
      <c r="Q2416" s="1" t="str">
        <f>IF(A2416="SCORTA 15",1,"")</f>
        <v/>
      </c>
      <c r="R2416" s="1">
        <f t="shared" si="8"/>
        <v>1</v>
      </c>
      <c r="S2416" s="1">
        <f t="shared" si="9"/>
        <v>1</v>
      </c>
      <c r="T2416" s="512" t="e">
        <f>_xlfn.XLOOKUP(H2416,#REF!,#REF!,0,0)</f>
        <v>#REF!</v>
      </c>
    </row>
    <row r="2417" spans="1:20" s="295" customFormat="1" ht="18" customHeight="1" x14ac:dyDescent="0.4">
      <c r="A2417" s="2" t="s">
        <v>9048</v>
      </c>
      <c r="B2417" s="2" t="s">
        <v>9049</v>
      </c>
      <c r="C2417" s="2" t="s">
        <v>376</v>
      </c>
      <c r="D2417" s="2"/>
      <c r="E2417" s="2" t="s">
        <v>10</v>
      </c>
      <c r="F2417" s="2" t="s">
        <v>362</v>
      </c>
      <c r="G2417" s="2">
        <v>45237</v>
      </c>
      <c r="H2417" s="2" t="s">
        <v>9050</v>
      </c>
      <c r="I2417" s="1">
        <v>71715</v>
      </c>
      <c r="J2417" s="2" t="s">
        <v>9051</v>
      </c>
      <c r="K2417" s="2" t="s">
        <v>9052</v>
      </c>
      <c r="L2417" s="2" t="s">
        <v>364</v>
      </c>
      <c r="M2417" s="2" t="s">
        <v>364</v>
      </c>
      <c r="N2417" s="2" t="s">
        <v>364</v>
      </c>
      <c r="O2417" s="2" t="s">
        <v>364</v>
      </c>
      <c r="P2417" s="488" t="s">
        <v>9053</v>
      </c>
      <c r="Q2417" s="1" t="str">
        <f>IF(A2417="SCORTA 15",1,"")</f>
        <v/>
      </c>
      <c r="R2417" s="1">
        <f t="shared" si="8"/>
        <v>1</v>
      </c>
      <c r="S2417" s="1">
        <f t="shared" si="9"/>
        <v>1</v>
      </c>
      <c r="T2417" s="512" t="e">
        <f>_xlfn.XLOOKUP(H2417,#REF!,#REF!,0,0)</f>
        <v>#REF!</v>
      </c>
    </row>
    <row r="2418" spans="1:20" s="295" customFormat="1" ht="18" customHeight="1" x14ac:dyDescent="0.4">
      <c r="A2418" s="2" t="s">
        <v>9054</v>
      </c>
      <c r="B2418" s="289" t="s">
        <v>9055</v>
      </c>
      <c r="C2418" s="2" t="s">
        <v>433</v>
      </c>
      <c r="D2418" s="2" t="s">
        <v>9039</v>
      </c>
      <c r="E2418" s="2" t="s">
        <v>10</v>
      </c>
      <c r="F2418" s="2" t="s">
        <v>8665</v>
      </c>
      <c r="G2418" s="2">
        <v>45278</v>
      </c>
      <c r="H2418" s="2" t="s">
        <v>9005</v>
      </c>
      <c r="I2418" s="1">
        <v>73635</v>
      </c>
      <c r="J2418" s="2" t="s">
        <v>9006</v>
      </c>
      <c r="K2418" s="2">
        <v>45400</v>
      </c>
      <c r="L2418" s="2" t="s">
        <v>570</v>
      </c>
      <c r="M2418" s="2" t="s">
        <v>570</v>
      </c>
      <c r="N2418" s="2" t="s">
        <v>570</v>
      </c>
      <c r="O2418" s="2" t="s">
        <v>570</v>
      </c>
      <c r="P2418" s="488" t="s">
        <v>9056</v>
      </c>
      <c r="Q2418" s="1"/>
      <c r="R2418" s="1">
        <f t="shared" si="8"/>
        <v>1</v>
      </c>
      <c r="S2418" s="1">
        <f t="shared" si="9"/>
        <v>1</v>
      </c>
      <c r="T2418" s="512" t="e">
        <f>_xlfn.XLOOKUP(H2418,#REF!,#REF!,0,0)</f>
        <v>#REF!</v>
      </c>
    </row>
    <row r="2419" spans="1:20" s="514" customFormat="1" ht="18" customHeight="1" x14ac:dyDescent="0.4">
      <c r="A2419" s="324" t="s">
        <v>9057</v>
      </c>
      <c r="B2419" s="325" t="s">
        <v>9058</v>
      </c>
      <c r="C2419" s="325" t="s">
        <v>431</v>
      </c>
      <c r="D2419" s="324" t="s">
        <v>8127</v>
      </c>
      <c r="E2419" s="324" t="s">
        <v>10</v>
      </c>
      <c r="F2419" s="324" t="s">
        <v>244</v>
      </c>
      <c r="G2419" s="326"/>
      <c r="H2419" s="324" t="s">
        <v>5779</v>
      </c>
      <c r="I2419" s="324">
        <v>70928</v>
      </c>
      <c r="J2419" s="324"/>
      <c r="K2419" s="326">
        <v>45404</v>
      </c>
      <c r="L2419" s="324" t="s">
        <v>364</v>
      </c>
      <c r="M2419" s="324" t="s">
        <v>364</v>
      </c>
      <c r="N2419" s="324" t="s">
        <v>364</v>
      </c>
      <c r="O2419" s="324" t="s">
        <v>364</v>
      </c>
      <c r="P2419" s="384" t="s">
        <v>9059</v>
      </c>
      <c r="Q2419" s="324">
        <v>1</v>
      </c>
      <c r="R2419" s="1">
        <f t="shared" si="8"/>
        <v>1</v>
      </c>
      <c r="S2419" s="1">
        <f t="shared" si="9"/>
        <v>1</v>
      </c>
      <c r="T2419" s="512" t="e">
        <f>_xlfn.XLOOKUP(H2419,#REF!,#REF!,0,0)</f>
        <v>#REF!</v>
      </c>
    </row>
    <row r="2420" spans="1:20" s="514" customFormat="1" ht="18" customHeight="1" x14ac:dyDescent="0.4">
      <c r="A2420" s="324" t="s">
        <v>9060</v>
      </c>
      <c r="B2420" s="324" t="s">
        <v>9061</v>
      </c>
      <c r="C2420" s="325" t="s">
        <v>431</v>
      </c>
      <c r="D2420" s="324" t="s">
        <v>8127</v>
      </c>
      <c r="E2420" s="324" t="s">
        <v>10</v>
      </c>
      <c r="F2420" s="324" t="s">
        <v>560</v>
      </c>
      <c r="G2420" s="326"/>
      <c r="H2420" s="324" t="s">
        <v>256</v>
      </c>
      <c r="I2420" s="324">
        <v>70621</v>
      </c>
      <c r="J2420" s="324"/>
      <c r="K2420" s="326">
        <v>45404</v>
      </c>
      <c r="L2420" s="324" t="s">
        <v>364</v>
      </c>
      <c r="M2420" s="324" t="s">
        <v>364</v>
      </c>
      <c r="N2420" s="324" t="s">
        <v>364</v>
      </c>
      <c r="O2420" s="324" t="s">
        <v>364</v>
      </c>
      <c r="P2420" s="384"/>
      <c r="Q2420" s="324">
        <v>1</v>
      </c>
      <c r="R2420" s="1">
        <f t="shared" si="8"/>
        <v>1</v>
      </c>
      <c r="S2420" s="1">
        <f t="shared" si="9"/>
        <v>1</v>
      </c>
      <c r="T2420" s="512" t="e">
        <f>_xlfn.XLOOKUP(H2420,#REF!,#REF!,0,0)</f>
        <v>#REF!</v>
      </c>
    </row>
    <row r="2421" spans="1:20" s="295" customFormat="1" ht="18" customHeight="1" x14ac:dyDescent="0.4">
      <c r="A2421" s="2" t="s">
        <v>9062</v>
      </c>
      <c r="B2421" s="2" t="s">
        <v>9063</v>
      </c>
      <c r="C2421" s="2" t="s">
        <v>433</v>
      </c>
      <c r="D2421" s="2" t="s">
        <v>9039</v>
      </c>
      <c r="E2421" s="2" t="s">
        <v>3785</v>
      </c>
      <c r="F2421" s="2" t="s">
        <v>436</v>
      </c>
      <c r="G2421" s="2">
        <v>45278</v>
      </c>
      <c r="H2421" s="2" t="s">
        <v>9064</v>
      </c>
      <c r="I2421" s="1">
        <v>73654</v>
      </c>
      <c r="J2421" s="2" t="s">
        <v>9065</v>
      </c>
      <c r="K2421" s="2">
        <v>45430</v>
      </c>
      <c r="L2421" s="2" t="s">
        <v>7332</v>
      </c>
      <c r="M2421" s="2" t="s">
        <v>7332</v>
      </c>
      <c r="N2421" s="2" t="s">
        <v>7332</v>
      </c>
      <c r="O2421" s="2" t="s">
        <v>7332</v>
      </c>
      <c r="P2421" s="488" t="s">
        <v>9066</v>
      </c>
      <c r="Q2421" s="1" t="str">
        <f>IF(A2421="SCORTA 15",1,"")</f>
        <v/>
      </c>
      <c r="R2421" s="1">
        <f t="shared" si="8"/>
        <v>1</v>
      </c>
      <c r="S2421" s="1">
        <f t="shared" si="9"/>
        <v>1</v>
      </c>
      <c r="T2421" s="512" t="e">
        <f>_xlfn.XLOOKUP(H2421,#REF!,#REF!,0,0)</f>
        <v>#REF!</v>
      </c>
    </row>
    <row r="2422" spans="1:20" s="295" customFormat="1" ht="18" customHeight="1" x14ac:dyDescent="0.4">
      <c r="A2422" s="2" t="s">
        <v>9067</v>
      </c>
      <c r="B2422" s="322" t="s">
        <v>9068</v>
      </c>
      <c r="C2422" s="2" t="s">
        <v>435</v>
      </c>
      <c r="D2422" s="2" t="s">
        <v>8127</v>
      </c>
      <c r="E2422" s="2" t="s">
        <v>3785</v>
      </c>
      <c r="F2422" s="2" t="s">
        <v>436</v>
      </c>
      <c r="G2422" s="2">
        <v>45278</v>
      </c>
      <c r="H2422" s="2" t="s">
        <v>9069</v>
      </c>
      <c r="I2422" s="1">
        <v>73656</v>
      </c>
      <c r="J2422" s="2" t="s">
        <v>9070</v>
      </c>
      <c r="K2422" s="334">
        <v>45404</v>
      </c>
      <c r="L2422" s="322" t="s">
        <v>364</v>
      </c>
      <c r="M2422" s="322" t="s">
        <v>364</v>
      </c>
      <c r="N2422" s="322" t="s">
        <v>364</v>
      </c>
      <c r="O2422" s="322" t="s">
        <v>364</v>
      </c>
      <c r="P2422" s="497" t="s">
        <v>9071</v>
      </c>
      <c r="Q2422" s="1" t="str">
        <f>IF(A2422="SCORTA 15",1,"")</f>
        <v/>
      </c>
      <c r="R2422" s="1">
        <f t="shared" si="8"/>
        <v>1</v>
      </c>
      <c r="S2422" s="1">
        <f t="shared" si="9"/>
        <v>1</v>
      </c>
      <c r="T2422" s="512" t="e">
        <f>_xlfn.XLOOKUP(H2422,#REF!,#REF!,0,0)</f>
        <v>#REF!</v>
      </c>
    </row>
    <row r="2423" spans="1:20" s="301" customFormat="1" x14ac:dyDescent="0.4">
      <c r="A2423" s="322" t="s">
        <v>9072</v>
      </c>
      <c r="B2423" s="322" t="s">
        <v>9073</v>
      </c>
      <c r="C2423" s="322" t="s">
        <v>435</v>
      </c>
      <c r="D2423" s="322" t="s">
        <v>8127</v>
      </c>
      <c r="E2423" s="322" t="s">
        <v>10</v>
      </c>
      <c r="F2423" s="322" t="s">
        <v>3072</v>
      </c>
      <c r="G2423" s="323"/>
      <c r="H2423" s="322" t="s">
        <v>7941</v>
      </c>
      <c r="I2423" s="322">
        <v>71754</v>
      </c>
      <c r="J2423" s="322" t="s">
        <v>7942</v>
      </c>
      <c r="K2423" s="334">
        <v>45406</v>
      </c>
      <c r="L2423" s="322" t="s">
        <v>364</v>
      </c>
      <c r="M2423" s="322" t="s">
        <v>364</v>
      </c>
      <c r="N2423" s="322" t="s">
        <v>364</v>
      </c>
      <c r="O2423" s="322" t="s">
        <v>364</v>
      </c>
      <c r="P2423" s="497" t="s">
        <v>6278</v>
      </c>
      <c r="Q2423" s="322"/>
      <c r="R2423" s="1">
        <f t="shared" si="8"/>
        <v>1</v>
      </c>
      <c r="S2423" s="1">
        <f t="shared" si="9"/>
        <v>1</v>
      </c>
      <c r="T2423" s="512" t="e">
        <f>_xlfn.XLOOKUP(H2423,#REF!,#REF!,0,0)</f>
        <v>#REF!</v>
      </c>
    </row>
    <row r="2424" spans="1:20" s="295" customFormat="1" ht="18" customHeight="1" x14ac:dyDescent="0.4">
      <c r="A2424" s="2" t="s">
        <v>9074</v>
      </c>
      <c r="B2424" s="1" t="s">
        <v>9075</v>
      </c>
      <c r="C2424" s="2" t="s">
        <v>433</v>
      </c>
      <c r="D2424" s="2" t="s">
        <v>9075</v>
      </c>
      <c r="E2424" s="2" t="s">
        <v>10</v>
      </c>
      <c r="F2424" s="2" t="s">
        <v>362</v>
      </c>
      <c r="G2424" s="2">
        <v>45281</v>
      </c>
      <c r="H2424" s="2" t="s">
        <v>9076</v>
      </c>
      <c r="I2424" s="1">
        <v>73669</v>
      </c>
      <c r="J2424" s="1" t="s">
        <v>9077</v>
      </c>
      <c r="K2424" s="2"/>
      <c r="L2424" s="2" t="s">
        <v>570</v>
      </c>
      <c r="M2424" s="2" t="s">
        <v>570</v>
      </c>
      <c r="N2424" s="2" t="s">
        <v>570</v>
      </c>
      <c r="O2424" s="2" t="s">
        <v>570</v>
      </c>
      <c r="P2424" s="488"/>
      <c r="Q2424" s="1" t="str">
        <f>IF(A2424="SCORTA 15",1,"")</f>
        <v/>
      </c>
      <c r="R2424" s="1">
        <f t="shared" si="8"/>
        <v>1</v>
      </c>
      <c r="S2424" s="1">
        <f t="shared" si="9"/>
        <v>1</v>
      </c>
      <c r="T2424" s="512" t="e">
        <f>_xlfn.XLOOKUP(H2424,#REF!,#REF!,0,0)</f>
        <v>#REF!</v>
      </c>
    </row>
    <row r="2425" spans="1:20" s="295" customFormat="1" ht="18" customHeight="1" x14ac:dyDescent="0.4">
      <c r="A2425" s="2" t="s">
        <v>9078</v>
      </c>
      <c r="B2425" s="2" t="s">
        <v>9079</v>
      </c>
      <c r="C2425" s="2" t="s">
        <v>435</v>
      </c>
      <c r="D2425" s="2" t="s">
        <v>8127</v>
      </c>
      <c r="E2425" s="2" t="s">
        <v>10</v>
      </c>
      <c r="F2425" s="2" t="s">
        <v>362</v>
      </c>
      <c r="G2425" s="2">
        <v>45237</v>
      </c>
      <c r="H2425" s="2" t="s">
        <v>9080</v>
      </c>
      <c r="I2425" s="1">
        <v>71719</v>
      </c>
      <c r="J2425" s="2" t="s">
        <v>9081</v>
      </c>
      <c r="K2425" s="2">
        <v>45414</v>
      </c>
      <c r="L2425" s="2" t="s">
        <v>364</v>
      </c>
      <c r="M2425" s="2" t="s">
        <v>364</v>
      </c>
      <c r="N2425" s="2" t="s">
        <v>364</v>
      </c>
      <c r="O2425" s="2" t="s">
        <v>364</v>
      </c>
      <c r="P2425" s="488"/>
      <c r="Q2425" s="1" t="str">
        <f>IF(A2425="SCORTA 15",1,"")</f>
        <v/>
      </c>
      <c r="R2425" s="1">
        <f t="shared" si="8"/>
        <v>1</v>
      </c>
      <c r="S2425" s="1">
        <f t="shared" si="9"/>
        <v>1</v>
      </c>
      <c r="T2425" s="512" t="e">
        <f>_xlfn.XLOOKUP(H2425,#REF!,#REF!,0,0)</f>
        <v>#REF!</v>
      </c>
    </row>
    <row r="2426" spans="1:20" s="295" customFormat="1" ht="18" customHeight="1" x14ac:dyDescent="0.4">
      <c r="A2426" s="2" t="s">
        <v>9082</v>
      </c>
      <c r="B2426" s="2" t="s">
        <v>9083</v>
      </c>
      <c r="C2426" s="2" t="s">
        <v>435</v>
      </c>
      <c r="D2426" s="2" t="s">
        <v>9084</v>
      </c>
      <c r="E2426" s="2" t="s">
        <v>10</v>
      </c>
      <c r="F2426" s="2" t="s">
        <v>362</v>
      </c>
      <c r="G2426" s="2">
        <v>45237</v>
      </c>
      <c r="H2426" s="2" t="s">
        <v>9085</v>
      </c>
      <c r="I2426" s="1">
        <v>71717</v>
      </c>
      <c r="J2426" s="2" t="s">
        <v>9086</v>
      </c>
      <c r="K2426" s="2">
        <v>45414</v>
      </c>
      <c r="L2426" s="2" t="s">
        <v>364</v>
      </c>
      <c r="M2426" s="2" t="s">
        <v>364</v>
      </c>
      <c r="N2426" s="2" t="s">
        <v>364</v>
      </c>
      <c r="O2426" s="2" t="s">
        <v>364</v>
      </c>
      <c r="P2426" s="488" t="s">
        <v>6493</v>
      </c>
      <c r="Q2426" s="1" t="str">
        <f>IF(C2426="SCORTA 15",1,"")</f>
        <v/>
      </c>
      <c r="R2426" s="1">
        <f t="shared" si="8"/>
        <v>1</v>
      </c>
      <c r="S2426" s="1">
        <f t="shared" si="9"/>
        <v>1</v>
      </c>
      <c r="T2426" s="512" t="e">
        <f>_xlfn.XLOOKUP(H2426,#REF!,#REF!,0,0)</f>
        <v>#REF!</v>
      </c>
    </row>
    <row r="2427" spans="1:20" s="301" customFormat="1" x14ac:dyDescent="0.4">
      <c r="A2427" s="1" t="s">
        <v>9087</v>
      </c>
      <c r="B2427" s="289" t="s">
        <v>9088</v>
      </c>
      <c r="C2427" s="1" t="s">
        <v>435</v>
      </c>
      <c r="D2427" s="1" t="s">
        <v>9084</v>
      </c>
      <c r="E2427" s="1" t="s">
        <v>10</v>
      </c>
      <c r="F2427" s="1" t="s">
        <v>436</v>
      </c>
      <c r="G2427" s="2">
        <v>45411</v>
      </c>
      <c r="H2427" s="1" t="s">
        <v>9089</v>
      </c>
      <c r="I2427" s="1">
        <v>76111</v>
      </c>
      <c r="J2427" s="1" t="s">
        <v>9090</v>
      </c>
      <c r="K2427" s="291">
        <v>45414</v>
      </c>
      <c r="L2427" s="1" t="s">
        <v>364</v>
      </c>
      <c r="M2427" s="1" t="s">
        <v>364</v>
      </c>
      <c r="N2427" s="1" t="s">
        <v>364</v>
      </c>
      <c r="O2427" s="1" t="s">
        <v>364</v>
      </c>
      <c r="P2427" s="487" t="s">
        <v>6278</v>
      </c>
      <c r="Q2427" s="1"/>
      <c r="R2427" s="1">
        <f t="shared" si="8"/>
        <v>1</v>
      </c>
      <c r="S2427" s="1">
        <f t="shared" si="9"/>
        <v>1</v>
      </c>
      <c r="T2427" s="512" t="e">
        <f>_xlfn.XLOOKUP(H2427,#REF!,#REF!,0,0)</f>
        <v>#REF!</v>
      </c>
    </row>
    <row r="2428" spans="1:20" s="295" customFormat="1" ht="18" customHeight="1" x14ac:dyDescent="0.4">
      <c r="A2428" s="2" t="s">
        <v>9091</v>
      </c>
      <c r="B2428" s="2" t="s">
        <v>9092</v>
      </c>
      <c r="C2428" s="2" t="s">
        <v>435</v>
      </c>
      <c r="D2428" s="2" t="s">
        <v>9084</v>
      </c>
      <c r="E2428" s="2" t="s">
        <v>10</v>
      </c>
      <c r="F2428" s="2" t="s">
        <v>362</v>
      </c>
      <c r="G2428" s="2">
        <v>45237</v>
      </c>
      <c r="H2428" s="2" t="s">
        <v>9093</v>
      </c>
      <c r="I2428" s="1">
        <v>71720</v>
      </c>
      <c r="J2428" s="2" t="s">
        <v>9094</v>
      </c>
      <c r="K2428" s="2">
        <v>45414</v>
      </c>
      <c r="L2428" s="2" t="s">
        <v>364</v>
      </c>
      <c r="M2428" s="2" t="s">
        <v>364</v>
      </c>
      <c r="N2428" s="2" t="s">
        <v>364</v>
      </c>
      <c r="O2428" s="2" t="s">
        <v>364</v>
      </c>
      <c r="P2428" s="488" t="s">
        <v>6493</v>
      </c>
      <c r="Q2428" s="1" t="str">
        <f t="shared" ref="Q2428:Q2437" si="10">IF(A2428="SCORTA 15",1,"")</f>
        <v/>
      </c>
      <c r="R2428" s="1">
        <f t="shared" si="8"/>
        <v>1</v>
      </c>
      <c r="S2428" s="1">
        <f t="shared" si="9"/>
        <v>1</v>
      </c>
      <c r="T2428" s="512" t="e">
        <f>_xlfn.XLOOKUP(H2428,#REF!,#REF!,0,0)</f>
        <v>#REF!</v>
      </c>
    </row>
    <row r="2429" spans="1:20" s="295" customFormat="1" ht="18" customHeight="1" x14ac:dyDescent="0.4">
      <c r="A2429" s="283" t="s">
        <v>9095</v>
      </c>
      <c r="B2429" s="283" t="s">
        <v>9096</v>
      </c>
      <c r="C2429" s="283" t="s">
        <v>433</v>
      </c>
      <c r="D2429" s="283" t="s">
        <v>455</v>
      </c>
      <c r="E2429" s="283" t="s">
        <v>10</v>
      </c>
      <c r="F2429" s="283" t="s">
        <v>362</v>
      </c>
      <c r="G2429" s="11">
        <v>45281</v>
      </c>
      <c r="H2429" s="336" t="s">
        <v>9097</v>
      </c>
      <c r="I2429" s="283">
        <v>73671</v>
      </c>
      <c r="J2429" s="283" t="s">
        <v>9098</v>
      </c>
      <c r="K2429" s="335">
        <v>45425</v>
      </c>
      <c r="L2429" s="283" t="s">
        <v>364</v>
      </c>
      <c r="M2429" s="283" t="s">
        <v>364</v>
      </c>
      <c r="N2429" s="283" t="s">
        <v>364</v>
      </c>
      <c r="O2429" s="283" t="s">
        <v>364</v>
      </c>
      <c r="P2429" s="495" t="s">
        <v>9099</v>
      </c>
      <c r="Q2429" s="283" t="str">
        <f t="shared" si="10"/>
        <v/>
      </c>
      <c r="R2429" s="1">
        <f t="shared" si="8"/>
        <v>1</v>
      </c>
      <c r="S2429" s="1">
        <f t="shared" si="9"/>
        <v>1</v>
      </c>
      <c r="T2429" s="512" t="e">
        <f>_xlfn.XLOOKUP(H2429,#REF!,#REF!,0,0)</f>
        <v>#REF!</v>
      </c>
    </row>
    <row r="2430" spans="1:20" s="295" customFormat="1" ht="18" customHeight="1" x14ac:dyDescent="0.4">
      <c r="A2430" s="283" t="s">
        <v>9100</v>
      </c>
      <c r="B2430" s="283" t="s">
        <v>9096</v>
      </c>
      <c r="C2430" s="283" t="s">
        <v>433</v>
      </c>
      <c r="D2430" s="283" t="s">
        <v>455</v>
      </c>
      <c r="E2430" s="283" t="s">
        <v>10</v>
      </c>
      <c r="F2430" s="283" t="s">
        <v>362</v>
      </c>
      <c r="G2430" s="11">
        <v>45281</v>
      </c>
      <c r="H2430" s="336" t="s">
        <v>9101</v>
      </c>
      <c r="I2430" s="283">
        <v>73672</v>
      </c>
      <c r="J2430" s="283" t="s">
        <v>9102</v>
      </c>
      <c r="K2430" s="335">
        <v>45425</v>
      </c>
      <c r="L2430" s="283" t="s">
        <v>364</v>
      </c>
      <c r="M2430" s="283" t="s">
        <v>364</v>
      </c>
      <c r="N2430" s="283" t="s">
        <v>364</v>
      </c>
      <c r="O2430" s="283" t="s">
        <v>364</v>
      </c>
      <c r="P2430" s="495" t="s">
        <v>9103</v>
      </c>
      <c r="Q2430" s="283" t="str">
        <f t="shared" si="10"/>
        <v/>
      </c>
      <c r="R2430" s="1">
        <f t="shared" si="8"/>
        <v>1</v>
      </c>
      <c r="S2430" s="1">
        <f t="shared" si="9"/>
        <v>1</v>
      </c>
      <c r="T2430" s="512" t="e">
        <f>_xlfn.XLOOKUP(H2430,#REF!,#REF!,0,0)</f>
        <v>#REF!</v>
      </c>
    </row>
    <row r="2431" spans="1:20" s="295" customFormat="1" ht="18" customHeight="1" x14ac:dyDescent="0.4">
      <c r="A2431" s="283" t="s">
        <v>9104</v>
      </c>
      <c r="B2431" s="283" t="s">
        <v>9096</v>
      </c>
      <c r="C2431" s="283" t="s">
        <v>433</v>
      </c>
      <c r="D2431" s="283" t="s">
        <v>455</v>
      </c>
      <c r="E2431" s="283" t="s">
        <v>10</v>
      </c>
      <c r="F2431" s="283" t="s">
        <v>362</v>
      </c>
      <c r="G2431" s="11">
        <v>45281</v>
      </c>
      <c r="H2431" s="336" t="s">
        <v>9105</v>
      </c>
      <c r="I2431" s="283">
        <v>73673</v>
      </c>
      <c r="J2431" s="283" t="s">
        <v>9106</v>
      </c>
      <c r="K2431" s="335">
        <v>45425</v>
      </c>
      <c r="L2431" s="283" t="s">
        <v>364</v>
      </c>
      <c r="M2431" s="283" t="s">
        <v>364</v>
      </c>
      <c r="N2431" s="283" t="s">
        <v>364</v>
      </c>
      <c r="O2431" s="283" t="s">
        <v>364</v>
      </c>
      <c r="P2431" s="495" t="s">
        <v>9107</v>
      </c>
      <c r="Q2431" s="283" t="str">
        <f t="shared" si="10"/>
        <v/>
      </c>
      <c r="R2431" s="1">
        <f t="shared" si="8"/>
        <v>1</v>
      </c>
      <c r="S2431" s="1">
        <f t="shared" si="9"/>
        <v>1</v>
      </c>
      <c r="T2431" s="512" t="e">
        <f>_xlfn.XLOOKUP(H2431,#REF!,#REF!,0,0)</f>
        <v>#REF!</v>
      </c>
    </row>
    <row r="2432" spans="1:20" s="295" customFormat="1" ht="18" customHeight="1" x14ac:dyDescent="0.4">
      <c r="A2432" s="283" t="s">
        <v>9108</v>
      </c>
      <c r="B2432" s="283" t="s">
        <v>9096</v>
      </c>
      <c r="C2432" s="283" t="s">
        <v>433</v>
      </c>
      <c r="D2432" s="283" t="s">
        <v>455</v>
      </c>
      <c r="E2432" s="283" t="s">
        <v>10</v>
      </c>
      <c r="F2432" s="283" t="s">
        <v>362</v>
      </c>
      <c r="G2432" s="11">
        <v>45281</v>
      </c>
      <c r="H2432" s="336" t="s">
        <v>9109</v>
      </c>
      <c r="I2432" s="283">
        <v>73674</v>
      </c>
      <c r="J2432" s="283" t="s">
        <v>9110</v>
      </c>
      <c r="K2432" s="335">
        <v>45425</v>
      </c>
      <c r="L2432" s="283" t="s">
        <v>364</v>
      </c>
      <c r="M2432" s="283" t="s">
        <v>364</v>
      </c>
      <c r="N2432" s="283" t="s">
        <v>364</v>
      </c>
      <c r="O2432" s="283" t="s">
        <v>364</v>
      </c>
      <c r="P2432" s="495" t="s">
        <v>9111</v>
      </c>
      <c r="Q2432" s="283" t="str">
        <f t="shared" si="10"/>
        <v/>
      </c>
      <c r="R2432" s="1">
        <f t="shared" si="8"/>
        <v>1</v>
      </c>
      <c r="S2432" s="1">
        <f t="shared" si="9"/>
        <v>1</v>
      </c>
      <c r="T2432" s="512" t="e">
        <f>_xlfn.XLOOKUP(H2432,#REF!,#REF!,0,0)</f>
        <v>#REF!</v>
      </c>
    </row>
    <row r="2433" spans="1:20" s="295" customFormat="1" ht="18" customHeight="1" x14ac:dyDescent="0.4">
      <c r="A2433" s="283" t="s">
        <v>9112</v>
      </c>
      <c r="B2433" s="283" t="s">
        <v>9096</v>
      </c>
      <c r="C2433" s="283" t="s">
        <v>433</v>
      </c>
      <c r="D2433" s="283" t="s">
        <v>455</v>
      </c>
      <c r="E2433" s="283" t="s">
        <v>10</v>
      </c>
      <c r="F2433" s="283" t="s">
        <v>362</v>
      </c>
      <c r="G2433" s="11">
        <v>45281</v>
      </c>
      <c r="H2433" s="336" t="s">
        <v>9113</v>
      </c>
      <c r="I2433" s="283">
        <v>73675</v>
      </c>
      <c r="J2433" s="283" t="s">
        <v>9114</v>
      </c>
      <c r="K2433" s="335">
        <v>45425</v>
      </c>
      <c r="L2433" s="283" t="s">
        <v>364</v>
      </c>
      <c r="M2433" s="283" t="s">
        <v>364</v>
      </c>
      <c r="N2433" s="283" t="s">
        <v>364</v>
      </c>
      <c r="O2433" s="283" t="s">
        <v>364</v>
      </c>
      <c r="P2433" s="495" t="s">
        <v>9115</v>
      </c>
      <c r="Q2433" s="283" t="str">
        <f t="shared" si="10"/>
        <v/>
      </c>
      <c r="R2433" s="1">
        <f t="shared" si="8"/>
        <v>1</v>
      </c>
      <c r="S2433" s="1">
        <f t="shared" si="9"/>
        <v>1</v>
      </c>
      <c r="T2433" s="512" t="e">
        <f>_xlfn.XLOOKUP(H2433,#REF!,#REF!,0,0)</f>
        <v>#REF!</v>
      </c>
    </row>
    <row r="2434" spans="1:20" s="295" customFormat="1" ht="18" customHeight="1" x14ac:dyDescent="0.4">
      <c r="A2434" s="283" t="s">
        <v>9116</v>
      </c>
      <c r="B2434" s="283" t="s">
        <v>9096</v>
      </c>
      <c r="C2434" s="283" t="s">
        <v>433</v>
      </c>
      <c r="D2434" s="283" t="s">
        <v>455</v>
      </c>
      <c r="E2434" s="283" t="s">
        <v>10</v>
      </c>
      <c r="F2434" s="283" t="s">
        <v>362</v>
      </c>
      <c r="G2434" s="11">
        <v>45281</v>
      </c>
      <c r="H2434" s="283" t="s">
        <v>9117</v>
      </c>
      <c r="I2434" s="283">
        <v>73676</v>
      </c>
      <c r="J2434" s="283" t="s">
        <v>9118</v>
      </c>
      <c r="K2434" s="335">
        <v>45425</v>
      </c>
      <c r="L2434" s="283" t="s">
        <v>364</v>
      </c>
      <c r="M2434" s="283" t="s">
        <v>364</v>
      </c>
      <c r="N2434" s="283" t="s">
        <v>364</v>
      </c>
      <c r="O2434" s="283" t="s">
        <v>364</v>
      </c>
      <c r="P2434" s="495" t="s">
        <v>9119</v>
      </c>
      <c r="Q2434" s="283" t="str">
        <f t="shared" si="10"/>
        <v/>
      </c>
      <c r="R2434" s="1">
        <f t="shared" si="8"/>
        <v>1</v>
      </c>
      <c r="S2434" s="1">
        <f t="shared" si="9"/>
        <v>1</v>
      </c>
      <c r="T2434" s="512" t="e">
        <f>_xlfn.XLOOKUP(H2434,#REF!,#REF!,0,0)</f>
        <v>#REF!</v>
      </c>
    </row>
    <row r="2435" spans="1:20" s="295" customFormat="1" ht="18" customHeight="1" x14ac:dyDescent="0.4">
      <c r="A2435" s="283" t="s">
        <v>9120</v>
      </c>
      <c r="B2435" s="283" t="s">
        <v>9096</v>
      </c>
      <c r="C2435" s="283" t="s">
        <v>433</v>
      </c>
      <c r="D2435" s="283" t="s">
        <v>455</v>
      </c>
      <c r="E2435" s="283" t="s">
        <v>10</v>
      </c>
      <c r="F2435" s="283" t="s">
        <v>362</v>
      </c>
      <c r="G2435" s="11">
        <v>45281</v>
      </c>
      <c r="H2435" s="336" t="s">
        <v>9121</v>
      </c>
      <c r="I2435" s="283">
        <v>73677</v>
      </c>
      <c r="J2435" s="283" t="s">
        <v>9122</v>
      </c>
      <c r="K2435" s="335">
        <v>45425</v>
      </c>
      <c r="L2435" s="283" t="s">
        <v>364</v>
      </c>
      <c r="M2435" s="283" t="s">
        <v>364</v>
      </c>
      <c r="N2435" s="283" t="s">
        <v>364</v>
      </c>
      <c r="O2435" s="283" t="s">
        <v>364</v>
      </c>
      <c r="P2435" s="495" t="s">
        <v>9123</v>
      </c>
      <c r="Q2435" s="283" t="str">
        <f t="shared" si="10"/>
        <v/>
      </c>
      <c r="R2435" s="1">
        <f t="shared" si="8"/>
        <v>1</v>
      </c>
      <c r="S2435" s="1">
        <f t="shared" si="9"/>
        <v>1</v>
      </c>
      <c r="T2435" s="512" t="e">
        <f>_xlfn.XLOOKUP(H2435,#REF!,#REF!,0,0)</f>
        <v>#REF!</v>
      </c>
    </row>
    <row r="2436" spans="1:20" s="295" customFormat="1" ht="18" customHeight="1" x14ac:dyDescent="0.4">
      <c r="A2436" s="283" t="s">
        <v>9124</v>
      </c>
      <c r="B2436" s="283" t="s">
        <v>9096</v>
      </c>
      <c r="C2436" s="283" t="s">
        <v>433</v>
      </c>
      <c r="D2436" s="283" t="s">
        <v>455</v>
      </c>
      <c r="E2436" s="283" t="s">
        <v>10</v>
      </c>
      <c r="F2436" s="283" t="s">
        <v>362</v>
      </c>
      <c r="G2436" s="11">
        <v>45281</v>
      </c>
      <c r="H2436" s="336" t="s">
        <v>9125</v>
      </c>
      <c r="I2436" s="283">
        <v>73678</v>
      </c>
      <c r="J2436" s="283" t="s">
        <v>9126</v>
      </c>
      <c r="K2436" s="335">
        <v>45425</v>
      </c>
      <c r="L2436" s="283" t="s">
        <v>364</v>
      </c>
      <c r="M2436" s="283" t="s">
        <v>364</v>
      </c>
      <c r="N2436" s="283" t="s">
        <v>364</v>
      </c>
      <c r="O2436" s="283" t="s">
        <v>364</v>
      </c>
      <c r="P2436" s="495" t="s">
        <v>9127</v>
      </c>
      <c r="Q2436" s="283" t="str">
        <f t="shared" si="10"/>
        <v/>
      </c>
      <c r="R2436" s="1">
        <f t="shared" si="8"/>
        <v>1</v>
      </c>
      <c r="S2436" s="1">
        <f t="shared" si="9"/>
        <v>1</v>
      </c>
      <c r="T2436" s="512" t="e">
        <f>_xlfn.XLOOKUP(H2436,#REF!,#REF!,0,0)</f>
        <v>#REF!</v>
      </c>
    </row>
    <row r="2437" spans="1:20" s="295" customFormat="1" ht="18" customHeight="1" x14ac:dyDescent="0.4">
      <c r="A2437" s="283" t="s">
        <v>9128</v>
      </c>
      <c r="B2437" s="283" t="s">
        <v>9096</v>
      </c>
      <c r="C2437" s="283" t="s">
        <v>433</v>
      </c>
      <c r="D2437" s="283" t="s">
        <v>455</v>
      </c>
      <c r="E2437" s="283" t="s">
        <v>10</v>
      </c>
      <c r="F2437" s="283" t="s">
        <v>362</v>
      </c>
      <c r="G2437" s="11">
        <v>45281</v>
      </c>
      <c r="H2437" s="336" t="s">
        <v>9129</v>
      </c>
      <c r="I2437" s="283">
        <v>73679</v>
      </c>
      <c r="J2437" s="283" t="s">
        <v>9130</v>
      </c>
      <c r="K2437" s="335">
        <v>45425</v>
      </c>
      <c r="L2437" s="283" t="s">
        <v>364</v>
      </c>
      <c r="M2437" s="283" t="s">
        <v>364</v>
      </c>
      <c r="N2437" s="283" t="s">
        <v>364</v>
      </c>
      <c r="O2437" s="283" t="s">
        <v>364</v>
      </c>
      <c r="P2437" s="495" t="s">
        <v>9131</v>
      </c>
      <c r="Q2437" s="283" t="str">
        <f t="shared" si="10"/>
        <v/>
      </c>
      <c r="R2437" s="1">
        <f t="shared" si="8"/>
        <v>1</v>
      </c>
      <c r="S2437" s="1">
        <f t="shared" si="9"/>
        <v>1</v>
      </c>
      <c r="T2437" s="512" t="e">
        <f>_xlfn.XLOOKUP(H2437,#REF!,#REF!,0,0)</f>
        <v>#REF!</v>
      </c>
    </row>
    <row r="2438" spans="1:20" s="295" customFormat="1" ht="18" customHeight="1" x14ac:dyDescent="0.4">
      <c r="A2438" s="2" t="s">
        <v>9132</v>
      </c>
      <c r="B2438" s="289" t="s">
        <v>9133</v>
      </c>
      <c r="C2438" s="2" t="s">
        <v>435</v>
      </c>
      <c r="D2438" s="2" t="s">
        <v>9084</v>
      </c>
      <c r="E2438" s="2" t="s">
        <v>10</v>
      </c>
      <c r="F2438" s="2" t="s">
        <v>8665</v>
      </c>
      <c r="G2438" s="2">
        <v>45278</v>
      </c>
      <c r="H2438" s="2" t="s">
        <v>9005</v>
      </c>
      <c r="I2438" s="1">
        <v>73635</v>
      </c>
      <c r="J2438" s="2" t="s">
        <v>9006</v>
      </c>
      <c r="K2438" s="2">
        <v>45418</v>
      </c>
      <c r="L2438" s="2" t="s">
        <v>570</v>
      </c>
      <c r="M2438" s="2" t="s">
        <v>570</v>
      </c>
      <c r="N2438" s="2" t="s">
        <v>570</v>
      </c>
      <c r="O2438" s="2" t="s">
        <v>570</v>
      </c>
      <c r="P2438" s="488" t="s">
        <v>9056</v>
      </c>
      <c r="Q2438" s="1"/>
      <c r="R2438" s="1">
        <f t="shared" si="8"/>
        <v>1</v>
      </c>
      <c r="S2438" s="1">
        <f t="shared" si="9"/>
        <v>1</v>
      </c>
      <c r="T2438" s="512" t="e">
        <f>_xlfn.XLOOKUP(H2438,#REF!,#REF!,0,0)</f>
        <v>#REF!</v>
      </c>
    </row>
    <row r="2439" spans="1:20" s="295" customFormat="1" ht="18" customHeight="1" x14ac:dyDescent="0.4">
      <c r="A2439" s="2" t="s">
        <v>9134</v>
      </c>
      <c r="B2439" s="1" t="s">
        <v>9135</v>
      </c>
      <c r="C2439" s="2" t="s">
        <v>435</v>
      </c>
      <c r="D2439" s="2" t="s">
        <v>9084</v>
      </c>
      <c r="E2439" s="2" t="s">
        <v>10</v>
      </c>
      <c r="F2439" s="2" t="s">
        <v>362</v>
      </c>
      <c r="G2439" s="2">
        <v>45281</v>
      </c>
      <c r="H2439" s="2" t="s">
        <v>9136</v>
      </c>
      <c r="I2439" s="1">
        <v>73670</v>
      </c>
      <c r="J2439" s="2" t="s">
        <v>9137</v>
      </c>
      <c r="K2439" s="2">
        <v>45418</v>
      </c>
      <c r="L2439" s="2" t="s">
        <v>570</v>
      </c>
      <c r="M2439" s="2" t="s">
        <v>570</v>
      </c>
      <c r="N2439" s="2" t="s">
        <v>570</v>
      </c>
      <c r="O2439" s="2" t="s">
        <v>570</v>
      </c>
      <c r="P2439" s="488" t="s">
        <v>9138</v>
      </c>
      <c r="Q2439" s="1" t="str">
        <f t="shared" ref="Q2439:Q2447" si="11">IF(A2439="SCORTA 15",1,"")</f>
        <v/>
      </c>
      <c r="R2439" s="1">
        <f t="shared" si="8"/>
        <v>1</v>
      </c>
      <c r="S2439" s="1">
        <f t="shared" si="9"/>
        <v>1</v>
      </c>
      <c r="T2439" s="512" t="e">
        <f>_xlfn.XLOOKUP(H2439,#REF!,#REF!,0,0)</f>
        <v>#REF!</v>
      </c>
    </row>
    <row r="2440" spans="1:20" s="295" customFormat="1" ht="18" customHeight="1" x14ac:dyDescent="0.4">
      <c r="A2440" s="2" t="s">
        <v>9139</v>
      </c>
      <c r="B2440" s="2" t="s">
        <v>9140</v>
      </c>
      <c r="C2440" s="2" t="s">
        <v>435</v>
      </c>
      <c r="D2440" s="2" t="s">
        <v>9084</v>
      </c>
      <c r="E2440" s="2" t="s">
        <v>10</v>
      </c>
      <c r="F2440" s="2" t="s">
        <v>362</v>
      </c>
      <c r="G2440" s="2">
        <v>45281</v>
      </c>
      <c r="H2440" s="2" t="s">
        <v>9141</v>
      </c>
      <c r="I2440" s="1">
        <v>73686</v>
      </c>
      <c r="J2440" s="2" t="s">
        <v>9142</v>
      </c>
      <c r="K2440" s="2">
        <v>45418</v>
      </c>
      <c r="L2440" s="2" t="s">
        <v>364</v>
      </c>
      <c r="M2440" s="2" t="s">
        <v>364</v>
      </c>
      <c r="N2440" s="2" t="s">
        <v>364</v>
      </c>
      <c r="O2440" s="2" t="s">
        <v>364</v>
      </c>
      <c r="P2440" s="488"/>
      <c r="Q2440" s="1" t="str">
        <f t="shared" si="11"/>
        <v/>
      </c>
      <c r="R2440" s="1">
        <f t="shared" si="8"/>
        <v>1</v>
      </c>
      <c r="S2440" s="1">
        <f t="shared" si="9"/>
        <v>1</v>
      </c>
      <c r="T2440" s="512" t="e">
        <f>_xlfn.XLOOKUP(H2440,#REF!,#REF!,0,0)</f>
        <v>#REF!</v>
      </c>
    </row>
    <row r="2441" spans="1:20" s="295" customFormat="1" ht="18" customHeight="1" x14ac:dyDescent="0.4">
      <c r="A2441" s="283" t="s">
        <v>9143</v>
      </c>
      <c r="B2441" s="283" t="s">
        <v>9096</v>
      </c>
      <c r="C2441" s="283" t="s">
        <v>433</v>
      </c>
      <c r="D2441" s="283" t="s">
        <v>9084</v>
      </c>
      <c r="E2441" s="283" t="s">
        <v>10</v>
      </c>
      <c r="F2441" s="283" t="s">
        <v>362</v>
      </c>
      <c r="G2441" s="11">
        <v>45281</v>
      </c>
      <c r="H2441" s="336" t="s">
        <v>9144</v>
      </c>
      <c r="I2441" s="283">
        <v>73680</v>
      </c>
      <c r="J2441" s="283" t="s">
        <v>9145</v>
      </c>
      <c r="K2441" s="335">
        <v>45425</v>
      </c>
      <c r="L2441" s="283" t="s">
        <v>364</v>
      </c>
      <c r="M2441" s="283" t="s">
        <v>364</v>
      </c>
      <c r="N2441" s="283" t="s">
        <v>364</v>
      </c>
      <c r="O2441" s="283" t="s">
        <v>364</v>
      </c>
      <c r="P2441" s="495" t="s">
        <v>9146</v>
      </c>
      <c r="Q2441" s="283" t="str">
        <f t="shared" si="11"/>
        <v/>
      </c>
      <c r="R2441" s="1">
        <f t="shared" si="8"/>
        <v>1</v>
      </c>
      <c r="S2441" s="1">
        <f t="shared" si="9"/>
        <v>1</v>
      </c>
      <c r="T2441" s="512" t="e">
        <f>_xlfn.XLOOKUP(H2441,#REF!,#REF!,0,0)</f>
        <v>#REF!</v>
      </c>
    </row>
    <row r="2442" spans="1:20" s="295" customFormat="1" ht="18" customHeight="1" x14ac:dyDescent="0.4">
      <c r="A2442" s="283" t="s">
        <v>9147</v>
      </c>
      <c r="B2442" s="283" t="s">
        <v>9096</v>
      </c>
      <c r="C2442" s="283" t="s">
        <v>433</v>
      </c>
      <c r="D2442" s="283" t="s">
        <v>9084</v>
      </c>
      <c r="E2442" s="283" t="s">
        <v>10</v>
      </c>
      <c r="F2442" s="283" t="s">
        <v>362</v>
      </c>
      <c r="G2442" s="11">
        <v>45281</v>
      </c>
      <c r="H2442" s="283" t="s">
        <v>9148</v>
      </c>
      <c r="I2442" s="283">
        <v>73681</v>
      </c>
      <c r="J2442" s="283" t="s">
        <v>9149</v>
      </c>
      <c r="K2442" s="335">
        <v>45425</v>
      </c>
      <c r="L2442" s="283" t="s">
        <v>364</v>
      </c>
      <c r="M2442" s="283" t="s">
        <v>364</v>
      </c>
      <c r="N2442" s="283" t="s">
        <v>364</v>
      </c>
      <c r="O2442" s="283" t="s">
        <v>364</v>
      </c>
      <c r="P2442" s="495" t="s">
        <v>9150</v>
      </c>
      <c r="Q2442" s="283" t="str">
        <f t="shared" si="11"/>
        <v/>
      </c>
      <c r="R2442" s="1">
        <f t="shared" si="8"/>
        <v>1</v>
      </c>
      <c r="S2442" s="1">
        <f t="shared" si="9"/>
        <v>1</v>
      </c>
      <c r="T2442" s="512" t="e">
        <f>_xlfn.XLOOKUP(H2442,#REF!,#REF!,0,0)</f>
        <v>#REF!</v>
      </c>
    </row>
    <row r="2443" spans="1:20" s="295" customFormat="1" ht="18" customHeight="1" x14ac:dyDescent="0.4">
      <c r="A2443" s="283" t="s">
        <v>9151</v>
      </c>
      <c r="B2443" s="283" t="s">
        <v>9096</v>
      </c>
      <c r="C2443" s="283" t="s">
        <v>433</v>
      </c>
      <c r="D2443" s="283" t="s">
        <v>9084</v>
      </c>
      <c r="E2443" s="283" t="s">
        <v>10</v>
      </c>
      <c r="F2443" s="283" t="s">
        <v>362</v>
      </c>
      <c r="G2443" s="11">
        <v>45281</v>
      </c>
      <c r="H2443" s="283" t="s">
        <v>9152</v>
      </c>
      <c r="I2443" s="283">
        <v>73682</v>
      </c>
      <c r="J2443" s="283" t="s">
        <v>9153</v>
      </c>
      <c r="K2443" s="335">
        <v>45425</v>
      </c>
      <c r="L2443" s="283" t="s">
        <v>364</v>
      </c>
      <c r="M2443" s="283" t="s">
        <v>364</v>
      </c>
      <c r="N2443" s="283" t="s">
        <v>364</v>
      </c>
      <c r="O2443" s="283" t="s">
        <v>364</v>
      </c>
      <c r="P2443" s="495" t="s">
        <v>9154</v>
      </c>
      <c r="Q2443" s="283" t="str">
        <f t="shared" si="11"/>
        <v/>
      </c>
      <c r="R2443" s="1">
        <f t="shared" si="8"/>
        <v>1</v>
      </c>
      <c r="S2443" s="1">
        <f t="shared" si="9"/>
        <v>1</v>
      </c>
      <c r="T2443" s="512" t="e">
        <f>_xlfn.XLOOKUP(H2443,#REF!,#REF!,0,0)</f>
        <v>#REF!</v>
      </c>
    </row>
    <row r="2444" spans="1:20" s="295" customFormat="1" ht="18" customHeight="1" x14ac:dyDescent="0.4">
      <c r="A2444" s="283" t="s">
        <v>9155</v>
      </c>
      <c r="B2444" s="283" t="s">
        <v>9096</v>
      </c>
      <c r="C2444" s="283" t="s">
        <v>433</v>
      </c>
      <c r="D2444" s="283" t="s">
        <v>9084</v>
      </c>
      <c r="E2444" s="283" t="s">
        <v>10</v>
      </c>
      <c r="F2444" s="283" t="s">
        <v>362</v>
      </c>
      <c r="G2444" s="11">
        <v>45281</v>
      </c>
      <c r="H2444" s="336" t="s">
        <v>9156</v>
      </c>
      <c r="I2444" s="283">
        <v>73683</v>
      </c>
      <c r="J2444" s="283" t="s">
        <v>9157</v>
      </c>
      <c r="K2444" s="335">
        <v>45425</v>
      </c>
      <c r="L2444" s="283" t="s">
        <v>364</v>
      </c>
      <c r="M2444" s="283" t="s">
        <v>364</v>
      </c>
      <c r="N2444" s="283" t="s">
        <v>364</v>
      </c>
      <c r="O2444" s="283" t="s">
        <v>364</v>
      </c>
      <c r="P2444" s="495" t="s">
        <v>9158</v>
      </c>
      <c r="Q2444" s="283" t="str">
        <f t="shared" si="11"/>
        <v/>
      </c>
      <c r="R2444" s="1">
        <f t="shared" ref="R2444:R2475" si="12">IF(H2444="","",1)</f>
        <v>1</v>
      </c>
      <c r="S2444" s="1">
        <f t="shared" ref="S2444:S2475" si="13">IF(I2444="","",1)</f>
        <v>1</v>
      </c>
      <c r="T2444" s="512" t="e">
        <f>_xlfn.XLOOKUP(H2444,#REF!,#REF!,0,0)</f>
        <v>#REF!</v>
      </c>
    </row>
    <row r="2445" spans="1:20" s="295" customFormat="1" ht="18" customHeight="1" x14ac:dyDescent="0.4">
      <c r="A2445" s="283" t="s">
        <v>9159</v>
      </c>
      <c r="B2445" s="283" t="s">
        <v>9096</v>
      </c>
      <c r="C2445" s="283" t="s">
        <v>433</v>
      </c>
      <c r="D2445" s="283" t="s">
        <v>9084</v>
      </c>
      <c r="E2445" s="283" t="s">
        <v>10</v>
      </c>
      <c r="F2445" s="283" t="s">
        <v>362</v>
      </c>
      <c r="G2445" s="11">
        <v>45281</v>
      </c>
      <c r="H2445" s="336" t="s">
        <v>9160</v>
      </c>
      <c r="I2445" s="283">
        <v>73684</v>
      </c>
      <c r="J2445" s="283" t="s">
        <v>9161</v>
      </c>
      <c r="K2445" s="335">
        <v>45425</v>
      </c>
      <c r="L2445" s="283" t="s">
        <v>364</v>
      </c>
      <c r="M2445" s="283" t="s">
        <v>364</v>
      </c>
      <c r="N2445" s="283" t="s">
        <v>364</v>
      </c>
      <c r="O2445" s="283" t="s">
        <v>364</v>
      </c>
      <c r="P2445" s="495" t="s">
        <v>9162</v>
      </c>
      <c r="Q2445" s="283" t="str">
        <f t="shared" si="11"/>
        <v/>
      </c>
      <c r="R2445" s="1">
        <f t="shared" si="12"/>
        <v>1</v>
      </c>
      <c r="S2445" s="1">
        <f t="shared" si="13"/>
        <v>1</v>
      </c>
      <c r="T2445" s="512" t="e">
        <f>_xlfn.XLOOKUP(H2445,#REF!,#REF!,0,0)</f>
        <v>#REF!</v>
      </c>
    </row>
    <row r="2446" spans="1:20" s="295" customFormat="1" ht="18" customHeight="1" x14ac:dyDescent="0.4">
      <c r="A2446" s="283" t="s">
        <v>9163</v>
      </c>
      <c r="B2446" s="283" t="s">
        <v>9096</v>
      </c>
      <c r="C2446" s="283" t="s">
        <v>433</v>
      </c>
      <c r="D2446" s="283" t="s">
        <v>9084</v>
      </c>
      <c r="E2446" s="283" t="s">
        <v>10</v>
      </c>
      <c r="F2446" s="283" t="s">
        <v>362</v>
      </c>
      <c r="G2446" s="11">
        <v>45281</v>
      </c>
      <c r="H2446" s="283" t="s">
        <v>9164</v>
      </c>
      <c r="I2446" s="283">
        <v>73685</v>
      </c>
      <c r="J2446" s="283" t="s">
        <v>9165</v>
      </c>
      <c r="K2446" s="335">
        <v>45425</v>
      </c>
      <c r="L2446" s="283" t="s">
        <v>364</v>
      </c>
      <c r="M2446" s="283" t="s">
        <v>364</v>
      </c>
      <c r="N2446" s="283" t="s">
        <v>364</v>
      </c>
      <c r="O2446" s="283" t="s">
        <v>364</v>
      </c>
      <c r="P2446" s="495" t="s">
        <v>9166</v>
      </c>
      <c r="Q2446" s="283" t="str">
        <f t="shared" si="11"/>
        <v/>
      </c>
      <c r="R2446" s="1">
        <f t="shared" si="12"/>
        <v>1</v>
      </c>
      <c r="S2446" s="1">
        <f t="shared" si="13"/>
        <v>1</v>
      </c>
      <c r="T2446" s="512" t="e">
        <f>_xlfn.XLOOKUP(H2446,#REF!,#REF!,0,0)</f>
        <v>#REF!</v>
      </c>
    </row>
    <row r="2447" spans="1:20" s="295" customFormat="1" ht="18" customHeight="1" x14ac:dyDescent="0.4">
      <c r="A2447" s="2" t="s">
        <v>9167</v>
      </c>
      <c r="B2447" s="1" t="s">
        <v>9168</v>
      </c>
      <c r="C2447" s="2" t="s">
        <v>435</v>
      </c>
      <c r="D2447" s="2" t="s">
        <v>8127</v>
      </c>
      <c r="E2447" s="2" t="s">
        <v>10</v>
      </c>
      <c r="F2447" s="2" t="s">
        <v>362</v>
      </c>
      <c r="G2447" s="2">
        <v>45281</v>
      </c>
      <c r="H2447" s="2" t="s">
        <v>9169</v>
      </c>
      <c r="I2447" s="1">
        <v>73668</v>
      </c>
      <c r="J2447" s="2" t="s">
        <v>9170</v>
      </c>
      <c r="K2447" s="2">
        <v>45418</v>
      </c>
      <c r="L2447" s="2" t="s">
        <v>570</v>
      </c>
      <c r="M2447" s="2" t="s">
        <v>570</v>
      </c>
      <c r="N2447" s="2" t="s">
        <v>570</v>
      </c>
      <c r="O2447" s="2" t="s">
        <v>570</v>
      </c>
      <c r="P2447" s="488"/>
      <c r="Q2447" s="1" t="str">
        <f t="shared" si="11"/>
        <v/>
      </c>
      <c r="R2447" s="1">
        <f t="shared" si="12"/>
        <v>1</v>
      </c>
      <c r="S2447" s="1">
        <f t="shared" si="13"/>
        <v>1</v>
      </c>
      <c r="T2447" s="512" t="e">
        <f>_xlfn.XLOOKUP(H2447,#REF!,#REF!,0,0)</f>
        <v>#REF!</v>
      </c>
    </row>
    <row r="2448" spans="1:20" s="301" customFormat="1" x14ac:dyDescent="0.4">
      <c r="A2448" s="322" t="s">
        <v>9171</v>
      </c>
      <c r="B2448" s="322" t="s">
        <v>9172</v>
      </c>
      <c r="C2448" s="322" t="s">
        <v>435</v>
      </c>
      <c r="D2448" s="322" t="s">
        <v>8127</v>
      </c>
      <c r="E2448" s="2" t="s">
        <v>3785</v>
      </c>
      <c r="F2448" s="2" t="s">
        <v>436</v>
      </c>
      <c r="G2448" s="2">
        <v>45411</v>
      </c>
      <c r="H2448" s="1" t="s">
        <v>9173</v>
      </c>
      <c r="I2448" s="1">
        <v>76110</v>
      </c>
      <c r="J2448" s="322" t="s">
        <v>9174</v>
      </c>
      <c r="K2448" s="334">
        <v>45414</v>
      </c>
      <c r="L2448" s="322" t="s">
        <v>364</v>
      </c>
      <c r="M2448" s="322" t="s">
        <v>364</v>
      </c>
      <c r="N2448" s="322" t="s">
        <v>364</v>
      </c>
      <c r="O2448" s="322" t="s">
        <v>364</v>
      </c>
      <c r="P2448" s="497" t="s">
        <v>6278</v>
      </c>
      <c r="Q2448" s="322"/>
      <c r="R2448" s="1">
        <f t="shared" si="12"/>
        <v>1</v>
      </c>
      <c r="S2448" s="1">
        <f t="shared" si="13"/>
        <v>1</v>
      </c>
      <c r="T2448" s="512" t="e">
        <f>_xlfn.XLOOKUP(H2448,#REF!,#REF!,0,0)</f>
        <v>#REF!</v>
      </c>
    </row>
    <row r="2449" spans="1:20" x14ac:dyDescent="0.4">
      <c r="A2449" s="324" t="s">
        <v>9175</v>
      </c>
      <c r="B2449" s="324" t="s">
        <v>9176</v>
      </c>
      <c r="C2449" s="325" t="s">
        <v>431</v>
      </c>
      <c r="D2449" s="324" t="s">
        <v>8127</v>
      </c>
      <c r="E2449" s="324" t="s">
        <v>10</v>
      </c>
      <c r="F2449" s="324" t="s">
        <v>244</v>
      </c>
      <c r="G2449" s="326"/>
      <c r="H2449" s="324" t="s">
        <v>270</v>
      </c>
      <c r="I2449" s="324">
        <v>70761</v>
      </c>
      <c r="J2449" s="324"/>
      <c r="K2449" s="326">
        <v>45414</v>
      </c>
      <c r="L2449" s="324" t="s">
        <v>364</v>
      </c>
      <c r="M2449" s="324" t="s">
        <v>364</v>
      </c>
      <c r="N2449" s="324" t="s">
        <v>364</v>
      </c>
      <c r="O2449" s="324" t="s">
        <v>364</v>
      </c>
      <c r="P2449" s="384" t="s">
        <v>9177</v>
      </c>
      <c r="Q2449" s="324">
        <v>1</v>
      </c>
      <c r="R2449" s="1">
        <f t="shared" si="12"/>
        <v>1</v>
      </c>
      <c r="S2449" s="1">
        <f t="shared" si="13"/>
        <v>1</v>
      </c>
      <c r="T2449" s="500" t="e">
        <f>_xlfn.XLOOKUP(H2449,#REF!,#REF!,0,0)</f>
        <v>#REF!</v>
      </c>
    </row>
    <row r="2450" spans="1:20" s="513" customFormat="1" ht="18" customHeight="1" x14ac:dyDescent="0.4">
      <c r="A2450" s="2" t="s">
        <v>9178</v>
      </c>
      <c r="B2450" s="2" t="s">
        <v>9179</v>
      </c>
      <c r="C2450" s="2" t="s">
        <v>433</v>
      </c>
      <c r="D2450" s="2" t="s">
        <v>693</v>
      </c>
      <c r="E2450" s="2" t="s">
        <v>3785</v>
      </c>
      <c r="F2450" s="2" t="s">
        <v>437</v>
      </c>
      <c r="G2450" s="2">
        <v>45243</v>
      </c>
      <c r="H2450" s="2" t="s">
        <v>9180</v>
      </c>
      <c r="I2450" s="1">
        <v>73348</v>
      </c>
      <c r="J2450" s="2" t="s">
        <v>9181</v>
      </c>
      <c r="K2450" s="2"/>
      <c r="L2450" s="2" t="s">
        <v>364</v>
      </c>
      <c r="M2450" s="2" t="s">
        <v>364</v>
      </c>
      <c r="N2450" s="2" t="s">
        <v>364</v>
      </c>
      <c r="O2450" s="2" t="s">
        <v>364</v>
      </c>
      <c r="P2450" s="488" t="s">
        <v>9182</v>
      </c>
      <c r="Q2450" s="1" t="str">
        <f>IF('Completati dal 2014'!A2353="SCORTA 15",1,"")</f>
        <v/>
      </c>
      <c r="R2450" s="1">
        <f t="shared" si="12"/>
        <v>1</v>
      </c>
      <c r="S2450" s="1">
        <f t="shared" si="13"/>
        <v>1</v>
      </c>
      <c r="T2450" s="512" t="e">
        <f>_xlfn.XLOOKUP(H2450,#REF!,#REF!,0,0)</f>
        <v>#REF!</v>
      </c>
    </row>
    <row r="2451" spans="1:20" s="349" customFormat="1" ht="18" customHeight="1" x14ac:dyDescent="0.4">
      <c r="A2451" s="1" t="s">
        <v>9183</v>
      </c>
      <c r="B2451" s="1" t="s">
        <v>9184</v>
      </c>
      <c r="C2451" s="1" t="s">
        <v>433</v>
      </c>
      <c r="D2451" s="1"/>
      <c r="E2451" s="1" t="s">
        <v>10</v>
      </c>
      <c r="F2451" s="1" t="s">
        <v>362</v>
      </c>
      <c r="G2451" s="2">
        <v>45386</v>
      </c>
      <c r="H2451" s="1" t="s">
        <v>9185</v>
      </c>
      <c r="I2451" s="1">
        <v>76167</v>
      </c>
      <c r="J2451" s="1" t="s">
        <v>9186</v>
      </c>
      <c r="K2451" s="1" t="s">
        <v>9187</v>
      </c>
      <c r="L2451" s="1" t="s">
        <v>364</v>
      </c>
      <c r="M2451" s="1" t="s">
        <v>364</v>
      </c>
      <c r="N2451" s="1" t="s">
        <v>364</v>
      </c>
      <c r="O2451" s="1" t="s">
        <v>364</v>
      </c>
      <c r="P2451" s="487"/>
      <c r="Q2451" s="1"/>
      <c r="R2451" s="1">
        <f t="shared" si="12"/>
        <v>1</v>
      </c>
      <c r="S2451" s="1">
        <f t="shared" si="13"/>
        <v>1</v>
      </c>
      <c r="T2451" s="512" t="e">
        <f>_xlfn.XLOOKUP(H2451,#REF!,#REF!,0,0)</f>
        <v>#REF!</v>
      </c>
    </row>
    <row r="2452" spans="1:20" s="514" customFormat="1" ht="18" customHeight="1" x14ac:dyDescent="0.4">
      <c r="A2452" s="324" t="s">
        <v>9188</v>
      </c>
      <c r="B2452" s="324" t="s">
        <v>9189</v>
      </c>
      <c r="C2452" s="325" t="s">
        <v>433</v>
      </c>
      <c r="D2452" s="324"/>
      <c r="E2452" s="324" t="s">
        <v>10</v>
      </c>
      <c r="F2452" s="324" t="s">
        <v>5423</v>
      </c>
      <c r="G2452" s="326"/>
      <c r="H2452" s="324" t="s">
        <v>9190</v>
      </c>
      <c r="I2452" s="324">
        <v>73353</v>
      </c>
      <c r="J2452" s="324" t="s">
        <v>9191</v>
      </c>
      <c r="K2452" s="326">
        <v>45422</v>
      </c>
      <c r="L2452" s="324" t="s">
        <v>364</v>
      </c>
      <c r="M2452" s="324" t="s">
        <v>364</v>
      </c>
      <c r="N2452" s="324" t="s">
        <v>364</v>
      </c>
      <c r="O2452" s="324" t="s">
        <v>364</v>
      </c>
      <c r="P2452" s="384" t="s">
        <v>6278</v>
      </c>
      <c r="Q2452" s="324"/>
      <c r="R2452" s="1">
        <f t="shared" si="12"/>
        <v>1</v>
      </c>
      <c r="S2452" s="1">
        <f t="shared" si="13"/>
        <v>1</v>
      </c>
      <c r="T2452" s="512" t="e">
        <f>_xlfn.XLOOKUP(H2452,#REF!,#REF!,0,0)</f>
        <v>#REF!</v>
      </c>
    </row>
    <row r="2453" spans="1:20" s="301" customFormat="1" x14ac:dyDescent="0.4">
      <c r="A2453" s="1" t="s">
        <v>9192</v>
      </c>
      <c r="B2453" s="1" t="s">
        <v>9193</v>
      </c>
      <c r="C2453" s="1" t="s">
        <v>433</v>
      </c>
      <c r="D2453" s="1" t="s">
        <v>8127</v>
      </c>
      <c r="E2453" s="1" t="s">
        <v>10</v>
      </c>
      <c r="F2453" s="1" t="s">
        <v>436</v>
      </c>
      <c r="G2453" s="2">
        <v>45411</v>
      </c>
      <c r="H2453" s="1" t="s">
        <v>9194</v>
      </c>
      <c r="I2453" s="1">
        <v>76113</v>
      </c>
      <c r="J2453" s="1" t="s">
        <v>9195</v>
      </c>
      <c r="K2453" s="291">
        <v>45425</v>
      </c>
      <c r="L2453" s="1" t="s">
        <v>364</v>
      </c>
      <c r="M2453" s="1" t="s">
        <v>364</v>
      </c>
      <c r="N2453" s="1" t="s">
        <v>364</v>
      </c>
      <c r="O2453" s="1" t="s">
        <v>364</v>
      </c>
      <c r="P2453" s="487" t="s">
        <v>9196</v>
      </c>
      <c r="Q2453" s="1"/>
      <c r="R2453" s="1">
        <f t="shared" si="12"/>
        <v>1</v>
      </c>
      <c r="S2453" s="1">
        <f t="shared" si="13"/>
        <v>1</v>
      </c>
      <c r="T2453" s="512" t="e">
        <f>_xlfn.XLOOKUP(H2453,#REF!,#REF!,0,0)</f>
        <v>#REF!</v>
      </c>
    </row>
    <row r="2454" spans="1:20" s="301" customFormat="1" x14ac:dyDescent="0.4">
      <c r="A2454" s="1" t="s">
        <v>9197</v>
      </c>
      <c r="B2454" s="1" t="s">
        <v>9198</v>
      </c>
      <c r="C2454" s="1" t="s">
        <v>435</v>
      </c>
      <c r="D2454" s="1" t="s">
        <v>8127</v>
      </c>
      <c r="E2454" s="1" t="s">
        <v>10</v>
      </c>
      <c r="F2454" s="1" t="s">
        <v>436</v>
      </c>
      <c r="G2454" s="2">
        <v>45411</v>
      </c>
      <c r="H2454" s="1" t="s">
        <v>9199</v>
      </c>
      <c r="I2454" s="1">
        <v>76114</v>
      </c>
      <c r="J2454" s="1" t="s">
        <v>9200</v>
      </c>
      <c r="K2454" s="291">
        <v>45425</v>
      </c>
      <c r="L2454" s="1" t="s">
        <v>364</v>
      </c>
      <c r="M2454" s="1" t="s">
        <v>364</v>
      </c>
      <c r="N2454" s="1" t="s">
        <v>364</v>
      </c>
      <c r="O2454" s="1" t="s">
        <v>364</v>
      </c>
      <c r="P2454" s="487" t="s">
        <v>9201</v>
      </c>
      <c r="Q2454" s="1"/>
      <c r="R2454" s="1">
        <f t="shared" si="12"/>
        <v>1</v>
      </c>
      <c r="S2454" s="1">
        <f t="shared" si="13"/>
        <v>1</v>
      </c>
      <c r="T2454" s="512" t="e">
        <f>_xlfn.XLOOKUP(H2454,#REF!,#REF!,0,0)</f>
        <v>#REF!</v>
      </c>
    </row>
    <row r="2455" spans="1:20" s="349" customFormat="1" ht="18" customHeight="1" x14ac:dyDescent="0.4">
      <c r="A2455" s="1" t="s">
        <v>9202</v>
      </c>
      <c r="B2455" s="1" t="s">
        <v>9203</v>
      </c>
      <c r="C2455" s="1" t="s">
        <v>435</v>
      </c>
      <c r="D2455" s="1" t="s">
        <v>8127</v>
      </c>
      <c r="E2455" s="1" t="s">
        <v>10</v>
      </c>
      <c r="F2455" s="1" t="s">
        <v>362</v>
      </c>
      <c r="G2455" s="2">
        <v>45386</v>
      </c>
      <c r="H2455" s="1" t="s">
        <v>9204</v>
      </c>
      <c r="I2455" s="1">
        <v>76166</v>
      </c>
      <c r="J2455" s="1" t="s">
        <v>9205</v>
      </c>
      <c r="K2455" s="291">
        <v>45425</v>
      </c>
      <c r="L2455" s="1" t="s">
        <v>364</v>
      </c>
      <c r="M2455" s="1" t="s">
        <v>364</v>
      </c>
      <c r="N2455" s="1" t="s">
        <v>364</v>
      </c>
      <c r="O2455" s="1" t="s">
        <v>364</v>
      </c>
      <c r="P2455" s="487" t="s">
        <v>9206</v>
      </c>
      <c r="Q2455" s="1"/>
      <c r="R2455" s="1">
        <f t="shared" si="12"/>
        <v>1</v>
      </c>
      <c r="S2455" s="1">
        <f t="shared" si="13"/>
        <v>1</v>
      </c>
      <c r="T2455" s="512" t="e">
        <f>_xlfn.XLOOKUP(H2455,#REF!,#REF!,0,0)</f>
        <v>#REF!</v>
      </c>
    </row>
    <row r="2456" spans="1:20" s="349" customFormat="1" ht="18" customHeight="1" x14ac:dyDescent="0.4">
      <c r="A2456" s="1" t="s">
        <v>9207</v>
      </c>
      <c r="B2456" s="1" t="s">
        <v>9208</v>
      </c>
      <c r="C2456" s="1" t="s">
        <v>433</v>
      </c>
      <c r="D2456" s="1"/>
      <c r="E2456" s="1" t="s">
        <v>10</v>
      </c>
      <c r="F2456" s="1" t="s">
        <v>362</v>
      </c>
      <c r="G2456" s="2">
        <v>45386</v>
      </c>
      <c r="H2456" s="1" t="s">
        <v>9209</v>
      </c>
      <c r="I2456" s="1">
        <v>76165</v>
      </c>
      <c r="J2456" s="1" t="s">
        <v>9210</v>
      </c>
      <c r="K2456" s="291" t="s">
        <v>9211</v>
      </c>
      <c r="L2456" s="1" t="s">
        <v>364</v>
      </c>
      <c r="M2456" s="1" t="s">
        <v>364</v>
      </c>
      <c r="N2456" s="1" t="s">
        <v>364</v>
      </c>
      <c r="O2456" s="1" t="s">
        <v>364</v>
      </c>
      <c r="P2456" s="487" t="s">
        <v>9212</v>
      </c>
      <c r="Q2456" s="1"/>
      <c r="R2456" s="1">
        <f t="shared" si="12"/>
        <v>1</v>
      </c>
      <c r="S2456" s="1">
        <f t="shared" si="13"/>
        <v>1</v>
      </c>
      <c r="T2456" s="512" t="e">
        <f>_xlfn.XLOOKUP(H2456,#REF!,#REF!,0,0)</f>
        <v>#REF!</v>
      </c>
    </row>
    <row r="2457" spans="1:20" s="295" customFormat="1" ht="18" customHeight="1" x14ac:dyDescent="0.4">
      <c r="A2457" s="2" t="s">
        <v>9213</v>
      </c>
      <c r="B2457" s="1" t="s">
        <v>9214</v>
      </c>
      <c r="C2457" s="2" t="s">
        <v>435</v>
      </c>
      <c r="D2457" s="2" t="s">
        <v>8127</v>
      </c>
      <c r="E2457" s="2" t="s">
        <v>10</v>
      </c>
      <c r="F2457" s="2" t="s">
        <v>362</v>
      </c>
      <c r="G2457" s="2">
        <v>45281</v>
      </c>
      <c r="H2457" s="2" t="s">
        <v>9215</v>
      </c>
      <c r="I2457" s="1">
        <v>73687</v>
      </c>
      <c r="J2457" s="2" t="s">
        <v>9216</v>
      </c>
      <c r="K2457" s="2">
        <v>45444</v>
      </c>
      <c r="L2457" s="2" t="s">
        <v>570</v>
      </c>
      <c r="M2457" s="2" t="s">
        <v>570</v>
      </c>
      <c r="N2457" s="2" t="s">
        <v>570</v>
      </c>
      <c r="O2457" s="2" t="s">
        <v>570</v>
      </c>
      <c r="P2457" s="488" t="s">
        <v>8928</v>
      </c>
      <c r="Q2457" s="1" t="str">
        <f>IF(A2457="SCORTA 15",1,"")</f>
        <v/>
      </c>
      <c r="R2457" s="1">
        <f t="shared" si="12"/>
        <v>1</v>
      </c>
      <c r="S2457" s="1">
        <f t="shared" si="13"/>
        <v>1</v>
      </c>
      <c r="T2457" s="512" t="e">
        <f>_xlfn.XLOOKUP(H2457,#REF!,#REF!,0,0)</f>
        <v>#REF!</v>
      </c>
    </row>
    <row r="2458" spans="1:20" s="301" customFormat="1" x14ac:dyDescent="0.4">
      <c r="A2458" s="1" t="s">
        <v>9217</v>
      </c>
      <c r="B2458" s="1" t="s">
        <v>9218</v>
      </c>
      <c r="C2458" s="1" t="s">
        <v>435</v>
      </c>
      <c r="D2458" s="2" t="s">
        <v>8127</v>
      </c>
      <c r="E2458" s="1" t="s">
        <v>10</v>
      </c>
      <c r="F2458" s="1" t="s">
        <v>436</v>
      </c>
      <c r="G2458" s="2">
        <v>45411</v>
      </c>
      <c r="H2458" s="1" t="s">
        <v>9219</v>
      </c>
      <c r="I2458" s="1">
        <v>76115</v>
      </c>
      <c r="J2458" s="1" t="s">
        <v>9220</v>
      </c>
      <c r="K2458" s="291">
        <v>45444</v>
      </c>
      <c r="L2458" s="1" t="s">
        <v>364</v>
      </c>
      <c r="M2458" s="1" t="s">
        <v>364</v>
      </c>
      <c r="N2458" s="1" t="s">
        <v>364</v>
      </c>
      <c r="O2458" s="1" t="s">
        <v>364</v>
      </c>
      <c r="P2458" s="487" t="s">
        <v>9221</v>
      </c>
      <c r="Q2458" s="1"/>
      <c r="R2458" s="1">
        <f t="shared" si="12"/>
        <v>1</v>
      </c>
      <c r="S2458" s="1">
        <f t="shared" si="13"/>
        <v>1</v>
      </c>
      <c r="T2458" s="512" t="e">
        <f>_xlfn.XLOOKUP(H2458,#REF!,#REF!,0,0)</f>
        <v>#REF!</v>
      </c>
    </row>
    <row r="2459" spans="1:20" s="514" customFormat="1" ht="18" customHeight="1" x14ac:dyDescent="0.4">
      <c r="A2459" s="324" t="s">
        <v>9222</v>
      </c>
      <c r="B2459" s="324" t="s">
        <v>9223</v>
      </c>
      <c r="C2459" s="325" t="s">
        <v>433</v>
      </c>
      <c r="D2459" s="2" t="s">
        <v>8127</v>
      </c>
      <c r="E2459" s="324" t="s">
        <v>10</v>
      </c>
      <c r="F2459" s="324" t="s">
        <v>9224</v>
      </c>
      <c r="G2459" s="326"/>
      <c r="H2459" s="324" t="s">
        <v>7060</v>
      </c>
      <c r="I2459" s="324">
        <v>71565</v>
      </c>
      <c r="J2459" s="324"/>
      <c r="K2459" s="326">
        <v>45427</v>
      </c>
      <c r="L2459" s="324" t="s">
        <v>364</v>
      </c>
      <c r="M2459" s="324" t="s">
        <v>364</v>
      </c>
      <c r="N2459" s="324" t="s">
        <v>364</v>
      </c>
      <c r="O2459" s="324" t="s">
        <v>364</v>
      </c>
      <c r="P2459" s="384" t="s">
        <v>9225</v>
      </c>
      <c r="Q2459" s="324"/>
      <c r="R2459" s="1">
        <f t="shared" si="12"/>
        <v>1</v>
      </c>
      <c r="S2459" s="1">
        <f t="shared" si="13"/>
        <v>1</v>
      </c>
      <c r="T2459" s="512" t="e">
        <f>_xlfn.XLOOKUP(H2459,#REF!,#REF!,0,0)</f>
        <v>#REF!</v>
      </c>
    </row>
    <row r="2460" spans="1:20" s="514" customFormat="1" ht="18" customHeight="1" x14ac:dyDescent="0.4">
      <c r="A2460" s="324" t="s">
        <v>9226</v>
      </c>
      <c r="B2460" s="324" t="s">
        <v>9227</v>
      </c>
      <c r="C2460" s="325" t="s">
        <v>433</v>
      </c>
      <c r="D2460" s="2" t="s">
        <v>8127</v>
      </c>
      <c r="E2460" s="324" t="s">
        <v>10</v>
      </c>
      <c r="F2460" s="324" t="s">
        <v>9224</v>
      </c>
      <c r="G2460" s="326"/>
      <c r="H2460" s="324" t="s">
        <v>7695</v>
      </c>
      <c r="I2460" s="324">
        <v>73110</v>
      </c>
      <c r="J2460" s="324"/>
      <c r="K2460" s="326">
        <v>45427</v>
      </c>
      <c r="L2460" s="324" t="s">
        <v>364</v>
      </c>
      <c r="M2460" s="324" t="s">
        <v>364</v>
      </c>
      <c r="N2460" s="324" t="s">
        <v>364</v>
      </c>
      <c r="O2460" s="324" t="s">
        <v>364</v>
      </c>
      <c r="P2460" s="384" t="s">
        <v>9228</v>
      </c>
      <c r="Q2460" s="324"/>
      <c r="R2460" s="1">
        <f t="shared" si="12"/>
        <v>1</v>
      </c>
      <c r="S2460" s="1">
        <f t="shared" si="13"/>
        <v>1</v>
      </c>
      <c r="T2460" s="512" t="e">
        <f>_xlfn.XLOOKUP(H2460,#REF!,#REF!,0,0)</f>
        <v>#REF!</v>
      </c>
    </row>
    <row r="2461" spans="1:20" s="301" customFormat="1" x14ac:dyDescent="0.4">
      <c r="A2461" s="1" t="s">
        <v>9229</v>
      </c>
      <c r="B2461" s="1" t="s">
        <v>9230</v>
      </c>
      <c r="C2461" s="1" t="s">
        <v>433</v>
      </c>
      <c r="D2461" s="1" t="s">
        <v>455</v>
      </c>
      <c r="E2461" s="1" t="s">
        <v>10</v>
      </c>
      <c r="F2461" s="1" t="s">
        <v>436</v>
      </c>
      <c r="G2461" s="2">
        <v>45411</v>
      </c>
      <c r="H2461" s="1" t="s">
        <v>313</v>
      </c>
      <c r="I2461" s="1">
        <v>76117</v>
      </c>
      <c r="J2461" s="1" t="s">
        <v>9231</v>
      </c>
      <c r="K2461" s="291">
        <v>45427</v>
      </c>
      <c r="L2461" s="1" t="s">
        <v>364</v>
      </c>
      <c r="M2461" s="1" t="s">
        <v>364</v>
      </c>
      <c r="N2461" s="1" t="s">
        <v>364</v>
      </c>
      <c r="O2461" s="1" t="s">
        <v>364</v>
      </c>
      <c r="P2461" s="487" t="s">
        <v>9232</v>
      </c>
      <c r="Q2461" s="1"/>
      <c r="R2461" s="1">
        <f t="shared" si="12"/>
        <v>1</v>
      </c>
      <c r="S2461" s="1">
        <f t="shared" si="13"/>
        <v>1</v>
      </c>
      <c r="T2461" s="512" t="e">
        <f>_xlfn.XLOOKUP(H2461,#REF!,#REF!,0,0)</f>
        <v>#REF!</v>
      </c>
    </row>
    <row r="2462" spans="1:20" s="349" customFormat="1" ht="18" customHeight="1" x14ac:dyDescent="0.4">
      <c r="A2462" s="1" t="s">
        <v>9233</v>
      </c>
      <c r="B2462" s="1" t="s">
        <v>9234</v>
      </c>
      <c r="C2462" s="1" t="s">
        <v>435</v>
      </c>
      <c r="D2462" s="1" t="s">
        <v>8127</v>
      </c>
      <c r="E2462" s="1" t="s">
        <v>10</v>
      </c>
      <c r="F2462" s="1" t="s">
        <v>362</v>
      </c>
      <c r="G2462" s="2">
        <v>45386</v>
      </c>
      <c r="H2462" s="1" t="s">
        <v>9235</v>
      </c>
      <c r="I2462" s="1">
        <v>76168</v>
      </c>
      <c r="J2462" s="1" t="s">
        <v>9236</v>
      </c>
      <c r="K2462" s="291">
        <v>45426</v>
      </c>
      <c r="L2462" s="1" t="s">
        <v>364</v>
      </c>
      <c r="M2462" s="1" t="s">
        <v>364</v>
      </c>
      <c r="N2462" s="1" t="s">
        <v>364</v>
      </c>
      <c r="O2462" s="1" t="s">
        <v>364</v>
      </c>
      <c r="P2462" s="487" t="s">
        <v>9237</v>
      </c>
      <c r="Q2462" s="1"/>
      <c r="R2462" s="1">
        <f t="shared" si="12"/>
        <v>1</v>
      </c>
      <c r="S2462" s="1">
        <f t="shared" si="13"/>
        <v>1</v>
      </c>
      <c r="T2462" s="512" t="e">
        <f>_xlfn.XLOOKUP(H2462,#REF!,#REF!,0,0)</f>
        <v>#REF!</v>
      </c>
    </row>
    <row r="2463" spans="1:20" s="349" customFormat="1" ht="18" customHeight="1" x14ac:dyDescent="0.4">
      <c r="A2463" s="1" t="s">
        <v>9238</v>
      </c>
      <c r="B2463" s="1" t="s">
        <v>9239</v>
      </c>
      <c r="C2463" s="1" t="s">
        <v>433</v>
      </c>
      <c r="D2463" s="1" t="s">
        <v>8127</v>
      </c>
      <c r="E2463" s="1" t="s">
        <v>10</v>
      </c>
      <c r="F2463" s="1" t="s">
        <v>362</v>
      </c>
      <c r="G2463" s="2">
        <v>45386</v>
      </c>
      <c r="H2463" s="1" t="s">
        <v>9240</v>
      </c>
      <c r="I2463" s="1">
        <v>76169</v>
      </c>
      <c r="J2463" s="1" t="s">
        <v>9241</v>
      </c>
      <c r="K2463" s="291">
        <v>45428.416666666664</v>
      </c>
      <c r="L2463" s="2" t="s">
        <v>364</v>
      </c>
      <c r="M2463" s="2" t="s">
        <v>364</v>
      </c>
      <c r="N2463" s="2" t="s">
        <v>364</v>
      </c>
      <c r="O2463" s="2" t="s">
        <v>364</v>
      </c>
      <c r="P2463" s="487"/>
      <c r="Q2463" s="1"/>
      <c r="R2463" s="1">
        <f t="shared" si="12"/>
        <v>1</v>
      </c>
      <c r="S2463" s="1">
        <f t="shared" si="13"/>
        <v>1</v>
      </c>
      <c r="T2463" s="512" t="e">
        <f>_xlfn.XLOOKUP(H2463,#REF!,#REF!,0,0)</f>
        <v>#REF!</v>
      </c>
    </row>
    <row r="2464" spans="1:20" s="295" customFormat="1" ht="18" customHeight="1" x14ac:dyDescent="0.4">
      <c r="A2464" s="2" t="s">
        <v>9242</v>
      </c>
      <c r="B2464" s="2" t="s">
        <v>9243</v>
      </c>
      <c r="C2464" s="2" t="s">
        <v>433</v>
      </c>
      <c r="D2464" s="2" t="s">
        <v>704</v>
      </c>
      <c r="E2464" s="2" t="s">
        <v>3785</v>
      </c>
      <c r="F2464" s="2" t="s">
        <v>436</v>
      </c>
      <c r="G2464" s="2">
        <v>45278</v>
      </c>
      <c r="H2464" s="2" t="s">
        <v>9244</v>
      </c>
      <c r="I2464" s="1">
        <v>73655</v>
      </c>
      <c r="J2464" s="2" t="s">
        <v>9245</v>
      </c>
      <c r="K2464" s="2" t="s">
        <v>9246</v>
      </c>
      <c r="L2464" s="2" t="s">
        <v>364</v>
      </c>
      <c r="M2464" s="2" t="s">
        <v>364</v>
      </c>
      <c r="N2464" s="2" t="s">
        <v>364</v>
      </c>
      <c r="O2464" s="2" t="s">
        <v>364</v>
      </c>
      <c r="P2464" s="488" t="s">
        <v>9247</v>
      </c>
      <c r="Q2464" s="1" t="str">
        <f>IF(A2464="SCORTA 15",1,"")</f>
        <v/>
      </c>
      <c r="R2464" s="1">
        <f t="shared" si="12"/>
        <v>1</v>
      </c>
      <c r="S2464" s="1">
        <f t="shared" si="13"/>
        <v>1</v>
      </c>
      <c r="T2464" s="512" t="e">
        <f>_xlfn.XLOOKUP(H2464,#REF!,#REF!,0,0)</f>
        <v>#REF!</v>
      </c>
    </row>
    <row r="2465" spans="1:20" s="514" customFormat="1" ht="18" customHeight="1" x14ac:dyDescent="0.4">
      <c r="A2465" s="324" t="s">
        <v>9248</v>
      </c>
      <c r="B2465" s="324" t="s">
        <v>9249</v>
      </c>
      <c r="C2465" s="325" t="s">
        <v>431</v>
      </c>
      <c r="D2465" s="324" t="s">
        <v>8127</v>
      </c>
      <c r="E2465" s="324" t="s">
        <v>10</v>
      </c>
      <c r="F2465" s="324" t="s">
        <v>9224</v>
      </c>
      <c r="G2465" s="326"/>
      <c r="H2465" s="324" t="s">
        <v>5469</v>
      </c>
      <c r="I2465" s="324">
        <v>70661</v>
      </c>
      <c r="J2465" s="324"/>
      <c r="K2465" s="326">
        <v>45432</v>
      </c>
      <c r="L2465" s="324" t="s">
        <v>364</v>
      </c>
      <c r="M2465" s="324" t="s">
        <v>364</v>
      </c>
      <c r="N2465" s="324" t="s">
        <v>364</v>
      </c>
      <c r="O2465" s="324" t="s">
        <v>364</v>
      </c>
      <c r="P2465" s="384"/>
      <c r="Q2465" s="324">
        <v>1</v>
      </c>
      <c r="R2465" s="1">
        <f t="shared" si="12"/>
        <v>1</v>
      </c>
      <c r="S2465" s="1">
        <f t="shared" si="13"/>
        <v>1</v>
      </c>
      <c r="T2465" s="512" t="e">
        <f>_xlfn.XLOOKUP(H2465,#REF!,#REF!,0,0)</f>
        <v>#REF!</v>
      </c>
    </row>
    <row r="2466" spans="1:20" s="514" customFormat="1" ht="18" customHeight="1" x14ac:dyDescent="0.4">
      <c r="A2466" s="324" t="s">
        <v>9250</v>
      </c>
      <c r="B2466" s="324" t="s">
        <v>9251</v>
      </c>
      <c r="C2466" s="325" t="s">
        <v>431</v>
      </c>
      <c r="D2466" s="324"/>
      <c r="E2466" s="324" t="s">
        <v>10</v>
      </c>
      <c r="F2466" s="324" t="s">
        <v>9224</v>
      </c>
      <c r="G2466" s="326"/>
      <c r="H2466" s="324" t="s">
        <v>284</v>
      </c>
      <c r="I2466" s="324">
        <v>71207</v>
      </c>
      <c r="J2466" s="324"/>
      <c r="K2466" s="326">
        <v>45432</v>
      </c>
      <c r="L2466" s="324" t="s">
        <v>364</v>
      </c>
      <c r="M2466" s="324" t="s">
        <v>364</v>
      </c>
      <c r="N2466" s="324" t="s">
        <v>364</v>
      </c>
      <c r="O2466" s="324" t="s">
        <v>364</v>
      </c>
      <c r="P2466" s="384"/>
      <c r="Q2466" s="324">
        <v>1</v>
      </c>
      <c r="R2466" s="1">
        <f t="shared" si="12"/>
        <v>1</v>
      </c>
      <c r="S2466" s="1">
        <f t="shared" si="13"/>
        <v>1</v>
      </c>
      <c r="T2466" s="512" t="e">
        <f>_xlfn.XLOOKUP(H2466,#REF!,#REF!,0,0)</f>
        <v>#REF!</v>
      </c>
    </row>
    <row r="2467" spans="1:20" s="514" customFormat="1" ht="18" customHeight="1" x14ac:dyDescent="0.4">
      <c r="A2467" s="324" t="s">
        <v>9252</v>
      </c>
      <c r="B2467" s="324" t="s">
        <v>9253</v>
      </c>
      <c r="C2467" s="325" t="s">
        <v>431</v>
      </c>
      <c r="D2467" s="324" t="s">
        <v>693</v>
      </c>
      <c r="E2467" s="324" t="s">
        <v>10</v>
      </c>
      <c r="F2467" s="324" t="s">
        <v>9224</v>
      </c>
      <c r="G2467" s="326"/>
      <c r="H2467" s="324" t="s">
        <v>7121</v>
      </c>
      <c r="I2467" s="324">
        <v>72463</v>
      </c>
      <c r="J2467" s="324"/>
      <c r="K2467" s="326">
        <v>45432</v>
      </c>
      <c r="L2467" s="324" t="s">
        <v>364</v>
      </c>
      <c r="M2467" s="324" t="s">
        <v>364</v>
      </c>
      <c r="N2467" s="324" t="s">
        <v>364</v>
      </c>
      <c r="O2467" s="324" t="s">
        <v>364</v>
      </c>
      <c r="P2467" s="384"/>
      <c r="Q2467" s="324">
        <v>1</v>
      </c>
      <c r="R2467" s="1">
        <f t="shared" si="12"/>
        <v>1</v>
      </c>
      <c r="S2467" s="1">
        <f t="shared" si="13"/>
        <v>1</v>
      </c>
      <c r="T2467" s="512" t="e">
        <f>_xlfn.XLOOKUP(H2467,#REF!,#REF!,0,0)</f>
        <v>#REF!</v>
      </c>
    </row>
    <row r="2468" spans="1:20" s="349" customFormat="1" ht="18" customHeight="1" x14ac:dyDescent="0.4">
      <c r="A2468" s="1" t="s">
        <v>9254</v>
      </c>
      <c r="B2468" s="1" t="s">
        <v>9255</v>
      </c>
      <c r="C2468" s="1" t="s">
        <v>435</v>
      </c>
      <c r="D2468" s="1" t="s">
        <v>8127</v>
      </c>
      <c r="E2468" s="1" t="s">
        <v>10</v>
      </c>
      <c r="F2468" s="1" t="s">
        <v>362</v>
      </c>
      <c r="G2468" s="2">
        <v>45386</v>
      </c>
      <c r="H2468" s="1" t="s">
        <v>9256</v>
      </c>
      <c r="I2468" s="1">
        <v>76170</v>
      </c>
      <c r="J2468" s="1" t="s">
        <v>9257</v>
      </c>
      <c r="K2468" s="338">
        <v>45432</v>
      </c>
      <c r="L2468" s="1" t="s">
        <v>364</v>
      </c>
      <c r="M2468" s="1" t="s">
        <v>364</v>
      </c>
      <c r="N2468" s="1" t="s">
        <v>364</v>
      </c>
      <c r="O2468" s="1" t="s">
        <v>364</v>
      </c>
      <c r="P2468" s="487"/>
      <c r="Q2468" s="281" t="str">
        <f>IF(A2468="SCORTA 15",1,"")</f>
        <v/>
      </c>
      <c r="R2468" s="1">
        <f t="shared" si="12"/>
        <v>1</v>
      </c>
      <c r="S2468" s="1">
        <f t="shared" si="13"/>
        <v>1</v>
      </c>
      <c r="T2468" s="512" t="e">
        <f>_xlfn.XLOOKUP(H2468,#REF!,#REF!,0,0)</f>
        <v>#REF!</v>
      </c>
    </row>
    <row r="2469" spans="1:20" s="301" customFormat="1" x14ac:dyDescent="0.4">
      <c r="A2469" s="1" t="s">
        <v>9258</v>
      </c>
      <c r="B2469" s="1" t="s">
        <v>9259</v>
      </c>
      <c r="C2469" s="1" t="s">
        <v>433</v>
      </c>
      <c r="D2469" s="1" t="s">
        <v>9084</v>
      </c>
      <c r="E2469" s="1" t="s">
        <v>10</v>
      </c>
      <c r="F2469" s="1" t="s">
        <v>436</v>
      </c>
      <c r="G2469" s="2">
        <v>45411</v>
      </c>
      <c r="H2469" s="1" t="s">
        <v>9260</v>
      </c>
      <c r="I2469" s="1">
        <v>76119</v>
      </c>
      <c r="J2469" s="1" t="s">
        <v>9261</v>
      </c>
      <c r="K2469" s="1"/>
      <c r="L2469" s="324" t="s">
        <v>364</v>
      </c>
      <c r="M2469" s="324" t="s">
        <v>364</v>
      </c>
      <c r="N2469" s="324" t="s">
        <v>364</v>
      </c>
      <c r="O2469" s="324" t="s">
        <v>364</v>
      </c>
      <c r="P2469" s="487" t="s">
        <v>9262</v>
      </c>
      <c r="Q2469" s="1"/>
      <c r="R2469" s="1">
        <f t="shared" si="12"/>
        <v>1</v>
      </c>
      <c r="S2469" s="1">
        <f t="shared" si="13"/>
        <v>1</v>
      </c>
      <c r="T2469" s="512" t="e">
        <f>_xlfn.XLOOKUP(H2469,#REF!,#REF!,0,0)</f>
        <v>#REF!</v>
      </c>
    </row>
    <row r="2470" spans="1:20" s="514" customFormat="1" ht="18" customHeight="1" x14ac:dyDescent="0.4">
      <c r="A2470" s="324" t="s">
        <v>9263</v>
      </c>
      <c r="B2470" s="324" t="s">
        <v>9264</v>
      </c>
      <c r="C2470" s="325" t="s">
        <v>433</v>
      </c>
      <c r="D2470" s="324" t="s">
        <v>8127</v>
      </c>
      <c r="E2470" s="324" t="s">
        <v>10</v>
      </c>
      <c r="F2470" s="324" t="s">
        <v>9224</v>
      </c>
      <c r="G2470" s="326"/>
      <c r="H2470" s="324" t="s">
        <v>7071</v>
      </c>
      <c r="I2470" s="324">
        <v>71563</v>
      </c>
      <c r="J2470" s="324"/>
      <c r="K2470" s="326">
        <v>45433</v>
      </c>
      <c r="L2470" s="324" t="s">
        <v>364</v>
      </c>
      <c r="M2470" s="324" t="s">
        <v>364</v>
      </c>
      <c r="N2470" s="324" t="s">
        <v>364</v>
      </c>
      <c r="O2470" s="324" t="s">
        <v>364</v>
      </c>
      <c r="P2470" s="538"/>
      <c r="Q2470" s="324"/>
      <c r="R2470" s="1">
        <f t="shared" si="12"/>
        <v>1</v>
      </c>
      <c r="S2470" s="1">
        <f t="shared" si="13"/>
        <v>1</v>
      </c>
      <c r="T2470" s="512" t="e">
        <f>_xlfn.XLOOKUP(H2470,#REF!,#REF!,0,0)</f>
        <v>#REF!</v>
      </c>
    </row>
    <row r="2471" spans="1:20" s="514" customFormat="1" ht="18" customHeight="1" x14ac:dyDescent="0.4">
      <c r="A2471" s="324" t="s">
        <v>9265</v>
      </c>
      <c r="B2471" s="324" t="s">
        <v>9266</v>
      </c>
      <c r="C2471" s="325" t="s">
        <v>433</v>
      </c>
      <c r="D2471" s="324" t="s">
        <v>8127</v>
      </c>
      <c r="E2471" s="324" t="s">
        <v>10</v>
      </c>
      <c r="F2471" s="324" t="s">
        <v>9267</v>
      </c>
      <c r="G2471" s="326"/>
      <c r="H2471" s="324" t="s">
        <v>662</v>
      </c>
      <c r="I2471" s="324">
        <v>69469</v>
      </c>
      <c r="J2471" s="324"/>
      <c r="K2471" s="326">
        <v>45434.583333333336</v>
      </c>
      <c r="L2471" s="324" t="s">
        <v>364</v>
      </c>
      <c r="M2471" s="324" t="s">
        <v>364</v>
      </c>
      <c r="N2471" s="324" t="s">
        <v>364</v>
      </c>
      <c r="O2471" s="324" t="s">
        <v>364</v>
      </c>
      <c r="P2471" s="384" t="s">
        <v>9268</v>
      </c>
      <c r="Q2471" s="324"/>
      <c r="R2471" s="1">
        <f t="shared" si="12"/>
        <v>1</v>
      </c>
      <c r="S2471" s="1">
        <f t="shared" si="13"/>
        <v>1</v>
      </c>
      <c r="T2471" s="512" t="e">
        <f>_xlfn.XLOOKUP(H2471,#REF!,#REF!,0,0)</f>
        <v>#REF!</v>
      </c>
    </row>
    <row r="2472" spans="1:20" s="514" customFormat="1" ht="18" customHeight="1" x14ac:dyDescent="0.4">
      <c r="A2472" s="324" t="s">
        <v>9269</v>
      </c>
      <c r="B2472" s="324" t="s">
        <v>9270</v>
      </c>
      <c r="C2472" s="325" t="s">
        <v>433</v>
      </c>
      <c r="D2472" s="324" t="s">
        <v>693</v>
      </c>
      <c r="E2472" s="324" t="s">
        <v>10</v>
      </c>
      <c r="F2472" s="324" t="s">
        <v>9224</v>
      </c>
      <c r="G2472" s="326"/>
      <c r="H2472" s="324" t="s">
        <v>7812</v>
      </c>
      <c r="I2472" s="324">
        <v>73117</v>
      </c>
      <c r="J2472" s="324"/>
      <c r="K2472" s="337">
        <v>45426</v>
      </c>
      <c r="L2472" s="324" t="s">
        <v>364</v>
      </c>
      <c r="M2472" s="324" t="s">
        <v>364</v>
      </c>
      <c r="N2472" s="324" t="s">
        <v>364</v>
      </c>
      <c r="O2472" s="324" t="s">
        <v>364</v>
      </c>
      <c r="P2472" s="384" t="s">
        <v>9271</v>
      </c>
      <c r="Q2472" s="324"/>
      <c r="R2472" s="1">
        <f t="shared" si="12"/>
        <v>1</v>
      </c>
      <c r="S2472" s="1">
        <f t="shared" si="13"/>
        <v>1</v>
      </c>
      <c r="T2472" s="512" t="e">
        <f>_xlfn.XLOOKUP(H2472,#REF!,#REF!,0,0)</f>
        <v>#REF!</v>
      </c>
    </row>
    <row r="2473" spans="1:20" s="295" customFormat="1" ht="18" customHeight="1" x14ac:dyDescent="0.4">
      <c r="A2473" s="2" t="s">
        <v>9272</v>
      </c>
      <c r="B2473" s="2" t="s">
        <v>9273</v>
      </c>
      <c r="C2473" s="2" t="s">
        <v>433</v>
      </c>
      <c r="D2473" s="2" t="s">
        <v>8127</v>
      </c>
      <c r="E2473" s="2" t="s">
        <v>10</v>
      </c>
      <c r="F2473" s="2" t="s">
        <v>362</v>
      </c>
      <c r="G2473" s="2">
        <v>45237</v>
      </c>
      <c r="H2473" s="2" t="s">
        <v>9274</v>
      </c>
      <c r="I2473" s="1">
        <v>71721</v>
      </c>
      <c r="J2473" s="2" t="s">
        <v>9275</v>
      </c>
      <c r="K2473" s="2">
        <v>45435</v>
      </c>
      <c r="L2473" s="2" t="s">
        <v>364</v>
      </c>
      <c r="M2473" s="2" t="s">
        <v>364</v>
      </c>
      <c r="N2473" s="2" t="s">
        <v>364</v>
      </c>
      <c r="O2473" s="2" t="s">
        <v>364</v>
      </c>
      <c r="P2473" s="488" t="s">
        <v>9276</v>
      </c>
      <c r="Q2473" s="281" t="str">
        <f>IF(A2473="SCORTA 15",1,"")</f>
        <v/>
      </c>
      <c r="R2473" s="1">
        <f t="shared" si="12"/>
        <v>1</v>
      </c>
      <c r="S2473" s="1">
        <f t="shared" si="13"/>
        <v>1</v>
      </c>
      <c r="T2473" s="512" t="e">
        <f>_xlfn.XLOOKUP(H2473,#REF!,#REF!,0,0)</f>
        <v>#REF!</v>
      </c>
    </row>
    <row r="2474" spans="1:20" s="514" customFormat="1" ht="18" customHeight="1" x14ac:dyDescent="0.4">
      <c r="A2474" s="324" t="s">
        <v>9277</v>
      </c>
      <c r="B2474" s="324" t="s">
        <v>9278</v>
      </c>
      <c r="C2474" s="325" t="s">
        <v>431</v>
      </c>
      <c r="D2474" s="324"/>
      <c r="E2474" s="324" t="s">
        <v>10</v>
      </c>
      <c r="F2474" s="324" t="s">
        <v>9267</v>
      </c>
      <c r="G2474" s="326"/>
      <c r="H2474" s="324" t="s">
        <v>245</v>
      </c>
      <c r="I2474" s="324">
        <v>69819</v>
      </c>
      <c r="J2474" s="324"/>
      <c r="K2474" s="326">
        <v>45440</v>
      </c>
      <c r="L2474" s="324" t="s">
        <v>364</v>
      </c>
      <c r="M2474" s="324" t="s">
        <v>364</v>
      </c>
      <c r="N2474" s="324" t="s">
        <v>364</v>
      </c>
      <c r="O2474" s="324" t="s">
        <v>364</v>
      </c>
      <c r="P2474" s="384" t="s">
        <v>9279</v>
      </c>
      <c r="Q2474" s="324">
        <v>1</v>
      </c>
      <c r="R2474" s="1">
        <f t="shared" si="12"/>
        <v>1</v>
      </c>
      <c r="S2474" s="1">
        <f t="shared" si="13"/>
        <v>1</v>
      </c>
      <c r="T2474" s="512" t="e">
        <f>_xlfn.XLOOKUP(H2474,#REF!,#REF!,0,0)</f>
        <v>#REF!</v>
      </c>
    </row>
    <row r="2475" spans="1:20" s="301" customFormat="1" x14ac:dyDescent="0.4">
      <c r="A2475" s="1" t="s">
        <v>9280</v>
      </c>
      <c r="B2475" s="1" t="s">
        <v>9281</v>
      </c>
      <c r="C2475" s="1" t="s">
        <v>433</v>
      </c>
      <c r="D2475" s="1" t="s">
        <v>8127</v>
      </c>
      <c r="E2475" s="1" t="s">
        <v>10</v>
      </c>
      <c r="F2475" s="1" t="s">
        <v>436</v>
      </c>
      <c r="G2475" s="2">
        <v>45411</v>
      </c>
      <c r="H2475" s="1" t="s">
        <v>9282</v>
      </c>
      <c r="I2475" s="1">
        <v>76116</v>
      </c>
      <c r="J2475" s="1" t="s">
        <v>9283</v>
      </c>
      <c r="K2475" s="2">
        <v>45441</v>
      </c>
      <c r="L2475" s="1" t="s">
        <v>364</v>
      </c>
      <c r="M2475" s="1" t="s">
        <v>364</v>
      </c>
      <c r="N2475" s="1" t="s">
        <v>364</v>
      </c>
      <c r="O2475" s="1" t="s">
        <v>364</v>
      </c>
      <c r="P2475" s="487" t="s">
        <v>9284</v>
      </c>
      <c r="Q2475" s="1" t="str">
        <f t="shared" ref="Q2475:Q2481" si="14">IF(A2475="SCORTA 15",1,"")</f>
        <v/>
      </c>
      <c r="R2475" s="1">
        <f t="shared" si="12"/>
        <v>1</v>
      </c>
      <c r="S2475" s="1">
        <f t="shared" si="13"/>
        <v>1</v>
      </c>
      <c r="T2475" s="512" t="e">
        <f>_xlfn.XLOOKUP(H2475,#REF!,#REF!,0,0)</f>
        <v>#REF!</v>
      </c>
    </row>
    <row r="2476" spans="1:20" s="301" customFormat="1" x14ac:dyDescent="0.4">
      <c r="A2476" s="1" t="s">
        <v>9285</v>
      </c>
      <c r="B2476" s="1" t="s">
        <v>9286</v>
      </c>
      <c r="C2476" s="1" t="s">
        <v>433</v>
      </c>
      <c r="D2476" s="1" t="s">
        <v>8127</v>
      </c>
      <c r="E2476" s="1" t="s">
        <v>10</v>
      </c>
      <c r="F2476" s="1" t="s">
        <v>436</v>
      </c>
      <c r="G2476" s="2">
        <v>45411</v>
      </c>
      <c r="H2476" s="1" t="s">
        <v>9287</v>
      </c>
      <c r="I2476" s="1">
        <v>76118</v>
      </c>
      <c r="J2476" s="1" t="s">
        <v>9288</v>
      </c>
      <c r="K2476" s="2">
        <v>45442</v>
      </c>
      <c r="L2476" s="1" t="s">
        <v>364</v>
      </c>
      <c r="M2476" s="1" t="s">
        <v>364</v>
      </c>
      <c r="N2476" s="1" t="s">
        <v>364</v>
      </c>
      <c r="O2476" s="1" t="s">
        <v>364</v>
      </c>
      <c r="P2476" s="487" t="s">
        <v>9289</v>
      </c>
      <c r="Q2476" s="1" t="str">
        <f t="shared" si="14"/>
        <v/>
      </c>
      <c r="R2476" s="1">
        <f t="shared" ref="R2476:R2492" si="15">IF(H2476="","",1)</f>
        <v>1</v>
      </c>
      <c r="S2476" s="1">
        <f t="shared" ref="S2476:S2492" si="16">IF(I2476="","",1)</f>
        <v>1</v>
      </c>
      <c r="T2476" s="512" t="e">
        <f>_xlfn.XLOOKUP(H2476,#REF!,#REF!,0,0)</f>
        <v>#REF!</v>
      </c>
    </row>
    <row r="2477" spans="1:20" s="349" customFormat="1" ht="18" customHeight="1" x14ac:dyDescent="0.4">
      <c r="A2477" s="1" t="s">
        <v>9290</v>
      </c>
      <c r="B2477" s="1" t="s">
        <v>9291</v>
      </c>
      <c r="C2477" s="1" t="s">
        <v>435</v>
      </c>
      <c r="D2477" s="1" t="s">
        <v>8127</v>
      </c>
      <c r="E2477" s="1" t="s">
        <v>10</v>
      </c>
      <c r="F2477" s="1" t="s">
        <v>362</v>
      </c>
      <c r="G2477" s="2">
        <v>45386</v>
      </c>
      <c r="H2477" s="1" t="s">
        <v>9292</v>
      </c>
      <c r="I2477" s="1">
        <v>76171</v>
      </c>
      <c r="J2477" s="1" t="s">
        <v>9293</v>
      </c>
      <c r="K2477" s="291">
        <v>45446</v>
      </c>
      <c r="L2477" s="1" t="s">
        <v>364</v>
      </c>
      <c r="M2477" s="1" t="s">
        <v>364</v>
      </c>
      <c r="N2477" s="1" t="s">
        <v>364</v>
      </c>
      <c r="O2477" s="1" t="s">
        <v>364</v>
      </c>
      <c r="P2477" s="487" t="s">
        <v>9294</v>
      </c>
      <c r="Q2477" s="281" t="str">
        <f t="shared" si="14"/>
        <v/>
      </c>
      <c r="R2477" s="1">
        <f t="shared" si="15"/>
        <v>1</v>
      </c>
      <c r="S2477" s="1">
        <f t="shared" si="16"/>
        <v>1</v>
      </c>
      <c r="T2477" s="512" t="e">
        <f>_xlfn.XLOOKUP(H2477,#REF!,#REF!,0,0)</f>
        <v>#REF!</v>
      </c>
    </row>
    <row r="2478" spans="1:20" s="349" customFormat="1" ht="18" customHeight="1" x14ac:dyDescent="0.4">
      <c r="A2478" s="1" t="s">
        <v>9295</v>
      </c>
      <c r="B2478" s="1" t="s">
        <v>9296</v>
      </c>
      <c r="C2478" s="1" t="s">
        <v>435</v>
      </c>
      <c r="D2478" s="1" t="s">
        <v>8127</v>
      </c>
      <c r="E2478" s="1" t="s">
        <v>10</v>
      </c>
      <c r="F2478" s="1" t="s">
        <v>362</v>
      </c>
      <c r="G2478" s="2">
        <v>45386</v>
      </c>
      <c r="H2478" s="1" t="s">
        <v>9297</v>
      </c>
      <c r="I2478" s="1">
        <v>76172</v>
      </c>
      <c r="J2478" s="1" t="s">
        <v>9298</v>
      </c>
      <c r="K2478" s="291">
        <v>45446</v>
      </c>
      <c r="L2478" s="1" t="s">
        <v>364</v>
      </c>
      <c r="M2478" s="1" t="s">
        <v>364</v>
      </c>
      <c r="N2478" s="1" t="s">
        <v>364</v>
      </c>
      <c r="O2478" s="1" t="s">
        <v>364</v>
      </c>
      <c r="P2478" s="487" t="s">
        <v>9294</v>
      </c>
      <c r="Q2478" s="281" t="str">
        <f t="shared" si="14"/>
        <v/>
      </c>
      <c r="R2478" s="1">
        <f t="shared" si="15"/>
        <v>1</v>
      </c>
      <c r="S2478" s="1">
        <f t="shared" si="16"/>
        <v>1</v>
      </c>
      <c r="T2478" s="512" t="e">
        <f>_xlfn.XLOOKUP(H2478,#REF!,#REF!,0,0)</f>
        <v>#REF!</v>
      </c>
    </row>
    <row r="2479" spans="1:20" s="349" customFormat="1" ht="18" customHeight="1" x14ac:dyDescent="0.4">
      <c r="A2479" s="1" t="s">
        <v>9299</v>
      </c>
      <c r="B2479" s="1" t="s">
        <v>9300</v>
      </c>
      <c r="C2479" s="1" t="s">
        <v>435</v>
      </c>
      <c r="D2479" s="1" t="s">
        <v>8127</v>
      </c>
      <c r="E2479" s="1" t="s">
        <v>10</v>
      </c>
      <c r="F2479" s="1" t="s">
        <v>362</v>
      </c>
      <c r="G2479" s="2">
        <v>45386</v>
      </c>
      <c r="H2479" s="1" t="s">
        <v>9301</v>
      </c>
      <c r="I2479" s="1">
        <v>76173</v>
      </c>
      <c r="J2479" s="1" t="s">
        <v>9302</v>
      </c>
      <c r="K2479" s="291">
        <v>45446</v>
      </c>
      <c r="L2479" s="1" t="s">
        <v>364</v>
      </c>
      <c r="M2479" s="1" t="s">
        <v>364</v>
      </c>
      <c r="N2479" s="1" t="s">
        <v>364</v>
      </c>
      <c r="O2479" s="1" t="s">
        <v>364</v>
      </c>
      <c r="P2479" s="487" t="s">
        <v>7518</v>
      </c>
      <c r="Q2479" s="281" t="str">
        <f t="shared" si="14"/>
        <v/>
      </c>
      <c r="R2479" s="1">
        <f t="shared" si="15"/>
        <v>1</v>
      </c>
      <c r="S2479" s="1">
        <f t="shared" si="16"/>
        <v>1</v>
      </c>
      <c r="T2479" s="512" t="e">
        <f>_xlfn.XLOOKUP(H2479,#REF!,#REF!,0,0)</f>
        <v>#REF!</v>
      </c>
    </row>
    <row r="2480" spans="1:20" s="349" customFormat="1" ht="18" customHeight="1" x14ac:dyDescent="0.4">
      <c r="A2480" s="1" t="s">
        <v>9303</v>
      </c>
      <c r="B2480" s="1" t="s">
        <v>9304</v>
      </c>
      <c r="C2480" s="1" t="s">
        <v>435</v>
      </c>
      <c r="D2480" s="1" t="s">
        <v>8127</v>
      </c>
      <c r="E2480" s="1" t="s">
        <v>10</v>
      </c>
      <c r="F2480" s="1" t="s">
        <v>362</v>
      </c>
      <c r="G2480" s="2">
        <v>45386</v>
      </c>
      <c r="H2480" s="1" t="s">
        <v>5296</v>
      </c>
      <c r="I2480" s="1">
        <v>76174</v>
      </c>
      <c r="J2480" s="1" t="s">
        <v>9305</v>
      </c>
      <c r="K2480" s="291">
        <v>45446</v>
      </c>
      <c r="L2480" s="1" t="s">
        <v>364</v>
      </c>
      <c r="M2480" s="1" t="s">
        <v>364</v>
      </c>
      <c r="N2480" s="1" t="s">
        <v>364</v>
      </c>
      <c r="O2480" s="1" t="s">
        <v>364</v>
      </c>
      <c r="P2480" s="487"/>
      <c r="Q2480" s="281" t="str">
        <f t="shared" si="14"/>
        <v/>
      </c>
      <c r="R2480" s="1">
        <f t="shared" si="15"/>
        <v>1</v>
      </c>
      <c r="S2480" s="1">
        <f t="shared" si="16"/>
        <v>1</v>
      </c>
      <c r="T2480" s="512" t="e">
        <f>_xlfn.XLOOKUP(H2480,#REF!,#REF!,0,0)</f>
        <v>#REF!</v>
      </c>
    </row>
    <row r="2481" spans="1:20" s="295" customFormat="1" ht="18" customHeight="1" x14ac:dyDescent="0.4">
      <c r="A2481" s="2" t="s">
        <v>9306</v>
      </c>
      <c r="B2481" s="2" t="s">
        <v>9307</v>
      </c>
      <c r="C2481" s="2" t="s">
        <v>433</v>
      </c>
      <c r="D2481" s="2" t="s">
        <v>8127</v>
      </c>
      <c r="E2481" s="2" t="s">
        <v>10</v>
      </c>
      <c r="F2481" s="2" t="s">
        <v>362</v>
      </c>
      <c r="G2481" s="2">
        <v>45237</v>
      </c>
      <c r="H2481" s="2" t="s">
        <v>5296</v>
      </c>
      <c r="I2481" s="1">
        <v>71718</v>
      </c>
      <c r="J2481" s="2" t="s">
        <v>9308</v>
      </c>
      <c r="K2481" s="2" t="s">
        <v>9309</v>
      </c>
      <c r="L2481" s="324" t="s">
        <v>364</v>
      </c>
      <c r="M2481" s="324" t="s">
        <v>364</v>
      </c>
      <c r="N2481" s="324" t="s">
        <v>364</v>
      </c>
      <c r="O2481" s="324" t="s">
        <v>364</v>
      </c>
      <c r="P2481" s="488" t="s">
        <v>9310</v>
      </c>
      <c r="Q2481" s="281" t="str">
        <f t="shared" si="14"/>
        <v/>
      </c>
      <c r="R2481" s="1">
        <f t="shared" si="15"/>
        <v>1</v>
      </c>
      <c r="S2481" s="1">
        <f t="shared" si="16"/>
        <v>1</v>
      </c>
      <c r="T2481" s="512" t="e">
        <f>_xlfn.XLOOKUP(H2481,#REF!,#REF!,0,0)</f>
        <v>#REF!</v>
      </c>
    </row>
    <row r="2482" spans="1:20" s="301" customFormat="1" x14ac:dyDescent="0.4">
      <c r="A2482" s="1" t="s">
        <v>9311</v>
      </c>
      <c r="B2482" s="1" t="s">
        <v>9312</v>
      </c>
      <c r="C2482" s="1" t="s">
        <v>433</v>
      </c>
      <c r="D2482" s="1" t="s">
        <v>3778</v>
      </c>
      <c r="E2482" s="1" t="s">
        <v>10</v>
      </c>
      <c r="F2482" s="1" t="s">
        <v>436</v>
      </c>
      <c r="G2482" s="2"/>
      <c r="H2482" s="1" t="s">
        <v>8884</v>
      </c>
      <c r="I2482" s="1">
        <v>73650</v>
      </c>
      <c r="J2482" s="1" t="s">
        <v>8885</v>
      </c>
      <c r="K2482" s="1"/>
      <c r="L2482" s="324" t="s">
        <v>570</v>
      </c>
      <c r="M2482" s="324" t="s">
        <v>570</v>
      </c>
      <c r="N2482" s="324" t="s">
        <v>570</v>
      </c>
      <c r="O2482" s="324" t="s">
        <v>570</v>
      </c>
      <c r="P2482" s="487"/>
      <c r="Q2482" s="1"/>
      <c r="R2482" s="1">
        <f t="shared" si="15"/>
        <v>1</v>
      </c>
      <c r="S2482" s="1">
        <f t="shared" si="16"/>
        <v>1</v>
      </c>
      <c r="T2482" s="512" t="e">
        <f>_xlfn.XLOOKUP(H2482,#REF!,#REF!,0,0)</f>
        <v>#REF!</v>
      </c>
    </row>
    <row r="2483" spans="1:20" s="514" customFormat="1" ht="18" customHeight="1" x14ac:dyDescent="0.4">
      <c r="A2483" s="324" t="s">
        <v>9313</v>
      </c>
      <c r="B2483" s="324" t="s">
        <v>9314</v>
      </c>
      <c r="C2483" s="325" t="s">
        <v>433</v>
      </c>
      <c r="D2483" s="324"/>
      <c r="E2483" s="324" t="s">
        <v>10</v>
      </c>
      <c r="F2483" s="324" t="s">
        <v>3072</v>
      </c>
      <c r="G2483" s="326"/>
      <c r="H2483" s="324" t="s">
        <v>7761</v>
      </c>
      <c r="I2483" s="324">
        <v>72915</v>
      </c>
      <c r="J2483" s="324"/>
      <c r="K2483" s="326"/>
      <c r="L2483" s="324" t="s">
        <v>364</v>
      </c>
      <c r="M2483" s="324" t="s">
        <v>364</v>
      </c>
      <c r="N2483" s="324" t="s">
        <v>364</v>
      </c>
      <c r="O2483" s="324" t="s">
        <v>364</v>
      </c>
      <c r="P2483" s="384"/>
      <c r="Q2483" s="324"/>
      <c r="R2483" s="1">
        <f t="shared" si="15"/>
        <v>1</v>
      </c>
      <c r="S2483" s="1">
        <f t="shared" si="16"/>
        <v>1</v>
      </c>
      <c r="T2483" s="512" t="e">
        <f>_xlfn.XLOOKUP(H2483,#REF!,#REF!,0,0)</f>
        <v>#REF!</v>
      </c>
    </row>
    <row r="2484" spans="1:20" s="514" customFormat="1" ht="18" customHeight="1" x14ac:dyDescent="0.4">
      <c r="A2484" s="324" t="s">
        <v>9315</v>
      </c>
      <c r="B2484" s="324" t="s">
        <v>9316</v>
      </c>
      <c r="C2484" s="325" t="s">
        <v>433</v>
      </c>
      <c r="D2484" s="324" t="s">
        <v>8127</v>
      </c>
      <c r="E2484" s="324" t="s">
        <v>10</v>
      </c>
      <c r="F2484" s="324" t="s">
        <v>8353</v>
      </c>
      <c r="G2484" s="326">
        <v>45434</v>
      </c>
      <c r="H2484" s="324" t="s">
        <v>9317</v>
      </c>
      <c r="I2484" s="324">
        <v>76593</v>
      </c>
      <c r="J2484" s="324" t="s">
        <v>9318</v>
      </c>
      <c r="K2484" s="326"/>
      <c r="L2484" s="324" t="s">
        <v>570</v>
      </c>
      <c r="M2484" s="324" t="s">
        <v>570</v>
      </c>
      <c r="N2484" s="324" t="s">
        <v>570</v>
      </c>
      <c r="O2484" s="324" t="s">
        <v>570</v>
      </c>
      <c r="P2484" s="384" t="s">
        <v>9319</v>
      </c>
      <c r="Q2484" s="324"/>
      <c r="R2484" s="1">
        <f t="shared" si="15"/>
        <v>1</v>
      </c>
      <c r="S2484" s="1">
        <f t="shared" si="16"/>
        <v>1</v>
      </c>
      <c r="T2484" s="512" t="e">
        <f>_xlfn.XLOOKUP(H2484,#REF!,#REF!,0,0)</f>
        <v>#REF!</v>
      </c>
    </row>
    <row r="2485" spans="1:20" s="514" customFormat="1" ht="18" customHeight="1" x14ac:dyDescent="0.4">
      <c r="A2485" s="324" t="s">
        <v>9320</v>
      </c>
      <c r="B2485" s="324" t="s">
        <v>9316</v>
      </c>
      <c r="C2485" s="325" t="s">
        <v>433</v>
      </c>
      <c r="D2485" s="324" t="s">
        <v>8127</v>
      </c>
      <c r="E2485" s="324" t="s">
        <v>10</v>
      </c>
      <c r="F2485" s="324" t="s">
        <v>8353</v>
      </c>
      <c r="G2485" s="326"/>
      <c r="H2485" s="324" t="s">
        <v>9321</v>
      </c>
      <c r="I2485" s="324">
        <v>76594</v>
      </c>
      <c r="J2485" s="324" t="s">
        <v>9322</v>
      </c>
      <c r="K2485" s="326"/>
      <c r="L2485" s="324" t="s">
        <v>364</v>
      </c>
      <c r="M2485" s="324" t="s">
        <v>364</v>
      </c>
      <c r="N2485" s="324" t="s">
        <v>364</v>
      </c>
      <c r="O2485" s="324" t="s">
        <v>364</v>
      </c>
      <c r="P2485" s="384" t="s">
        <v>9319</v>
      </c>
      <c r="Q2485" s="324"/>
      <c r="R2485" s="1">
        <f t="shared" si="15"/>
        <v>1</v>
      </c>
      <c r="S2485" s="1">
        <f t="shared" si="16"/>
        <v>1</v>
      </c>
      <c r="T2485" s="512" t="e">
        <f>_xlfn.XLOOKUP(H2485,#REF!,#REF!,0,0)</f>
        <v>#REF!</v>
      </c>
    </row>
    <row r="2486" spans="1:20" s="514" customFormat="1" ht="18" customHeight="1" x14ac:dyDescent="0.4">
      <c r="A2486" s="324" t="s">
        <v>9323</v>
      </c>
      <c r="B2486" s="324" t="s">
        <v>9316</v>
      </c>
      <c r="C2486" s="325" t="s">
        <v>433</v>
      </c>
      <c r="D2486" s="324" t="s">
        <v>8127</v>
      </c>
      <c r="E2486" s="324" t="s">
        <v>10</v>
      </c>
      <c r="F2486" s="324" t="s">
        <v>8353</v>
      </c>
      <c r="G2486" s="326"/>
      <c r="H2486" s="324" t="s">
        <v>9324</v>
      </c>
      <c r="I2486" s="324">
        <v>76595</v>
      </c>
      <c r="J2486" s="324" t="s">
        <v>9325</v>
      </c>
      <c r="K2486" s="326"/>
      <c r="L2486" s="324" t="s">
        <v>570</v>
      </c>
      <c r="M2486" s="324" t="s">
        <v>570</v>
      </c>
      <c r="N2486" s="324" t="s">
        <v>570</v>
      </c>
      <c r="O2486" s="324" t="s">
        <v>570</v>
      </c>
      <c r="P2486" s="384" t="s">
        <v>9319</v>
      </c>
      <c r="Q2486" s="324"/>
      <c r="R2486" s="1">
        <f t="shared" si="15"/>
        <v>1</v>
      </c>
      <c r="S2486" s="1">
        <f t="shared" si="16"/>
        <v>1</v>
      </c>
      <c r="T2486" s="512" t="e">
        <f>_xlfn.XLOOKUP(H2486,#REF!,#REF!,0,0)</f>
        <v>#REF!</v>
      </c>
    </row>
    <row r="2487" spans="1:20" s="514" customFormat="1" ht="18" customHeight="1" x14ac:dyDescent="0.4">
      <c r="A2487" s="324" t="s">
        <v>9326</v>
      </c>
      <c r="B2487" s="324" t="s">
        <v>9327</v>
      </c>
      <c r="C2487" s="325" t="s">
        <v>433</v>
      </c>
      <c r="D2487" s="324" t="s">
        <v>8127</v>
      </c>
      <c r="E2487" s="324" t="s">
        <v>10</v>
      </c>
      <c r="F2487" s="324" t="s">
        <v>9267</v>
      </c>
      <c r="G2487" s="326"/>
      <c r="H2487" s="324" t="s">
        <v>7480</v>
      </c>
      <c r="I2487" s="324">
        <v>72746</v>
      </c>
      <c r="J2487" s="324"/>
      <c r="K2487" s="326">
        <v>45449</v>
      </c>
      <c r="L2487" s="324" t="s">
        <v>364</v>
      </c>
      <c r="M2487" s="324" t="s">
        <v>364</v>
      </c>
      <c r="N2487" s="324" t="s">
        <v>364</v>
      </c>
      <c r="O2487" s="324" t="s">
        <v>364</v>
      </c>
      <c r="P2487" s="384" t="s">
        <v>9328</v>
      </c>
      <c r="Q2487" s="324"/>
      <c r="R2487" s="1">
        <f t="shared" si="15"/>
        <v>1</v>
      </c>
      <c r="S2487" s="1">
        <f t="shared" si="16"/>
        <v>1</v>
      </c>
      <c r="T2487" s="512" t="e">
        <f>_xlfn.XLOOKUP(H2487,#REF!,#REF!,0,0)</f>
        <v>#REF!</v>
      </c>
    </row>
    <row r="2488" spans="1:20" s="349" customFormat="1" ht="18" customHeight="1" x14ac:dyDescent="0.4">
      <c r="A2488" s="1" t="s">
        <v>9329</v>
      </c>
      <c r="B2488" s="1" t="s">
        <v>9330</v>
      </c>
      <c r="C2488" s="1" t="s">
        <v>433</v>
      </c>
      <c r="D2488" s="1" t="s">
        <v>8741</v>
      </c>
      <c r="E2488" s="1" t="s">
        <v>10</v>
      </c>
      <c r="F2488" s="1" t="s">
        <v>362</v>
      </c>
      <c r="G2488" s="2">
        <v>45386</v>
      </c>
      <c r="H2488" s="1" t="s">
        <v>9331</v>
      </c>
      <c r="I2488" s="1">
        <v>76179</v>
      </c>
      <c r="J2488" s="1" t="s">
        <v>9332</v>
      </c>
      <c r="K2488" s="2">
        <v>45449</v>
      </c>
      <c r="L2488" s="1" t="s">
        <v>364</v>
      </c>
      <c r="M2488" s="1" t="s">
        <v>364</v>
      </c>
      <c r="N2488" s="1" t="s">
        <v>364</v>
      </c>
      <c r="O2488" s="1" t="s">
        <v>364</v>
      </c>
      <c r="P2488" s="487" t="s">
        <v>9333</v>
      </c>
      <c r="Q2488" s="281" t="str">
        <f>IF(A2488="SCORTA 10",1,"")</f>
        <v/>
      </c>
      <c r="R2488" s="1">
        <f t="shared" si="15"/>
        <v>1</v>
      </c>
      <c r="S2488" s="1">
        <f t="shared" si="16"/>
        <v>1</v>
      </c>
      <c r="T2488" s="512" t="e">
        <f>_xlfn.XLOOKUP(H2488,#REF!,#REF!,0,0)</f>
        <v>#REF!</v>
      </c>
    </row>
    <row r="2489" spans="1:20" s="295" customFormat="1" ht="18" customHeight="1" x14ac:dyDescent="0.4">
      <c r="A2489" s="2" t="s">
        <v>9334</v>
      </c>
      <c r="B2489" s="1" t="s">
        <v>9335</v>
      </c>
      <c r="C2489" s="1" t="s">
        <v>433</v>
      </c>
      <c r="D2489" s="303" t="s">
        <v>693</v>
      </c>
      <c r="E2489" s="2" t="s">
        <v>10</v>
      </c>
      <c r="F2489" s="2" t="s">
        <v>362</v>
      </c>
      <c r="G2489" s="2">
        <v>45281</v>
      </c>
      <c r="H2489" s="2" t="s">
        <v>9336</v>
      </c>
      <c r="I2489" s="1">
        <v>73688</v>
      </c>
      <c r="J2489" s="1" t="s">
        <v>9337</v>
      </c>
      <c r="K2489" s="2">
        <v>45450</v>
      </c>
      <c r="L2489" s="293" t="s">
        <v>570</v>
      </c>
      <c r="M2489" s="293" t="s">
        <v>570</v>
      </c>
      <c r="N2489" s="293" t="s">
        <v>570</v>
      </c>
      <c r="O2489" s="293" t="s">
        <v>570</v>
      </c>
      <c r="P2489" s="487" t="s">
        <v>9338</v>
      </c>
      <c r="Q2489" s="281" t="str">
        <f>IF(A2489="SCORTA 10",1,"")</f>
        <v/>
      </c>
      <c r="R2489" s="1">
        <f t="shared" si="15"/>
        <v>1</v>
      </c>
      <c r="S2489" s="1">
        <f t="shared" si="16"/>
        <v>1</v>
      </c>
      <c r="T2489" s="512" t="e">
        <f>_xlfn.XLOOKUP(H2489,#REF!,#REF!,0,0)</f>
        <v>#REF!</v>
      </c>
    </row>
    <row r="2490" spans="1:20" s="301" customFormat="1" x14ac:dyDescent="0.4">
      <c r="A2490" s="1" t="s">
        <v>9339</v>
      </c>
      <c r="B2490" s="1" t="s">
        <v>9340</v>
      </c>
      <c r="C2490" s="1" t="s">
        <v>433</v>
      </c>
      <c r="D2490" s="1" t="s">
        <v>8127</v>
      </c>
      <c r="E2490" s="1" t="s">
        <v>10</v>
      </c>
      <c r="F2490" s="1" t="s">
        <v>436</v>
      </c>
      <c r="G2490" s="2">
        <v>45411</v>
      </c>
      <c r="H2490" s="1" t="s">
        <v>9341</v>
      </c>
      <c r="I2490" s="1">
        <v>76123</v>
      </c>
      <c r="J2490" s="1" t="s">
        <v>9342</v>
      </c>
      <c r="K2490" s="2">
        <v>45453</v>
      </c>
      <c r="L2490" s="1" t="s">
        <v>364</v>
      </c>
      <c r="M2490" s="1" t="s">
        <v>364</v>
      </c>
      <c r="N2490" s="1" t="s">
        <v>364</v>
      </c>
      <c r="O2490" s="1" t="s">
        <v>364</v>
      </c>
      <c r="P2490" s="487" t="s">
        <v>9343</v>
      </c>
      <c r="Q2490" s="322" t="str">
        <f>IF(A2490="SCORTA 10",1,"")</f>
        <v/>
      </c>
      <c r="R2490" s="1">
        <f t="shared" si="15"/>
        <v>1</v>
      </c>
      <c r="S2490" s="1">
        <f t="shared" si="16"/>
        <v>1</v>
      </c>
      <c r="T2490" s="512" t="e">
        <f>_xlfn.XLOOKUP(H2490,#REF!,#REF!,0,0)</f>
        <v>#REF!</v>
      </c>
    </row>
    <row r="2491" spans="1:20" s="514" customFormat="1" ht="18" customHeight="1" x14ac:dyDescent="0.4">
      <c r="A2491" s="324" t="s">
        <v>9344</v>
      </c>
      <c r="B2491" s="324" t="s">
        <v>9345</v>
      </c>
      <c r="C2491" s="325" t="s">
        <v>431</v>
      </c>
      <c r="D2491" s="324" t="s">
        <v>1097</v>
      </c>
      <c r="E2491" s="324" t="s">
        <v>10</v>
      </c>
      <c r="F2491" s="324" t="s">
        <v>560</v>
      </c>
      <c r="G2491" s="326"/>
      <c r="H2491" s="324" t="s">
        <v>251</v>
      </c>
      <c r="I2491" s="324">
        <v>70490</v>
      </c>
      <c r="J2491" s="324" t="s">
        <v>1134</v>
      </c>
      <c r="K2491" s="326">
        <v>45453</v>
      </c>
      <c r="L2491" s="324" t="s">
        <v>364</v>
      </c>
      <c r="M2491" s="324" t="s">
        <v>364</v>
      </c>
      <c r="N2491" s="324" t="s">
        <v>364</v>
      </c>
      <c r="O2491" s="324" t="s">
        <v>364</v>
      </c>
      <c r="P2491" s="384"/>
      <c r="Q2491" s="324"/>
      <c r="R2491" s="1">
        <f t="shared" si="15"/>
        <v>1</v>
      </c>
      <c r="S2491" s="1">
        <f t="shared" si="16"/>
        <v>1</v>
      </c>
      <c r="T2491" s="512" t="e">
        <f>_xlfn.XLOOKUP(H2491,#REF!,#REF!,0,0)</f>
        <v>#REF!</v>
      </c>
    </row>
    <row r="2492" spans="1:20" s="301" customFormat="1" x14ac:dyDescent="0.4">
      <c r="A2492" s="1" t="s">
        <v>9346</v>
      </c>
      <c r="B2492" s="1" t="s">
        <v>9347</v>
      </c>
      <c r="C2492" s="1" t="s">
        <v>433</v>
      </c>
      <c r="D2492" s="1" t="s">
        <v>9348</v>
      </c>
      <c r="E2492" s="1" t="s">
        <v>10</v>
      </c>
      <c r="F2492" s="1" t="s">
        <v>436</v>
      </c>
      <c r="G2492" s="2">
        <v>45411</v>
      </c>
      <c r="H2492" s="1" t="s">
        <v>9349</v>
      </c>
      <c r="I2492" s="1">
        <v>76122</v>
      </c>
      <c r="J2492" s="1" t="s">
        <v>9350</v>
      </c>
      <c r="K2492" s="2">
        <v>45456</v>
      </c>
      <c r="L2492" s="1" t="s">
        <v>364</v>
      </c>
      <c r="M2492" s="1" t="s">
        <v>364</v>
      </c>
      <c r="N2492" s="1" t="s">
        <v>364</v>
      </c>
      <c r="O2492" s="1" t="s">
        <v>364</v>
      </c>
      <c r="P2492" s="487" t="s">
        <v>5255</v>
      </c>
      <c r="Q2492" s="322" t="str">
        <f t="shared" ref="Q2492:Q2499" si="17">IF(A2492="SCORTA 10",1,"")</f>
        <v/>
      </c>
      <c r="R2492" s="1">
        <f t="shared" si="15"/>
        <v>1</v>
      </c>
      <c r="S2492" s="1">
        <f t="shared" si="16"/>
        <v>1</v>
      </c>
      <c r="T2492" s="512" t="e">
        <f>_xlfn.XLOOKUP(H2492,#REF!,#REF!,0,0)</f>
        <v>#REF!</v>
      </c>
    </row>
    <row r="2493" spans="1:20" s="295" customFormat="1" ht="18" customHeight="1" x14ac:dyDescent="0.4">
      <c r="A2493" s="2" t="s">
        <v>9351</v>
      </c>
      <c r="B2493" s="1" t="s">
        <v>9352</v>
      </c>
      <c r="C2493" s="1" t="s">
        <v>433</v>
      </c>
      <c r="D2493" s="303" t="s">
        <v>8127</v>
      </c>
      <c r="E2493" s="2" t="s">
        <v>10</v>
      </c>
      <c r="F2493" s="2" t="s">
        <v>362</v>
      </c>
      <c r="G2493" s="2">
        <v>45386</v>
      </c>
      <c r="H2493" s="2" t="s">
        <v>9353</v>
      </c>
      <c r="I2493" s="1">
        <v>76185</v>
      </c>
      <c r="J2493" s="1" t="s">
        <v>9354</v>
      </c>
      <c r="K2493" s="2"/>
      <c r="L2493" s="1" t="s">
        <v>570</v>
      </c>
      <c r="M2493" s="1" t="s">
        <v>570</v>
      </c>
      <c r="N2493" s="1" t="s">
        <v>570</v>
      </c>
      <c r="O2493" s="1" t="s">
        <v>570</v>
      </c>
      <c r="P2493" s="487"/>
      <c r="Q2493" s="281" t="str">
        <f t="shared" si="17"/>
        <v/>
      </c>
      <c r="R2493" s="1">
        <f t="shared" ref="R2493:R2499" si="18">IF(H2493&lt;&gt;"",1,"")</f>
        <v>1</v>
      </c>
      <c r="S2493" s="1">
        <f t="shared" ref="S2493:S2499" si="19">IF(I2493&lt;&gt;"",1,"")</f>
        <v>1</v>
      </c>
      <c r="T2493" s="512" t="e">
        <f>_xlfn.XLOOKUP(H2493,#REF!,#REF!,0,0)</f>
        <v>#REF!</v>
      </c>
    </row>
    <row r="2494" spans="1:20" s="295" customFormat="1" ht="18" customHeight="1" x14ac:dyDescent="0.4">
      <c r="A2494" s="2" t="s">
        <v>9355</v>
      </c>
      <c r="B2494" s="1" t="s">
        <v>9356</v>
      </c>
      <c r="C2494" s="1" t="s">
        <v>433</v>
      </c>
      <c r="D2494" s="303" t="s">
        <v>8127</v>
      </c>
      <c r="E2494" s="2" t="s">
        <v>10</v>
      </c>
      <c r="F2494" s="2" t="s">
        <v>362</v>
      </c>
      <c r="G2494" s="2">
        <v>45386</v>
      </c>
      <c r="H2494" s="2" t="s">
        <v>9357</v>
      </c>
      <c r="I2494" s="1">
        <v>76181</v>
      </c>
      <c r="J2494" s="1" t="s">
        <v>9358</v>
      </c>
      <c r="K2494" s="2">
        <v>45457</v>
      </c>
      <c r="L2494" s="1" t="s">
        <v>364</v>
      </c>
      <c r="M2494" s="1" t="s">
        <v>364</v>
      </c>
      <c r="N2494" s="1" t="s">
        <v>364</v>
      </c>
      <c r="O2494" s="1" t="s">
        <v>364</v>
      </c>
      <c r="P2494" s="487" t="s">
        <v>9359</v>
      </c>
      <c r="Q2494" s="281" t="str">
        <f t="shared" si="17"/>
        <v/>
      </c>
      <c r="R2494" s="1">
        <f t="shared" si="18"/>
        <v>1</v>
      </c>
      <c r="S2494" s="1">
        <f t="shared" si="19"/>
        <v>1</v>
      </c>
      <c r="T2494" s="512" t="e">
        <f>_xlfn.XLOOKUP(H2494,#REF!,#REF!,0,0)</f>
        <v>#REF!</v>
      </c>
    </row>
    <row r="2495" spans="1:20" s="295" customFormat="1" ht="18" customHeight="1" x14ac:dyDescent="0.4">
      <c r="A2495" s="2" t="s">
        <v>9360</v>
      </c>
      <c r="B2495" s="1" t="s">
        <v>9361</v>
      </c>
      <c r="C2495" s="1" t="s">
        <v>435</v>
      </c>
      <c r="D2495" s="303" t="s">
        <v>8127</v>
      </c>
      <c r="E2495" s="2" t="s">
        <v>10</v>
      </c>
      <c r="F2495" s="2" t="s">
        <v>362</v>
      </c>
      <c r="G2495" s="2">
        <v>45386</v>
      </c>
      <c r="H2495" s="2" t="s">
        <v>9362</v>
      </c>
      <c r="I2495" s="1">
        <v>76184</v>
      </c>
      <c r="J2495" s="1" t="s">
        <v>9363</v>
      </c>
      <c r="K2495" s="2">
        <v>45460</v>
      </c>
      <c r="L2495" s="1" t="s">
        <v>570</v>
      </c>
      <c r="M2495" s="1" t="s">
        <v>570</v>
      </c>
      <c r="N2495" s="1" t="s">
        <v>570</v>
      </c>
      <c r="O2495" s="1" t="s">
        <v>570</v>
      </c>
      <c r="P2495" s="487" t="s">
        <v>8611</v>
      </c>
      <c r="Q2495" s="281" t="str">
        <f t="shared" si="17"/>
        <v/>
      </c>
      <c r="R2495" s="1">
        <f t="shared" si="18"/>
        <v>1</v>
      </c>
      <c r="S2495" s="1">
        <f t="shared" si="19"/>
        <v>1</v>
      </c>
      <c r="T2495" s="512" t="e">
        <f>_xlfn.XLOOKUP(H2495,#REF!,#REF!,0,0)</f>
        <v>#REF!</v>
      </c>
    </row>
    <row r="2496" spans="1:20" s="301" customFormat="1" x14ac:dyDescent="0.4">
      <c r="A2496" s="1" t="s">
        <v>9364</v>
      </c>
      <c r="B2496" s="1" t="s">
        <v>9365</v>
      </c>
      <c r="C2496" s="1" t="s">
        <v>435</v>
      </c>
      <c r="D2496" s="1" t="s">
        <v>8127</v>
      </c>
      <c r="E2496" s="1" t="s">
        <v>10</v>
      </c>
      <c r="F2496" s="1" t="s">
        <v>436</v>
      </c>
      <c r="G2496" s="2">
        <v>45411</v>
      </c>
      <c r="H2496" s="1" t="s">
        <v>9366</v>
      </c>
      <c r="I2496" s="1">
        <v>76120</v>
      </c>
      <c r="J2496" s="1" t="s">
        <v>9367</v>
      </c>
      <c r="K2496" s="2">
        <v>45460</v>
      </c>
      <c r="L2496" s="1" t="s">
        <v>364</v>
      </c>
      <c r="M2496" s="1" t="s">
        <v>364</v>
      </c>
      <c r="N2496" s="1" t="s">
        <v>364</v>
      </c>
      <c r="O2496" s="1" t="s">
        <v>364</v>
      </c>
      <c r="P2496" s="487"/>
      <c r="Q2496" s="322" t="str">
        <f t="shared" si="17"/>
        <v/>
      </c>
      <c r="R2496" s="1">
        <f t="shared" si="18"/>
        <v>1</v>
      </c>
      <c r="S2496" s="1">
        <f t="shared" si="19"/>
        <v>1</v>
      </c>
      <c r="T2496" s="512" t="e">
        <f>_xlfn.XLOOKUP(H2496,#REF!,#REF!,0,0)</f>
        <v>#REF!</v>
      </c>
    </row>
    <row r="2497" spans="1:20" s="295" customFormat="1" ht="18" customHeight="1" x14ac:dyDescent="0.4">
      <c r="A2497" s="2" t="s">
        <v>9368</v>
      </c>
      <c r="B2497" s="1" t="s">
        <v>9369</v>
      </c>
      <c r="C2497" s="1" t="s">
        <v>435</v>
      </c>
      <c r="D2497" s="303" t="s">
        <v>8127</v>
      </c>
      <c r="E2497" s="2" t="s">
        <v>10</v>
      </c>
      <c r="F2497" s="2" t="s">
        <v>362</v>
      </c>
      <c r="G2497" s="2">
        <v>45386</v>
      </c>
      <c r="H2497" s="2" t="s">
        <v>9370</v>
      </c>
      <c r="I2497" s="1">
        <v>76180</v>
      </c>
      <c r="J2497" s="1" t="s">
        <v>9371</v>
      </c>
      <c r="K2497" s="2">
        <v>45460</v>
      </c>
      <c r="L2497" s="1" t="s">
        <v>364</v>
      </c>
      <c r="M2497" s="1" t="s">
        <v>364</v>
      </c>
      <c r="N2497" s="1" t="s">
        <v>364</v>
      </c>
      <c r="O2497" s="1" t="s">
        <v>364</v>
      </c>
      <c r="P2497" s="487"/>
      <c r="Q2497" s="281" t="str">
        <f t="shared" si="17"/>
        <v/>
      </c>
      <c r="R2497" s="1">
        <f t="shared" si="18"/>
        <v>1</v>
      </c>
      <c r="S2497" s="1">
        <f t="shared" si="19"/>
        <v>1</v>
      </c>
      <c r="T2497" s="512" t="e">
        <f>_xlfn.XLOOKUP(H2497,#REF!,#REF!,0,0)</f>
        <v>#REF!</v>
      </c>
    </row>
    <row r="2498" spans="1:20" s="301" customFormat="1" x14ac:dyDescent="0.4">
      <c r="A2498" s="1" t="s">
        <v>9372</v>
      </c>
      <c r="B2498" s="1" t="s">
        <v>9373</v>
      </c>
      <c r="C2498" s="1" t="s">
        <v>433</v>
      </c>
      <c r="D2498" s="1" t="s">
        <v>8127</v>
      </c>
      <c r="E2498" s="1" t="s">
        <v>10</v>
      </c>
      <c r="F2498" s="1" t="s">
        <v>436</v>
      </c>
      <c r="G2498" s="2">
        <v>45411</v>
      </c>
      <c r="H2498" s="1" t="s">
        <v>9374</v>
      </c>
      <c r="I2498" s="1">
        <v>76121</v>
      </c>
      <c r="J2498" s="1" t="s">
        <v>9375</v>
      </c>
      <c r="K2498" s="2">
        <v>45461</v>
      </c>
      <c r="L2498" s="1" t="s">
        <v>364</v>
      </c>
      <c r="M2498" s="1" t="s">
        <v>364</v>
      </c>
      <c r="N2498" s="1" t="s">
        <v>364</v>
      </c>
      <c r="O2498" s="1" t="s">
        <v>364</v>
      </c>
      <c r="P2498" s="487"/>
      <c r="Q2498" s="322" t="str">
        <f t="shared" si="17"/>
        <v/>
      </c>
      <c r="R2498" s="1">
        <f t="shared" si="18"/>
        <v>1</v>
      </c>
      <c r="S2498" s="1">
        <f t="shared" si="19"/>
        <v>1</v>
      </c>
      <c r="T2498" s="512" t="e">
        <f>_xlfn.XLOOKUP(H2498,#REF!,#REF!,0,0)</f>
        <v>#REF!</v>
      </c>
    </row>
    <row r="2499" spans="1:20" s="295" customFormat="1" ht="18" customHeight="1" x14ac:dyDescent="0.4">
      <c r="A2499" s="2" t="s">
        <v>9376</v>
      </c>
      <c r="B2499" s="1" t="s">
        <v>9377</v>
      </c>
      <c r="C2499" s="1" t="s">
        <v>433</v>
      </c>
      <c r="D2499" s="303" t="s">
        <v>8127</v>
      </c>
      <c r="E2499" s="2" t="s">
        <v>10</v>
      </c>
      <c r="F2499" s="2" t="s">
        <v>362</v>
      </c>
      <c r="G2499" s="2">
        <v>45386</v>
      </c>
      <c r="H2499" s="2" t="s">
        <v>9378</v>
      </c>
      <c r="I2499" s="1">
        <v>76183</v>
      </c>
      <c r="J2499" s="1" t="s">
        <v>9379</v>
      </c>
      <c r="K2499" s="2">
        <v>45461</v>
      </c>
      <c r="L2499" s="1" t="s">
        <v>364</v>
      </c>
      <c r="M2499" s="1" t="s">
        <v>364</v>
      </c>
      <c r="N2499" s="1" t="s">
        <v>364</v>
      </c>
      <c r="O2499" s="1" t="s">
        <v>364</v>
      </c>
      <c r="P2499" s="487"/>
      <c r="Q2499" s="281" t="str">
        <f t="shared" si="17"/>
        <v/>
      </c>
      <c r="R2499" s="1">
        <f t="shared" si="18"/>
        <v>1</v>
      </c>
      <c r="S2499" s="1">
        <f t="shared" si="19"/>
        <v>1</v>
      </c>
      <c r="T2499" s="512" t="e">
        <f>_xlfn.XLOOKUP(H2499,#REF!,#REF!,0,0)</f>
        <v>#REF!</v>
      </c>
    </row>
    <row r="2500" spans="1:20" s="514" customFormat="1" ht="18" customHeight="1" x14ac:dyDescent="0.4">
      <c r="A2500" s="324" t="s">
        <v>9380</v>
      </c>
      <c r="B2500" s="324" t="s">
        <v>9381</v>
      </c>
      <c r="C2500" s="325" t="s">
        <v>433</v>
      </c>
      <c r="D2500" s="324" t="s">
        <v>8127</v>
      </c>
      <c r="E2500" s="324" t="s">
        <v>10</v>
      </c>
      <c r="F2500" s="324" t="s">
        <v>8353</v>
      </c>
      <c r="G2500" s="326"/>
      <c r="H2500" s="324" t="s">
        <v>9382</v>
      </c>
      <c r="I2500" s="324">
        <v>76596</v>
      </c>
      <c r="J2500" s="324" t="s">
        <v>9383</v>
      </c>
      <c r="K2500" s="326"/>
      <c r="L2500" s="1" t="s">
        <v>364</v>
      </c>
      <c r="M2500" s="1" t="s">
        <v>364</v>
      </c>
      <c r="N2500" s="1" t="s">
        <v>364</v>
      </c>
      <c r="O2500" s="1" t="s">
        <v>364</v>
      </c>
      <c r="P2500" s="384" t="s">
        <v>9384</v>
      </c>
      <c r="Q2500" s="324"/>
      <c r="R2500" s="324">
        <v>1</v>
      </c>
      <c r="S2500" s="324">
        <v>1</v>
      </c>
      <c r="T2500" s="512" t="e">
        <f>_xlfn.XLOOKUP(H2500,#REF!,#REF!,0,0)</f>
        <v>#REF!</v>
      </c>
    </row>
    <row r="2501" spans="1:20" s="514" customFormat="1" ht="18" customHeight="1" x14ac:dyDescent="0.4">
      <c r="A2501" s="324" t="s">
        <v>9385</v>
      </c>
      <c r="B2501" s="324" t="s">
        <v>9381</v>
      </c>
      <c r="C2501" s="325" t="s">
        <v>433</v>
      </c>
      <c r="D2501" s="324" t="s">
        <v>8127</v>
      </c>
      <c r="E2501" s="324" t="s">
        <v>10</v>
      </c>
      <c r="F2501" s="324" t="s">
        <v>8353</v>
      </c>
      <c r="G2501" s="326"/>
      <c r="H2501" s="324" t="s">
        <v>9386</v>
      </c>
      <c r="I2501" s="324">
        <v>76597</v>
      </c>
      <c r="J2501" s="324" t="s">
        <v>9387</v>
      </c>
      <c r="K2501" s="326"/>
      <c r="L2501" s="1" t="s">
        <v>364</v>
      </c>
      <c r="M2501" s="1" t="s">
        <v>364</v>
      </c>
      <c r="N2501" s="1" t="s">
        <v>364</v>
      </c>
      <c r="O2501" s="1" t="s">
        <v>364</v>
      </c>
      <c r="P2501" s="384" t="s">
        <v>9384</v>
      </c>
      <c r="Q2501" s="324"/>
      <c r="R2501" s="324">
        <v>1</v>
      </c>
      <c r="S2501" s="324">
        <v>1</v>
      </c>
      <c r="T2501" s="512" t="e">
        <f>_xlfn.XLOOKUP(H2501,#REF!,#REF!,0,0)</f>
        <v>#REF!</v>
      </c>
    </row>
    <row r="2502" spans="1:20" s="514" customFormat="1" ht="18" customHeight="1" x14ac:dyDescent="0.4">
      <c r="A2502" s="324" t="s">
        <v>9388</v>
      </c>
      <c r="B2502" s="324" t="s">
        <v>9381</v>
      </c>
      <c r="C2502" s="325" t="s">
        <v>433</v>
      </c>
      <c r="D2502" s="324" t="s">
        <v>8127</v>
      </c>
      <c r="E2502" s="324" t="s">
        <v>10</v>
      </c>
      <c r="F2502" s="324" t="s">
        <v>8353</v>
      </c>
      <c r="G2502" s="326"/>
      <c r="H2502" s="324" t="s">
        <v>9389</v>
      </c>
      <c r="I2502" s="324">
        <v>76598</v>
      </c>
      <c r="J2502" s="324" t="s">
        <v>9390</v>
      </c>
      <c r="K2502" s="326"/>
      <c r="L2502" s="1" t="s">
        <v>364</v>
      </c>
      <c r="M2502" s="1" t="s">
        <v>364</v>
      </c>
      <c r="N2502" s="1" t="s">
        <v>364</v>
      </c>
      <c r="O2502" s="1" t="s">
        <v>364</v>
      </c>
      <c r="P2502" s="384" t="s">
        <v>9384</v>
      </c>
      <c r="Q2502" s="324"/>
      <c r="R2502" s="324">
        <v>1</v>
      </c>
      <c r="S2502" s="324">
        <v>1</v>
      </c>
      <c r="T2502" s="512" t="e">
        <f>_xlfn.XLOOKUP(H2502,#REF!,#REF!,0,0)</f>
        <v>#REF!</v>
      </c>
    </row>
    <row r="2503" spans="1:20" s="514" customFormat="1" ht="18" customHeight="1" x14ac:dyDescent="0.4">
      <c r="A2503" s="324" t="s">
        <v>9391</v>
      </c>
      <c r="B2503" s="324" t="s">
        <v>9381</v>
      </c>
      <c r="C2503" s="325" t="s">
        <v>433</v>
      </c>
      <c r="D2503" s="324" t="s">
        <v>8127</v>
      </c>
      <c r="E2503" s="324" t="s">
        <v>10</v>
      </c>
      <c r="F2503" s="324" t="s">
        <v>8353</v>
      </c>
      <c r="G2503" s="326"/>
      <c r="H2503" s="324" t="s">
        <v>9392</v>
      </c>
      <c r="I2503" s="324">
        <v>76599</v>
      </c>
      <c r="J2503" s="324" t="s">
        <v>9393</v>
      </c>
      <c r="K2503" s="326"/>
      <c r="L2503" s="1" t="s">
        <v>364</v>
      </c>
      <c r="M2503" s="1" t="s">
        <v>364</v>
      </c>
      <c r="N2503" s="1" t="s">
        <v>364</v>
      </c>
      <c r="O2503" s="1" t="s">
        <v>364</v>
      </c>
      <c r="P2503" s="384" t="s">
        <v>9384</v>
      </c>
      <c r="Q2503" s="324"/>
      <c r="R2503" s="324">
        <v>1</v>
      </c>
      <c r="S2503" s="324">
        <v>1</v>
      </c>
      <c r="T2503" s="512" t="e">
        <f>_xlfn.XLOOKUP(H2503,#REF!,#REF!,0,0)</f>
        <v>#REF!</v>
      </c>
    </row>
    <row r="2504" spans="1:20" s="514" customFormat="1" ht="18" customHeight="1" x14ac:dyDescent="0.4">
      <c r="A2504" s="324" t="s">
        <v>9394</v>
      </c>
      <c r="B2504" s="324" t="s">
        <v>9381</v>
      </c>
      <c r="C2504" s="325" t="s">
        <v>433</v>
      </c>
      <c r="D2504" s="324" t="s">
        <v>8127</v>
      </c>
      <c r="E2504" s="324" t="s">
        <v>10</v>
      </c>
      <c r="F2504" s="324" t="s">
        <v>8353</v>
      </c>
      <c r="G2504" s="326"/>
      <c r="H2504" s="324" t="s">
        <v>9395</v>
      </c>
      <c r="I2504" s="324">
        <v>76600</v>
      </c>
      <c r="J2504" s="324" t="s">
        <v>9396</v>
      </c>
      <c r="K2504" s="326"/>
      <c r="L2504" s="1" t="s">
        <v>364</v>
      </c>
      <c r="M2504" s="1" t="s">
        <v>364</v>
      </c>
      <c r="N2504" s="1" t="s">
        <v>364</v>
      </c>
      <c r="O2504" s="1" t="s">
        <v>364</v>
      </c>
      <c r="P2504" s="384" t="s">
        <v>9384</v>
      </c>
      <c r="Q2504" s="324"/>
      <c r="R2504" s="324">
        <v>1</v>
      </c>
      <c r="S2504" s="324">
        <v>1</v>
      </c>
      <c r="T2504" s="512" t="e">
        <f>_xlfn.XLOOKUP(H2504,#REF!,#REF!,0,0)</f>
        <v>#REF!</v>
      </c>
    </row>
    <row r="2505" spans="1:20" s="514" customFormat="1" ht="18" customHeight="1" x14ac:dyDescent="0.4">
      <c r="A2505" s="324" t="s">
        <v>9397</v>
      </c>
      <c r="B2505" s="324" t="s">
        <v>9381</v>
      </c>
      <c r="C2505" s="325" t="s">
        <v>433</v>
      </c>
      <c r="D2505" s="324" t="s">
        <v>8127</v>
      </c>
      <c r="E2505" s="324" t="s">
        <v>10</v>
      </c>
      <c r="F2505" s="324" t="s">
        <v>8353</v>
      </c>
      <c r="G2505" s="326"/>
      <c r="H2505" s="324" t="s">
        <v>9398</v>
      </c>
      <c r="I2505" s="324">
        <v>76601</v>
      </c>
      <c r="J2505" s="324" t="s">
        <v>9399</v>
      </c>
      <c r="K2505" s="326"/>
      <c r="L2505" s="1" t="s">
        <v>364</v>
      </c>
      <c r="M2505" s="1" t="s">
        <v>364</v>
      </c>
      <c r="N2505" s="1" t="s">
        <v>364</v>
      </c>
      <c r="O2505" s="1" t="s">
        <v>364</v>
      </c>
      <c r="P2505" s="384" t="s">
        <v>9384</v>
      </c>
      <c r="Q2505" s="324"/>
      <c r="R2505" s="324">
        <v>1</v>
      </c>
      <c r="S2505" s="324">
        <v>1</v>
      </c>
      <c r="T2505" s="512" t="e">
        <f>_xlfn.XLOOKUP(H2505,#REF!,#REF!,0,0)</f>
        <v>#REF!</v>
      </c>
    </row>
    <row r="2506" spans="1:20" s="514" customFormat="1" ht="18" customHeight="1" x14ac:dyDescent="0.4">
      <c r="A2506" s="324" t="s">
        <v>9400</v>
      </c>
      <c r="B2506" s="324" t="s">
        <v>9381</v>
      </c>
      <c r="C2506" s="325" t="s">
        <v>433</v>
      </c>
      <c r="D2506" s="324" t="s">
        <v>8127</v>
      </c>
      <c r="E2506" s="324" t="s">
        <v>10</v>
      </c>
      <c r="F2506" s="324" t="s">
        <v>8353</v>
      </c>
      <c r="G2506" s="326"/>
      <c r="H2506" s="324" t="s">
        <v>9401</v>
      </c>
      <c r="I2506" s="324">
        <v>76602</v>
      </c>
      <c r="J2506" s="324" t="s">
        <v>9402</v>
      </c>
      <c r="K2506" s="326"/>
      <c r="L2506" s="1" t="s">
        <v>364</v>
      </c>
      <c r="M2506" s="1" t="s">
        <v>364</v>
      </c>
      <c r="N2506" s="1" t="s">
        <v>364</v>
      </c>
      <c r="O2506" s="1" t="s">
        <v>364</v>
      </c>
      <c r="P2506" s="384" t="s">
        <v>9384</v>
      </c>
      <c r="Q2506" s="324"/>
      <c r="R2506" s="324">
        <v>1</v>
      </c>
      <c r="S2506" s="324">
        <v>1</v>
      </c>
      <c r="T2506" s="512" t="e">
        <f>_xlfn.XLOOKUP(H2506,#REF!,#REF!,0,0)</f>
        <v>#REF!</v>
      </c>
    </row>
    <row r="2507" spans="1:20" s="514" customFormat="1" ht="18" customHeight="1" x14ac:dyDescent="0.4">
      <c r="A2507" s="324" t="s">
        <v>9403</v>
      </c>
      <c r="B2507" s="324" t="s">
        <v>9404</v>
      </c>
      <c r="C2507" s="325" t="s">
        <v>433</v>
      </c>
      <c r="D2507" s="324" t="s">
        <v>3778</v>
      </c>
      <c r="E2507" s="324" t="s">
        <v>10</v>
      </c>
      <c r="F2507" s="324" t="s">
        <v>560</v>
      </c>
      <c r="G2507" s="326"/>
      <c r="H2507" s="324" t="s">
        <v>9405</v>
      </c>
      <c r="I2507" s="324">
        <v>70443</v>
      </c>
      <c r="J2507" s="324"/>
      <c r="K2507" s="326"/>
      <c r="L2507" s="1" t="s">
        <v>364</v>
      </c>
      <c r="M2507" s="1" t="s">
        <v>364</v>
      </c>
      <c r="N2507" s="1" t="s">
        <v>364</v>
      </c>
      <c r="O2507" s="1" t="s">
        <v>364</v>
      </c>
      <c r="P2507" s="384"/>
      <c r="Q2507" s="324"/>
      <c r="R2507" s="324">
        <v>1</v>
      </c>
      <c r="S2507" s="324">
        <v>1</v>
      </c>
      <c r="T2507" s="512" t="e">
        <f>_xlfn.XLOOKUP(H2507,#REF!,#REF!,0,0)</f>
        <v>#REF!</v>
      </c>
    </row>
    <row r="2508" spans="1:20" s="295" customFormat="1" ht="18" customHeight="1" x14ac:dyDescent="0.4">
      <c r="A2508" s="2" t="s">
        <v>9406</v>
      </c>
      <c r="B2508" s="1" t="s">
        <v>9407</v>
      </c>
      <c r="C2508" s="1" t="s">
        <v>433</v>
      </c>
      <c r="D2508" s="303" t="s">
        <v>8127</v>
      </c>
      <c r="E2508" s="2" t="s">
        <v>10</v>
      </c>
      <c r="F2508" s="2" t="s">
        <v>362</v>
      </c>
      <c r="G2508" s="2">
        <v>45386</v>
      </c>
      <c r="H2508" s="2" t="s">
        <v>9408</v>
      </c>
      <c r="I2508" s="1">
        <v>76186</v>
      </c>
      <c r="J2508" s="1" t="s">
        <v>9409</v>
      </c>
      <c r="K2508" s="2">
        <v>45464</v>
      </c>
      <c r="L2508" s="1" t="s">
        <v>364</v>
      </c>
      <c r="M2508" s="1" t="s">
        <v>364</v>
      </c>
      <c r="N2508" s="1" t="s">
        <v>364</v>
      </c>
      <c r="O2508" s="1" t="s">
        <v>364</v>
      </c>
      <c r="P2508" s="487"/>
      <c r="Q2508" s="281" t="str">
        <f t="shared" ref="Q2508:Q2525" si="20">IF(A2508="SCORTA 10",1,"")</f>
        <v/>
      </c>
      <c r="R2508" s="1">
        <f t="shared" ref="R2508:R2525" si="21">IF(H2508&lt;&gt;"",1,"")</f>
        <v>1</v>
      </c>
      <c r="S2508" s="1">
        <f t="shared" ref="S2508:S2525" si="22">IF(I2508&lt;&gt;"",1,"")</f>
        <v>1</v>
      </c>
      <c r="T2508" s="512" t="e">
        <f>_xlfn.XLOOKUP(H2508,#REF!,#REF!,0,0)</f>
        <v>#REF!</v>
      </c>
    </row>
    <row r="2509" spans="1:20" s="349" customFormat="1" ht="18" customHeight="1" x14ac:dyDescent="0.4">
      <c r="A2509" s="1" t="s">
        <v>9410</v>
      </c>
      <c r="B2509" s="1" t="s">
        <v>9411</v>
      </c>
      <c r="C2509" s="1" t="s">
        <v>433</v>
      </c>
      <c r="D2509" s="1" t="s">
        <v>8127</v>
      </c>
      <c r="E2509" s="1" t="s">
        <v>10</v>
      </c>
      <c r="F2509" s="1" t="s">
        <v>362</v>
      </c>
      <c r="G2509" s="2">
        <v>45386</v>
      </c>
      <c r="H2509" s="1" t="s">
        <v>9412</v>
      </c>
      <c r="I2509" s="1">
        <v>76178</v>
      </c>
      <c r="J2509" s="1" t="s">
        <v>9413</v>
      </c>
      <c r="K2509" s="2">
        <v>45468</v>
      </c>
      <c r="L2509" s="1" t="s">
        <v>364</v>
      </c>
      <c r="M2509" s="1" t="s">
        <v>364</v>
      </c>
      <c r="N2509" s="1" t="s">
        <v>364</v>
      </c>
      <c r="O2509" s="1" t="s">
        <v>364</v>
      </c>
      <c r="P2509" s="487" t="s">
        <v>9414</v>
      </c>
      <c r="Q2509" s="281" t="str">
        <f t="shared" si="20"/>
        <v/>
      </c>
      <c r="R2509" s="1">
        <f t="shared" si="21"/>
        <v>1</v>
      </c>
      <c r="S2509" s="1">
        <f t="shared" si="22"/>
        <v>1</v>
      </c>
      <c r="T2509" s="512" t="e">
        <f>_xlfn.XLOOKUP(H2509,#REF!,#REF!,0,0)</f>
        <v>#REF!</v>
      </c>
    </row>
    <row r="2510" spans="1:20" s="295" customFormat="1" ht="18" customHeight="1" x14ac:dyDescent="0.4">
      <c r="A2510" s="2" t="s">
        <v>9415</v>
      </c>
      <c r="B2510" s="1" t="s">
        <v>9416</v>
      </c>
      <c r="C2510" s="1" t="s">
        <v>433</v>
      </c>
      <c r="D2510" s="303" t="s">
        <v>8127</v>
      </c>
      <c r="E2510" s="2" t="s">
        <v>10</v>
      </c>
      <c r="F2510" s="2" t="s">
        <v>362</v>
      </c>
      <c r="G2510" s="2">
        <v>45386</v>
      </c>
      <c r="H2510" s="2" t="s">
        <v>9417</v>
      </c>
      <c r="I2510" s="1">
        <v>76182</v>
      </c>
      <c r="J2510" s="1" t="s">
        <v>9418</v>
      </c>
      <c r="K2510" s="2">
        <v>45469</v>
      </c>
      <c r="L2510" s="1" t="s">
        <v>364</v>
      </c>
      <c r="M2510" s="1" t="s">
        <v>364</v>
      </c>
      <c r="N2510" s="1" t="s">
        <v>364</v>
      </c>
      <c r="O2510" s="1" t="s">
        <v>364</v>
      </c>
      <c r="P2510" s="487" t="s">
        <v>9419</v>
      </c>
      <c r="Q2510" s="281" t="str">
        <f t="shared" si="20"/>
        <v/>
      </c>
      <c r="R2510" s="1">
        <f t="shared" si="21"/>
        <v>1</v>
      </c>
      <c r="S2510" s="1">
        <f t="shared" si="22"/>
        <v>1</v>
      </c>
      <c r="T2510" s="512" t="e">
        <f>_xlfn.XLOOKUP(H2510,#REF!,#REF!,0,0)</f>
        <v>#REF!</v>
      </c>
    </row>
    <row r="2511" spans="1:20" s="295" customFormat="1" ht="18" customHeight="1" x14ac:dyDescent="0.4">
      <c r="A2511" s="2" t="s">
        <v>9420</v>
      </c>
      <c r="B2511" s="1" t="s">
        <v>9421</v>
      </c>
      <c r="C2511" s="1" t="s">
        <v>433</v>
      </c>
      <c r="D2511" s="303" t="s">
        <v>8127</v>
      </c>
      <c r="E2511" s="2" t="s">
        <v>10</v>
      </c>
      <c r="F2511" s="2" t="s">
        <v>362</v>
      </c>
      <c r="G2511" s="2">
        <v>45386</v>
      </c>
      <c r="H2511" s="2" t="s">
        <v>9422</v>
      </c>
      <c r="I2511" s="1">
        <v>76188</v>
      </c>
      <c r="J2511" s="1" t="s">
        <v>9423</v>
      </c>
      <c r="K2511" s="2">
        <v>45474</v>
      </c>
      <c r="L2511" s="1" t="s">
        <v>364</v>
      </c>
      <c r="M2511" s="1" t="s">
        <v>364</v>
      </c>
      <c r="N2511" s="1" t="s">
        <v>364</v>
      </c>
      <c r="O2511" s="1" t="s">
        <v>364</v>
      </c>
      <c r="P2511" s="487"/>
      <c r="Q2511" s="281" t="str">
        <f t="shared" si="20"/>
        <v/>
      </c>
      <c r="R2511" s="1">
        <f t="shared" si="21"/>
        <v>1</v>
      </c>
      <c r="S2511" s="1">
        <f t="shared" si="22"/>
        <v>1</v>
      </c>
      <c r="T2511" s="512" t="e">
        <f>_xlfn.XLOOKUP(H2511,#REF!,#REF!,0,0)</f>
        <v>#REF!</v>
      </c>
    </row>
    <row r="2512" spans="1:20" s="295" customFormat="1" ht="18" customHeight="1" x14ac:dyDescent="0.4">
      <c r="A2512" s="2" t="s">
        <v>9424</v>
      </c>
      <c r="B2512" s="1" t="s">
        <v>9425</v>
      </c>
      <c r="C2512" s="1" t="s">
        <v>433</v>
      </c>
      <c r="D2512" s="303" t="s">
        <v>8127</v>
      </c>
      <c r="E2512" s="2" t="s">
        <v>10</v>
      </c>
      <c r="F2512" s="2" t="s">
        <v>362</v>
      </c>
      <c r="G2512" s="2">
        <v>45386</v>
      </c>
      <c r="H2512" s="2" t="s">
        <v>9426</v>
      </c>
      <c r="I2512" s="1">
        <v>76187</v>
      </c>
      <c r="J2512" s="1" t="s">
        <v>9427</v>
      </c>
      <c r="K2512" s="2">
        <v>45474</v>
      </c>
      <c r="L2512" s="1" t="s">
        <v>364</v>
      </c>
      <c r="M2512" s="1" t="s">
        <v>364</v>
      </c>
      <c r="N2512" s="1" t="s">
        <v>364</v>
      </c>
      <c r="O2512" s="1" t="s">
        <v>364</v>
      </c>
      <c r="P2512" s="487" t="s">
        <v>9428</v>
      </c>
      <c r="Q2512" s="281" t="str">
        <f t="shared" si="20"/>
        <v/>
      </c>
      <c r="R2512" s="1">
        <f t="shared" si="21"/>
        <v>1</v>
      </c>
      <c r="S2512" s="1">
        <f t="shared" si="22"/>
        <v>1</v>
      </c>
      <c r="T2512" s="512" t="e">
        <f>_xlfn.XLOOKUP(H2512,#REF!,#REF!,0,0)</f>
        <v>#REF!</v>
      </c>
    </row>
    <row r="2513" spans="1:20" s="301" customFormat="1" x14ac:dyDescent="0.4">
      <c r="A2513" s="1" t="s">
        <v>9429</v>
      </c>
      <c r="B2513" s="1" t="s">
        <v>9430</v>
      </c>
      <c r="C2513" s="1" t="s">
        <v>433</v>
      </c>
      <c r="D2513" s="1" t="s">
        <v>8127</v>
      </c>
      <c r="E2513" s="1" t="s">
        <v>10</v>
      </c>
      <c r="F2513" s="1" t="s">
        <v>436</v>
      </c>
      <c r="G2513" s="2">
        <v>45411</v>
      </c>
      <c r="H2513" s="1" t="s">
        <v>9431</v>
      </c>
      <c r="I2513" s="1">
        <v>76126</v>
      </c>
      <c r="J2513" s="1" t="s">
        <v>9432</v>
      </c>
      <c r="K2513" s="1"/>
      <c r="L2513" s="1" t="s">
        <v>364</v>
      </c>
      <c r="M2513" s="1" t="s">
        <v>364</v>
      </c>
      <c r="N2513" s="1" t="s">
        <v>364</v>
      </c>
      <c r="O2513" s="1" t="s">
        <v>364</v>
      </c>
      <c r="P2513" s="487" t="s">
        <v>9433</v>
      </c>
      <c r="Q2513" s="1" t="str">
        <f t="shared" si="20"/>
        <v/>
      </c>
      <c r="R2513" s="1">
        <f t="shared" si="21"/>
        <v>1</v>
      </c>
      <c r="S2513" s="1">
        <f t="shared" si="22"/>
        <v>1</v>
      </c>
      <c r="T2513" s="512" t="e">
        <f>_xlfn.XLOOKUP(H2513,#REF!,#REF!,0,0)</f>
        <v>#REF!</v>
      </c>
    </row>
    <row r="2514" spans="1:20" s="301" customFormat="1" x14ac:dyDescent="0.4">
      <c r="A2514" s="1" t="s">
        <v>9434</v>
      </c>
      <c r="B2514" s="1" t="s">
        <v>9435</v>
      </c>
      <c r="C2514" s="1" t="s">
        <v>433</v>
      </c>
      <c r="D2514" s="1" t="s">
        <v>8127</v>
      </c>
      <c r="E2514" s="1" t="s">
        <v>10</v>
      </c>
      <c r="F2514" s="1" t="s">
        <v>436</v>
      </c>
      <c r="G2514" s="2">
        <v>45411</v>
      </c>
      <c r="H2514" s="1" t="s">
        <v>9436</v>
      </c>
      <c r="I2514" s="1">
        <v>76124</v>
      </c>
      <c r="J2514" s="1" t="s">
        <v>9437</v>
      </c>
      <c r="K2514" s="291"/>
      <c r="L2514" s="1" t="s">
        <v>364</v>
      </c>
      <c r="M2514" s="1" t="s">
        <v>364</v>
      </c>
      <c r="N2514" s="1" t="s">
        <v>364</v>
      </c>
      <c r="O2514" s="1" t="s">
        <v>364</v>
      </c>
      <c r="P2514" s="487"/>
      <c r="Q2514" s="1" t="str">
        <f t="shared" si="20"/>
        <v/>
      </c>
      <c r="R2514" s="1">
        <f t="shared" si="21"/>
        <v>1</v>
      </c>
      <c r="S2514" s="1">
        <f t="shared" si="22"/>
        <v>1</v>
      </c>
      <c r="T2514" s="512" t="e">
        <f>_xlfn.XLOOKUP(H2514,#REF!,#REF!,0,0)</f>
        <v>#REF!</v>
      </c>
    </row>
    <row r="2515" spans="1:20" s="301" customFormat="1" x14ac:dyDescent="0.4">
      <c r="A2515" s="289" t="s">
        <v>9438</v>
      </c>
      <c r="B2515" s="289" t="s">
        <v>9439</v>
      </c>
      <c r="C2515" s="289" t="s">
        <v>8925</v>
      </c>
      <c r="D2515" s="289" t="s">
        <v>8127</v>
      </c>
      <c r="E2515" s="289" t="s">
        <v>10</v>
      </c>
      <c r="F2515" s="289" t="s">
        <v>436</v>
      </c>
      <c r="G2515" s="316">
        <v>45411</v>
      </c>
      <c r="H2515" s="289" t="s">
        <v>9440</v>
      </c>
      <c r="I2515" s="289">
        <v>76128</v>
      </c>
      <c r="J2515" s="289" t="s">
        <v>9441</v>
      </c>
      <c r="K2515" s="289"/>
      <c r="L2515" s="289" t="s">
        <v>570</v>
      </c>
      <c r="M2515" s="289" t="s">
        <v>570</v>
      </c>
      <c r="N2515" s="289" t="s">
        <v>570</v>
      </c>
      <c r="O2515" s="289" t="s">
        <v>570</v>
      </c>
      <c r="P2515" s="539" t="s">
        <v>9442</v>
      </c>
      <c r="Q2515" s="289" t="str">
        <f t="shared" si="20"/>
        <v/>
      </c>
      <c r="R2515" s="289">
        <f t="shared" si="21"/>
        <v>1</v>
      </c>
      <c r="S2515" s="289">
        <f t="shared" si="22"/>
        <v>1</v>
      </c>
      <c r="T2515" s="512" t="e">
        <f>_xlfn.XLOOKUP(H2515,#REF!,#REF!,0,0)</f>
        <v>#REF!</v>
      </c>
    </row>
    <row r="2516" spans="1:20" s="295" customFormat="1" ht="18" customHeight="1" x14ac:dyDescent="0.4">
      <c r="A2516" s="2" t="s">
        <v>9443</v>
      </c>
      <c r="B2516" s="1" t="s">
        <v>9444</v>
      </c>
      <c r="C2516" s="1" t="s">
        <v>435</v>
      </c>
      <c r="D2516" s="303" t="s">
        <v>8127</v>
      </c>
      <c r="E2516" s="2" t="s">
        <v>10</v>
      </c>
      <c r="F2516" s="2" t="s">
        <v>362</v>
      </c>
      <c r="G2516" s="2">
        <v>45386</v>
      </c>
      <c r="H2516" s="2" t="s">
        <v>9445</v>
      </c>
      <c r="I2516" s="1">
        <v>76190</v>
      </c>
      <c r="J2516" s="1" t="s">
        <v>9446</v>
      </c>
      <c r="K2516" s="2"/>
      <c r="L2516" s="1" t="s">
        <v>364</v>
      </c>
      <c r="M2516" s="1" t="s">
        <v>364</v>
      </c>
      <c r="N2516" s="1" t="s">
        <v>364</v>
      </c>
      <c r="O2516" s="1" t="s">
        <v>364</v>
      </c>
      <c r="P2516" s="487" t="s">
        <v>7518</v>
      </c>
      <c r="Q2516" s="281" t="str">
        <f t="shared" si="20"/>
        <v/>
      </c>
      <c r="R2516" s="1">
        <f t="shared" si="21"/>
        <v>1</v>
      </c>
      <c r="S2516" s="1">
        <f t="shared" si="22"/>
        <v>1</v>
      </c>
      <c r="T2516" s="512" t="e">
        <f>_xlfn.XLOOKUP(H2516,#REF!,#REF!,0,0)</f>
        <v>#REF!</v>
      </c>
    </row>
    <row r="2517" spans="1:20" s="295" customFormat="1" ht="18" customHeight="1" x14ac:dyDescent="0.4">
      <c r="A2517" s="2" t="s">
        <v>9447</v>
      </c>
      <c r="B2517" s="2" t="s">
        <v>9448</v>
      </c>
      <c r="C2517" s="2" t="s">
        <v>435</v>
      </c>
      <c r="D2517" s="2" t="s">
        <v>8127</v>
      </c>
      <c r="E2517" s="1" t="s">
        <v>10</v>
      </c>
      <c r="F2517" s="1" t="s">
        <v>436</v>
      </c>
      <c r="G2517" s="2">
        <v>45446</v>
      </c>
      <c r="H2517" s="2" t="s">
        <v>9449</v>
      </c>
      <c r="I2517" s="1">
        <v>76543</v>
      </c>
      <c r="J2517" s="2" t="s">
        <v>9450</v>
      </c>
      <c r="K2517" s="2">
        <v>45474</v>
      </c>
      <c r="L2517" s="2" t="s">
        <v>364</v>
      </c>
      <c r="M2517" s="2" t="s">
        <v>364</v>
      </c>
      <c r="N2517" s="2" t="s">
        <v>364</v>
      </c>
      <c r="O2517" s="2" t="s">
        <v>364</v>
      </c>
      <c r="P2517" s="488" t="s">
        <v>9451</v>
      </c>
      <c r="Q2517" s="1" t="str">
        <f t="shared" si="20"/>
        <v/>
      </c>
      <c r="R2517" s="1">
        <f t="shared" si="21"/>
        <v>1</v>
      </c>
      <c r="S2517" s="1">
        <f t="shared" si="22"/>
        <v>1</v>
      </c>
      <c r="T2517" s="512" t="e">
        <f>_xlfn.XLOOKUP(H2517,#REF!,#REF!,0,0)</f>
        <v>#REF!</v>
      </c>
    </row>
    <row r="2518" spans="1:20" s="301" customFormat="1" x14ac:dyDescent="0.4">
      <c r="A2518" s="1" t="s">
        <v>9452</v>
      </c>
      <c r="B2518" s="1" t="s">
        <v>9453</v>
      </c>
      <c r="C2518" s="1" t="s">
        <v>435</v>
      </c>
      <c r="D2518" s="1" t="s">
        <v>8127</v>
      </c>
      <c r="E2518" s="1" t="s">
        <v>10</v>
      </c>
      <c r="F2518" s="1" t="s">
        <v>436</v>
      </c>
      <c r="G2518" s="2">
        <v>45411</v>
      </c>
      <c r="H2518" s="1" t="s">
        <v>9454</v>
      </c>
      <c r="I2518" s="1">
        <v>76129</v>
      </c>
      <c r="J2518" s="1" t="s">
        <v>9455</v>
      </c>
      <c r="K2518" s="291">
        <v>45474</v>
      </c>
      <c r="L2518" s="1" t="s">
        <v>570</v>
      </c>
      <c r="M2518" s="1" t="s">
        <v>570</v>
      </c>
      <c r="N2518" s="1" t="s">
        <v>570</v>
      </c>
      <c r="O2518" s="1" t="s">
        <v>570</v>
      </c>
      <c r="P2518" s="487" t="s">
        <v>9456</v>
      </c>
      <c r="Q2518" s="1" t="str">
        <f t="shared" si="20"/>
        <v/>
      </c>
      <c r="R2518" s="1">
        <f t="shared" si="21"/>
        <v>1</v>
      </c>
      <c r="S2518" s="1">
        <f t="shared" si="22"/>
        <v>1</v>
      </c>
      <c r="T2518" s="512" t="e">
        <f>_xlfn.XLOOKUP(H2518,#REF!,#REF!,0,0)</f>
        <v>#REF!</v>
      </c>
    </row>
    <row r="2519" spans="1:20" s="301" customFormat="1" x14ac:dyDescent="0.4">
      <c r="A2519" s="1" t="s">
        <v>9457</v>
      </c>
      <c r="B2519" s="1" t="s">
        <v>9458</v>
      </c>
      <c r="C2519" s="1" t="s">
        <v>435</v>
      </c>
      <c r="D2519" s="1" t="s">
        <v>8127</v>
      </c>
      <c r="E2519" s="1" t="s">
        <v>10</v>
      </c>
      <c r="F2519" s="1" t="s">
        <v>436</v>
      </c>
      <c r="G2519" s="2">
        <v>45411</v>
      </c>
      <c r="H2519" s="1" t="s">
        <v>9459</v>
      </c>
      <c r="I2519" s="1">
        <v>76125</v>
      </c>
      <c r="J2519" s="1" t="s">
        <v>9460</v>
      </c>
      <c r="K2519" s="291">
        <v>45474</v>
      </c>
      <c r="L2519" s="1" t="s">
        <v>364</v>
      </c>
      <c r="M2519" s="1" t="s">
        <v>364</v>
      </c>
      <c r="N2519" s="1" t="s">
        <v>364</v>
      </c>
      <c r="O2519" s="1" t="s">
        <v>364</v>
      </c>
      <c r="P2519" s="487" t="s">
        <v>9461</v>
      </c>
      <c r="Q2519" s="1" t="str">
        <f t="shared" si="20"/>
        <v/>
      </c>
      <c r="R2519" s="1">
        <f t="shared" si="21"/>
        <v>1</v>
      </c>
      <c r="S2519" s="1">
        <f t="shared" si="22"/>
        <v>1</v>
      </c>
      <c r="T2519" s="512" t="e">
        <f>_xlfn.XLOOKUP(H2519,#REF!,#REF!,0,0)</f>
        <v>#REF!</v>
      </c>
    </row>
    <row r="2520" spans="1:20" s="295" customFormat="1" ht="18" customHeight="1" x14ac:dyDescent="0.4">
      <c r="A2520" s="2" t="s">
        <v>9462</v>
      </c>
      <c r="B2520" s="1" t="s">
        <v>9463</v>
      </c>
      <c r="C2520" s="1" t="s">
        <v>435</v>
      </c>
      <c r="D2520" s="303" t="s">
        <v>8127</v>
      </c>
      <c r="E2520" s="2" t="s">
        <v>10</v>
      </c>
      <c r="F2520" s="2" t="s">
        <v>362</v>
      </c>
      <c r="G2520" s="2">
        <v>45386</v>
      </c>
      <c r="H2520" s="2" t="s">
        <v>9464</v>
      </c>
      <c r="I2520" s="1">
        <v>76189</v>
      </c>
      <c r="J2520" s="1" t="s">
        <v>9465</v>
      </c>
      <c r="K2520" s="2">
        <v>45474</v>
      </c>
      <c r="L2520" s="1" t="s">
        <v>570</v>
      </c>
      <c r="M2520" s="1" t="s">
        <v>570</v>
      </c>
      <c r="N2520" s="1" t="s">
        <v>570</v>
      </c>
      <c r="O2520" s="1" t="s">
        <v>570</v>
      </c>
      <c r="P2520" s="487" t="s">
        <v>9466</v>
      </c>
      <c r="Q2520" s="281" t="str">
        <f t="shared" si="20"/>
        <v/>
      </c>
      <c r="R2520" s="1">
        <f t="shared" si="21"/>
        <v>1</v>
      </c>
      <c r="S2520" s="1">
        <f t="shared" si="22"/>
        <v>1</v>
      </c>
      <c r="T2520" s="512" t="e">
        <f>_xlfn.XLOOKUP(H2520,#REF!,#REF!,0,0)</f>
        <v>#REF!</v>
      </c>
    </row>
    <row r="2521" spans="1:20" s="295" customFormat="1" ht="18" customHeight="1" x14ac:dyDescent="0.4">
      <c r="A2521" s="2" t="s">
        <v>9467</v>
      </c>
      <c r="B2521" s="1" t="s">
        <v>9468</v>
      </c>
      <c r="C2521" s="1" t="s">
        <v>435</v>
      </c>
      <c r="D2521" s="303" t="s">
        <v>8127</v>
      </c>
      <c r="E2521" s="2" t="s">
        <v>10</v>
      </c>
      <c r="F2521" s="2" t="s">
        <v>362</v>
      </c>
      <c r="G2521" s="2">
        <v>45386</v>
      </c>
      <c r="H2521" s="2" t="s">
        <v>9469</v>
      </c>
      <c r="I2521" s="1">
        <v>76191</v>
      </c>
      <c r="J2521" s="1" t="s">
        <v>9470</v>
      </c>
      <c r="K2521" s="2">
        <v>45474</v>
      </c>
      <c r="L2521" s="1" t="s">
        <v>364</v>
      </c>
      <c r="M2521" s="1" t="s">
        <v>364</v>
      </c>
      <c r="N2521" s="1" t="s">
        <v>364</v>
      </c>
      <c r="O2521" s="1" t="s">
        <v>364</v>
      </c>
      <c r="P2521" s="487" t="s">
        <v>9428</v>
      </c>
      <c r="Q2521" s="281" t="str">
        <f t="shared" si="20"/>
        <v/>
      </c>
      <c r="R2521" s="1">
        <f t="shared" si="21"/>
        <v>1</v>
      </c>
      <c r="S2521" s="1">
        <f t="shared" si="22"/>
        <v>1</v>
      </c>
      <c r="T2521" s="512" t="e">
        <f>_xlfn.XLOOKUP(H2521,#REF!,#REF!,0,0)</f>
        <v>#REF!</v>
      </c>
    </row>
    <row r="2522" spans="1:20" s="301" customFormat="1" x14ac:dyDescent="0.4">
      <c r="A2522" s="1" t="s">
        <v>9471</v>
      </c>
      <c r="B2522" s="1" t="s">
        <v>9472</v>
      </c>
      <c r="C2522" s="1" t="s">
        <v>435</v>
      </c>
      <c r="D2522" s="1" t="s">
        <v>8127</v>
      </c>
      <c r="E2522" s="1" t="s">
        <v>10</v>
      </c>
      <c r="F2522" s="1" t="s">
        <v>436</v>
      </c>
      <c r="G2522" s="2">
        <v>45411</v>
      </c>
      <c r="H2522" s="1" t="s">
        <v>9473</v>
      </c>
      <c r="I2522" s="1">
        <v>76127</v>
      </c>
      <c r="J2522" s="1" t="s">
        <v>9474</v>
      </c>
      <c r="K2522" s="291">
        <v>45474</v>
      </c>
      <c r="L2522" s="1" t="s">
        <v>364</v>
      </c>
      <c r="M2522" s="1" t="s">
        <v>364</v>
      </c>
      <c r="N2522" s="1" t="s">
        <v>364</v>
      </c>
      <c r="O2522" s="1" t="s">
        <v>364</v>
      </c>
      <c r="P2522" s="487" t="s">
        <v>9475</v>
      </c>
      <c r="Q2522" s="1" t="str">
        <f t="shared" si="20"/>
        <v/>
      </c>
      <c r="R2522" s="1">
        <f t="shared" si="21"/>
        <v>1</v>
      </c>
      <c r="S2522" s="1">
        <f t="shared" si="22"/>
        <v>1</v>
      </c>
      <c r="T2522" s="512" t="e">
        <f>_xlfn.XLOOKUP(H2522,#REF!,#REF!,0,0)</f>
        <v>#REF!</v>
      </c>
    </row>
    <row r="2523" spans="1:20" s="349" customFormat="1" ht="18" customHeight="1" x14ac:dyDescent="0.4">
      <c r="A2523" s="1" t="s">
        <v>9476</v>
      </c>
      <c r="B2523" s="1" t="s">
        <v>9477</v>
      </c>
      <c r="C2523" s="1" t="s">
        <v>433</v>
      </c>
      <c r="D2523" s="1" t="s">
        <v>8127</v>
      </c>
      <c r="E2523" s="1" t="s">
        <v>10</v>
      </c>
      <c r="F2523" s="1" t="s">
        <v>362</v>
      </c>
      <c r="G2523" s="2">
        <v>45386</v>
      </c>
      <c r="H2523" s="1" t="s">
        <v>9478</v>
      </c>
      <c r="I2523" s="1">
        <v>76175</v>
      </c>
      <c r="J2523" s="1" t="s">
        <v>9479</v>
      </c>
      <c r="K2523" s="338">
        <v>45475.583333333336</v>
      </c>
      <c r="L2523" s="2" t="s">
        <v>364</v>
      </c>
      <c r="M2523" s="2" t="s">
        <v>364</v>
      </c>
      <c r="N2523" s="2" t="s">
        <v>364</v>
      </c>
      <c r="O2523" s="2" t="s">
        <v>364</v>
      </c>
      <c r="P2523" s="487" t="s">
        <v>7518</v>
      </c>
      <c r="Q2523" s="281" t="str">
        <f t="shared" si="20"/>
        <v/>
      </c>
      <c r="R2523" s="1">
        <f t="shared" si="21"/>
        <v>1</v>
      </c>
      <c r="S2523" s="1">
        <f t="shared" si="22"/>
        <v>1</v>
      </c>
      <c r="T2523" s="512" t="e">
        <f>_xlfn.XLOOKUP(H2523,#REF!,#REF!,0,0)</f>
        <v>#REF!</v>
      </c>
    </row>
    <row r="2524" spans="1:20" s="349" customFormat="1" ht="18" customHeight="1" x14ac:dyDescent="0.4">
      <c r="A2524" s="1" t="s">
        <v>9480</v>
      </c>
      <c r="B2524" s="1" t="s">
        <v>9481</v>
      </c>
      <c r="C2524" s="1" t="s">
        <v>433</v>
      </c>
      <c r="D2524" s="1" t="s">
        <v>8127</v>
      </c>
      <c r="E2524" s="1" t="s">
        <v>10</v>
      </c>
      <c r="F2524" s="1" t="s">
        <v>362</v>
      </c>
      <c r="G2524" s="2">
        <v>45386</v>
      </c>
      <c r="H2524" s="1" t="s">
        <v>9482</v>
      </c>
      <c r="I2524" s="1">
        <v>76177</v>
      </c>
      <c r="J2524" s="1" t="s">
        <v>9483</v>
      </c>
      <c r="K2524" s="338">
        <v>45475.375</v>
      </c>
      <c r="L2524" s="2" t="s">
        <v>364</v>
      </c>
      <c r="M2524" s="2" t="s">
        <v>364</v>
      </c>
      <c r="N2524" s="2" t="s">
        <v>364</v>
      </c>
      <c r="O2524" s="2" t="s">
        <v>364</v>
      </c>
      <c r="P2524" s="487"/>
      <c r="Q2524" s="281" t="str">
        <f t="shared" si="20"/>
        <v/>
      </c>
      <c r="R2524" s="1">
        <f t="shared" si="21"/>
        <v>1</v>
      </c>
      <c r="S2524" s="1">
        <f t="shared" si="22"/>
        <v>1</v>
      </c>
      <c r="T2524" s="512" t="e">
        <f>_xlfn.XLOOKUP(H2524,#REF!,#REF!,0,0)</f>
        <v>#REF!</v>
      </c>
    </row>
    <row r="2525" spans="1:20" s="295" customFormat="1" ht="18" customHeight="1" x14ac:dyDescent="0.4">
      <c r="A2525" s="2" t="s">
        <v>9484</v>
      </c>
      <c r="B2525" s="2" t="s">
        <v>9485</v>
      </c>
      <c r="C2525" s="2" t="s">
        <v>433</v>
      </c>
      <c r="D2525" s="2" t="s">
        <v>8127</v>
      </c>
      <c r="E2525" s="1" t="s">
        <v>10</v>
      </c>
      <c r="F2525" s="1" t="s">
        <v>436</v>
      </c>
      <c r="G2525" s="2">
        <v>45446</v>
      </c>
      <c r="H2525" s="2" t="s">
        <v>9486</v>
      </c>
      <c r="I2525" s="1">
        <v>76544</v>
      </c>
      <c r="J2525" s="2" t="s">
        <v>9487</v>
      </c>
      <c r="K2525" s="2" t="s">
        <v>9488</v>
      </c>
      <c r="L2525" s="2" t="s">
        <v>364</v>
      </c>
      <c r="M2525" s="2" t="s">
        <v>364</v>
      </c>
      <c r="N2525" s="2" t="s">
        <v>364</v>
      </c>
      <c r="O2525" s="2" t="s">
        <v>364</v>
      </c>
      <c r="P2525" s="488" t="s">
        <v>9489</v>
      </c>
      <c r="Q2525" s="1" t="str">
        <f t="shared" si="20"/>
        <v/>
      </c>
      <c r="R2525" s="1">
        <f t="shared" si="21"/>
        <v>1</v>
      </c>
      <c r="S2525" s="1">
        <f t="shared" si="22"/>
        <v>1</v>
      </c>
      <c r="T2525" s="512" t="e">
        <f>_xlfn.XLOOKUP(H2525,#REF!,#REF!,0,0)</f>
        <v>#REF!</v>
      </c>
    </row>
    <row r="2526" spans="1:20" s="514" customFormat="1" ht="18" customHeight="1" x14ac:dyDescent="0.4">
      <c r="A2526" s="324" t="s">
        <v>9490</v>
      </c>
      <c r="B2526" s="324" t="s">
        <v>9491</v>
      </c>
      <c r="C2526" s="325" t="s">
        <v>433</v>
      </c>
      <c r="D2526" s="324" t="s">
        <v>693</v>
      </c>
      <c r="E2526" s="324" t="s">
        <v>10</v>
      </c>
      <c r="F2526" s="324">
        <v>840</v>
      </c>
      <c r="G2526" s="326"/>
      <c r="H2526" s="324" t="s">
        <v>5925</v>
      </c>
      <c r="I2526" s="324">
        <v>70719</v>
      </c>
      <c r="J2526" s="324"/>
      <c r="K2526" s="326">
        <v>45478</v>
      </c>
      <c r="L2526" s="2" t="s">
        <v>364</v>
      </c>
      <c r="M2526" s="2" t="s">
        <v>364</v>
      </c>
      <c r="N2526" s="2" t="s">
        <v>364</v>
      </c>
      <c r="O2526" s="2" t="s">
        <v>364</v>
      </c>
      <c r="P2526" s="384"/>
      <c r="Q2526" s="324"/>
      <c r="R2526" s="324">
        <v>1</v>
      </c>
      <c r="S2526" s="324">
        <v>1</v>
      </c>
      <c r="T2526" s="512" t="e">
        <f>_xlfn.XLOOKUP(H2526,#REF!,#REF!,0,0)</f>
        <v>#REF!</v>
      </c>
    </row>
    <row r="2527" spans="1:20" s="295" customFormat="1" ht="18" customHeight="1" x14ac:dyDescent="0.4">
      <c r="A2527" s="2" t="s">
        <v>9492</v>
      </c>
      <c r="B2527" s="2" t="s">
        <v>9493</v>
      </c>
      <c r="C2527" s="2" t="s">
        <v>433</v>
      </c>
      <c r="D2527" s="324" t="s">
        <v>693</v>
      </c>
      <c r="E2527" s="1" t="s">
        <v>10</v>
      </c>
      <c r="F2527" s="1" t="s">
        <v>436</v>
      </c>
      <c r="G2527" s="2">
        <v>45446</v>
      </c>
      <c r="H2527" s="2" t="s">
        <v>9494</v>
      </c>
      <c r="I2527" s="1">
        <v>76542</v>
      </c>
      <c r="J2527" s="2" t="s">
        <v>9495</v>
      </c>
      <c r="K2527" s="2" t="s">
        <v>9496</v>
      </c>
      <c r="L2527" s="2" t="s">
        <v>364</v>
      </c>
      <c r="M2527" s="2" t="s">
        <v>364</v>
      </c>
      <c r="N2527" s="2" t="s">
        <v>364</v>
      </c>
      <c r="O2527" s="2" t="s">
        <v>364</v>
      </c>
      <c r="P2527" s="488" t="s">
        <v>9497</v>
      </c>
      <c r="Q2527" s="1" t="str">
        <f>IF(A2527="SCORTA 10",1,"")</f>
        <v/>
      </c>
      <c r="R2527" s="1">
        <f>IF(H2527&lt;&gt;"",1,"")</f>
        <v>1</v>
      </c>
      <c r="S2527" s="1">
        <f>IF(I2527&lt;&gt;"",1,"")</f>
        <v>1</v>
      </c>
      <c r="T2527" s="512" t="e">
        <f>_xlfn.XLOOKUP(H2527,#REF!,#REF!,0,0)</f>
        <v>#REF!</v>
      </c>
    </row>
    <row r="2528" spans="1:20" s="514" customFormat="1" ht="18" customHeight="1" x14ac:dyDescent="0.4">
      <c r="A2528" s="324" t="s">
        <v>9498</v>
      </c>
      <c r="B2528" s="324" t="s">
        <v>681</v>
      </c>
      <c r="C2528" s="325" t="s">
        <v>433</v>
      </c>
      <c r="D2528" s="324" t="s">
        <v>693</v>
      </c>
      <c r="E2528" s="324" t="s">
        <v>10</v>
      </c>
      <c r="F2528" s="324" t="s">
        <v>9499</v>
      </c>
      <c r="G2528" s="326">
        <v>45462</v>
      </c>
      <c r="H2528" s="324" t="s">
        <v>9500</v>
      </c>
      <c r="I2528" s="324">
        <v>73606</v>
      </c>
      <c r="J2528" s="324" t="s">
        <v>9501</v>
      </c>
      <c r="K2528" s="326"/>
      <c r="L2528" s="2" t="s">
        <v>364</v>
      </c>
      <c r="M2528" s="2" t="s">
        <v>364</v>
      </c>
      <c r="N2528" s="2" t="s">
        <v>364</v>
      </c>
      <c r="O2528" s="2" t="s">
        <v>364</v>
      </c>
      <c r="P2528" s="384" t="s">
        <v>9502</v>
      </c>
      <c r="Q2528" s="324"/>
      <c r="R2528" s="324">
        <v>1</v>
      </c>
      <c r="S2528" s="324">
        <v>1</v>
      </c>
      <c r="T2528" s="512" t="e">
        <f>_xlfn.XLOOKUP(H2528,#REF!,#REF!,0,0)</f>
        <v>#REF!</v>
      </c>
    </row>
    <row r="2529" spans="1:20" s="514" customFormat="1" ht="18" customHeight="1" x14ac:dyDescent="0.4">
      <c r="A2529" s="324" t="s">
        <v>9503</v>
      </c>
      <c r="B2529" s="324" t="s">
        <v>681</v>
      </c>
      <c r="C2529" s="325" t="s">
        <v>433</v>
      </c>
      <c r="D2529" s="324" t="s">
        <v>693</v>
      </c>
      <c r="E2529" s="324" t="s">
        <v>10</v>
      </c>
      <c r="F2529" s="324" t="s">
        <v>9504</v>
      </c>
      <c r="G2529" s="326"/>
      <c r="H2529" s="324" t="s">
        <v>3603</v>
      </c>
      <c r="I2529" s="324">
        <v>68468</v>
      </c>
      <c r="J2529" s="324"/>
      <c r="K2529" s="326"/>
      <c r="L2529" s="2" t="s">
        <v>364</v>
      </c>
      <c r="M2529" s="2" t="s">
        <v>364</v>
      </c>
      <c r="N2529" s="2" t="s">
        <v>364</v>
      </c>
      <c r="O2529" s="2" t="s">
        <v>364</v>
      </c>
      <c r="P2529" s="384"/>
      <c r="Q2529" s="324"/>
      <c r="R2529" s="324">
        <v>1</v>
      </c>
      <c r="S2529" s="324">
        <v>1</v>
      </c>
      <c r="T2529" s="512" t="e">
        <f>_xlfn.XLOOKUP(H2529,#REF!,#REF!,0,0)</f>
        <v>#REF!</v>
      </c>
    </row>
    <row r="2530" spans="1:20" s="514" customFormat="1" ht="18" customHeight="1" x14ac:dyDescent="0.4">
      <c r="A2530" s="324" t="s">
        <v>9505</v>
      </c>
      <c r="B2530" s="324" t="s">
        <v>681</v>
      </c>
      <c r="C2530" s="325" t="s">
        <v>433</v>
      </c>
      <c r="D2530" s="324" t="s">
        <v>693</v>
      </c>
      <c r="E2530" s="324" t="s">
        <v>10</v>
      </c>
      <c r="F2530" s="324" t="s">
        <v>9499</v>
      </c>
      <c r="G2530" s="326">
        <v>45462</v>
      </c>
      <c r="H2530" s="324" t="s">
        <v>9506</v>
      </c>
      <c r="I2530" s="324">
        <v>73607</v>
      </c>
      <c r="J2530" s="324" t="s">
        <v>9507</v>
      </c>
      <c r="K2530" s="326"/>
      <c r="L2530" s="2" t="s">
        <v>364</v>
      </c>
      <c r="M2530" s="2" t="s">
        <v>364</v>
      </c>
      <c r="N2530" s="2" t="s">
        <v>364</v>
      </c>
      <c r="O2530" s="2" t="s">
        <v>364</v>
      </c>
      <c r="P2530" s="384" t="s">
        <v>9502</v>
      </c>
      <c r="Q2530" s="324"/>
      <c r="R2530" s="324">
        <v>1</v>
      </c>
      <c r="S2530" s="324">
        <v>1</v>
      </c>
      <c r="T2530" s="512" t="e">
        <f>_xlfn.XLOOKUP(H2530,#REF!,#REF!,0,0)</f>
        <v>#REF!</v>
      </c>
    </row>
    <row r="2531" spans="1:20" s="349" customFormat="1" ht="18" customHeight="1" x14ac:dyDescent="0.4">
      <c r="A2531" s="1" t="s">
        <v>9508</v>
      </c>
      <c r="B2531" s="1" t="s">
        <v>9509</v>
      </c>
      <c r="C2531" s="1" t="s">
        <v>433</v>
      </c>
      <c r="D2531" s="1" t="s">
        <v>8127</v>
      </c>
      <c r="E2531" s="1" t="s">
        <v>10</v>
      </c>
      <c r="F2531" s="1" t="s">
        <v>362</v>
      </c>
      <c r="G2531" s="2">
        <v>45386</v>
      </c>
      <c r="H2531" s="1" t="s">
        <v>9510</v>
      </c>
      <c r="I2531" s="1">
        <v>76176</v>
      </c>
      <c r="J2531" s="1" t="s">
        <v>9511</v>
      </c>
      <c r="K2531" s="338">
        <v>45475.416666666664</v>
      </c>
      <c r="L2531" s="2" t="s">
        <v>364</v>
      </c>
      <c r="M2531" s="2" t="s">
        <v>364</v>
      </c>
      <c r="N2531" s="2" t="s">
        <v>364</v>
      </c>
      <c r="O2531" s="2" t="s">
        <v>364</v>
      </c>
      <c r="P2531" s="487"/>
      <c r="Q2531" s="281" t="str">
        <f>IF(A2531="SCORTA 10",1,"")</f>
        <v/>
      </c>
      <c r="R2531" s="1">
        <f t="shared" ref="R2531:S2533" si="23">IF(H2531&lt;&gt;"",1,"")</f>
        <v>1</v>
      </c>
      <c r="S2531" s="1">
        <f t="shared" si="23"/>
        <v>1</v>
      </c>
      <c r="T2531" s="512" t="e">
        <f>_xlfn.XLOOKUP(H2531,#REF!,#REF!,0,0)</f>
        <v>#REF!</v>
      </c>
    </row>
    <row r="2532" spans="1:20" s="295" customFormat="1" ht="18" customHeight="1" x14ac:dyDescent="0.4">
      <c r="A2532" s="2" t="s">
        <v>9512</v>
      </c>
      <c r="B2532" s="2" t="s">
        <v>9513</v>
      </c>
      <c r="C2532" s="2" t="s">
        <v>433</v>
      </c>
      <c r="D2532" s="2" t="s">
        <v>8127</v>
      </c>
      <c r="E2532" s="1" t="s">
        <v>10</v>
      </c>
      <c r="F2532" s="1" t="s">
        <v>436</v>
      </c>
      <c r="G2532" s="2">
        <v>45446</v>
      </c>
      <c r="H2532" s="2" t="s">
        <v>9514</v>
      </c>
      <c r="I2532" s="1">
        <v>76545</v>
      </c>
      <c r="J2532" s="2" t="s">
        <v>9515</v>
      </c>
      <c r="K2532" s="2">
        <v>45483</v>
      </c>
      <c r="L2532" s="2" t="s">
        <v>364</v>
      </c>
      <c r="M2532" s="2" t="s">
        <v>364</v>
      </c>
      <c r="N2532" s="2" t="s">
        <v>364</v>
      </c>
      <c r="O2532" s="2" t="s">
        <v>364</v>
      </c>
      <c r="P2532" s="488" t="s">
        <v>9516</v>
      </c>
      <c r="Q2532" s="1" t="str">
        <f>IF(A2532="SCORTA 10",1,"")</f>
        <v/>
      </c>
      <c r="R2532" s="1">
        <f t="shared" si="23"/>
        <v>1</v>
      </c>
      <c r="S2532" s="1">
        <f t="shared" si="23"/>
        <v>1</v>
      </c>
      <c r="T2532" s="512" t="e">
        <f>_xlfn.XLOOKUP(H2532,#REF!,#REF!,0,0)</f>
        <v>#REF!</v>
      </c>
    </row>
    <row r="2533" spans="1:20" s="295" customFormat="1" ht="18" customHeight="1" x14ac:dyDescent="0.4">
      <c r="A2533" s="2" t="s">
        <v>9517</v>
      </c>
      <c r="B2533" s="1" t="s">
        <v>9518</v>
      </c>
      <c r="C2533" s="1" t="s">
        <v>433</v>
      </c>
      <c r="D2533" s="2" t="s">
        <v>8127</v>
      </c>
      <c r="E2533" s="2" t="s">
        <v>10</v>
      </c>
      <c r="F2533" s="2" t="s">
        <v>362</v>
      </c>
      <c r="G2533" s="2">
        <v>45386</v>
      </c>
      <c r="H2533" s="2" t="s">
        <v>9519</v>
      </c>
      <c r="I2533" s="1">
        <v>76192</v>
      </c>
      <c r="J2533" s="1" t="s">
        <v>9520</v>
      </c>
      <c r="K2533" s="2"/>
      <c r="L2533" s="2" t="s">
        <v>364</v>
      </c>
      <c r="M2533" s="2" t="s">
        <v>364</v>
      </c>
      <c r="N2533" s="2" t="s">
        <v>364</v>
      </c>
      <c r="O2533" s="2" t="s">
        <v>364</v>
      </c>
      <c r="P2533" s="487"/>
      <c r="Q2533" s="281" t="str">
        <f>IF(A2533="SCORTA 10",1,"")</f>
        <v/>
      </c>
      <c r="R2533" s="1">
        <f t="shared" si="23"/>
        <v>1</v>
      </c>
      <c r="S2533" s="1">
        <f t="shared" si="23"/>
        <v>1</v>
      </c>
      <c r="T2533" s="512" t="e">
        <f>_xlfn.XLOOKUP(H2533,#REF!,#REF!,0,0)</f>
        <v>#REF!</v>
      </c>
    </row>
    <row r="2534" spans="1:20" s="514" customFormat="1" ht="18" customHeight="1" x14ac:dyDescent="0.4">
      <c r="A2534" s="324" t="s">
        <v>9521</v>
      </c>
      <c r="B2534" s="324" t="s">
        <v>9522</v>
      </c>
      <c r="C2534" s="325" t="s">
        <v>433</v>
      </c>
      <c r="D2534" s="324" t="s">
        <v>693</v>
      </c>
      <c r="E2534" s="324" t="s">
        <v>10</v>
      </c>
      <c r="F2534" s="324" t="s">
        <v>244</v>
      </c>
      <c r="G2534" s="326"/>
      <c r="H2534" s="324" t="s">
        <v>7173</v>
      </c>
      <c r="I2534" s="324">
        <v>72473</v>
      </c>
      <c r="J2534" s="324"/>
      <c r="K2534" s="326" t="s">
        <v>9523</v>
      </c>
      <c r="L2534" s="2" t="s">
        <v>364</v>
      </c>
      <c r="M2534" s="2" t="s">
        <v>364</v>
      </c>
      <c r="N2534" s="2" t="s">
        <v>364</v>
      </c>
      <c r="O2534" s="2" t="s">
        <v>364</v>
      </c>
      <c r="P2534" s="384" t="s">
        <v>6767</v>
      </c>
      <c r="Q2534" s="324"/>
      <c r="R2534" s="324">
        <v>1</v>
      </c>
      <c r="S2534" s="324">
        <v>1</v>
      </c>
      <c r="T2534" s="512" t="e">
        <f>_xlfn.XLOOKUP(H2534,#REF!,#REF!,0,0)</f>
        <v>#REF!</v>
      </c>
    </row>
    <row r="2535" spans="1:20" s="295" customFormat="1" ht="18" customHeight="1" x14ac:dyDescent="0.4">
      <c r="A2535" s="2" t="s">
        <v>9524</v>
      </c>
      <c r="B2535" s="2" t="s">
        <v>9525</v>
      </c>
      <c r="C2535" s="2" t="s">
        <v>433</v>
      </c>
      <c r="D2535" s="2" t="s">
        <v>8127</v>
      </c>
      <c r="E2535" s="1" t="s">
        <v>10</v>
      </c>
      <c r="F2535" s="1" t="s">
        <v>436</v>
      </c>
      <c r="G2535" s="2">
        <v>45446</v>
      </c>
      <c r="H2535" s="2" t="s">
        <v>9526</v>
      </c>
      <c r="I2535" s="1">
        <v>76550</v>
      </c>
      <c r="J2535" s="2" t="s">
        <v>9527</v>
      </c>
      <c r="K2535" s="2">
        <v>45485</v>
      </c>
      <c r="L2535" s="2" t="s">
        <v>364</v>
      </c>
      <c r="M2535" s="2" t="s">
        <v>364</v>
      </c>
      <c r="N2535" s="2" t="s">
        <v>364</v>
      </c>
      <c r="O2535" s="2" t="s">
        <v>364</v>
      </c>
      <c r="P2535" s="488" t="s">
        <v>9528</v>
      </c>
      <c r="Q2535" s="1" t="str">
        <f t="shared" ref="Q2535:Q2548" si="24">IF(A2535="SCORTA 10",1,"")</f>
        <v/>
      </c>
      <c r="R2535" s="1">
        <f t="shared" ref="R2535:R2548" si="25">IF(H2535&lt;&gt;"",1,"")</f>
        <v>1</v>
      </c>
      <c r="S2535" s="1">
        <f t="shared" ref="S2535:S2548" si="26">IF(I2535&lt;&gt;"",1,"")</f>
        <v>1</v>
      </c>
      <c r="T2535" s="512" t="e">
        <f>_xlfn.XLOOKUP(H2535,#REF!,#REF!,0,0)</f>
        <v>#REF!</v>
      </c>
    </row>
    <row r="2536" spans="1:20" s="295" customFormat="1" ht="18" customHeight="1" x14ac:dyDescent="0.4">
      <c r="A2536" s="2" t="s">
        <v>9529</v>
      </c>
      <c r="B2536" s="2" t="s">
        <v>9530</v>
      </c>
      <c r="C2536" s="2" t="s">
        <v>433</v>
      </c>
      <c r="D2536" s="2" t="s">
        <v>8127</v>
      </c>
      <c r="E2536" s="1" t="s">
        <v>10</v>
      </c>
      <c r="F2536" s="1" t="s">
        <v>436</v>
      </c>
      <c r="G2536" s="2">
        <v>45446</v>
      </c>
      <c r="H2536" s="2" t="s">
        <v>9531</v>
      </c>
      <c r="I2536" s="1">
        <v>76546</v>
      </c>
      <c r="J2536" s="2" t="s">
        <v>9532</v>
      </c>
      <c r="K2536" s="2" t="s">
        <v>9533</v>
      </c>
      <c r="L2536" s="2" t="s">
        <v>364</v>
      </c>
      <c r="M2536" s="2" t="s">
        <v>364</v>
      </c>
      <c r="N2536" s="2" t="s">
        <v>364</v>
      </c>
      <c r="O2536" s="2" t="s">
        <v>364</v>
      </c>
      <c r="P2536" s="488" t="s">
        <v>9534</v>
      </c>
      <c r="Q2536" s="1" t="str">
        <f t="shared" si="24"/>
        <v/>
      </c>
      <c r="R2536" s="1">
        <f t="shared" si="25"/>
        <v>1</v>
      </c>
      <c r="S2536" s="1">
        <f t="shared" si="26"/>
        <v>1</v>
      </c>
      <c r="T2536" s="512" t="e">
        <f>_xlfn.XLOOKUP(H2536,#REF!,#REF!,0,0)</f>
        <v>#REF!</v>
      </c>
    </row>
    <row r="2537" spans="1:20" s="295" customFormat="1" ht="18" customHeight="1" x14ac:dyDescent="0.4">
      <c r="A2537" s="2" t="s">
        <v>9535</v>
      </c>
      <c r="B2537" s="2" t="s">
        <v>9536</v>
      </c>
      <c r="C2537" s="2" t="s">
        <v>433</v>
      </c>
      <c r="D2537" s="2" t="s">
        <v>8127</v>
      </c>
      <c r="E2537" s="1" t="s">
        <v>10</v>
      </c>
      <c r="F2537" s="1" t="s">
        <v>436</v>
      </c>
      <c r="G2537" s="2">
        <v>45446</v>
      </c>
      <c r="H2537" s="2" t="s">
        <v>9537</v>
      </c>
      <c r="I2537" s="1">
        <v>76549</v>
      </c>
      <c r="J2537" s="2" t="s">
        <v>9538</v>
      </c>
      <c r="K2537" s="2" t="s">
        <v>9539</v>
      </c>
      <c r="L2537" s="2" t="s">
        <v>364</v>
      </c>
      <c r="M2537" s="2" t="s">
        <v>364</v>
      </c>
      <c r="N2537" s="2" t="s">
        <v>364</v>
      </c>
      <c r="O2537" s="2" t="s">
        <v>364</v>
      </c>
      <c r="P2537" s="488" t="s">
        <v>9540</v>
      </c>
      <c r="Q2537" s="1" t="str">
        <f t="shared" si="24"/>
        <v/>
      </c>
      <c r="R2537" s="1">
        <f t="shared" si="25"/>
        <v>1</v>
      </c>
      <c r="S2537" s="1">
        <f t="shared" si="26"/>
        <v>1</v>
      </c>
      <c r="T2537" s="512" t="e">
        <f>_xlfn.XLOOKUP(H2537,#REF!,#REF!,0,0)</f>
        <v>#REF!</v>
      </c>
    </row>
    <row r="2538" spans="1:20" s="295" customFormat="1" ht="18" customHeight="1" x14ac:dyDescent="0.4">
      <c r="A2538" s="2" t="s">
        <v>9541</v>
      </c>
      <c r="B2538" s="1" t="s">
        <v>9542</v>
      </c>
      <c r="C2538" s="1" t="s">
        <v>433</v>
      </c>
      <c r="D2538" s="303" t="s">
        <v>8127</v>
      </c>
      <c r="E2538" s="2" t="s">
        <v>10</v>
      </c>
      <c r="F2538" s="2" t="s">
        <v>362</v>
      </c>
      <c r="G2538" s="2">
        <v>45386</v>
      </c>
      <c r="H2538" s="2" t="s">
        <v>9543</v>
      </c>
      <c r="I2538" s="1">
        <v>76193</v>
      </c>
      <c r="J2538" s="1" t="s">
        <v>9544</v>
      </c>
      <c r="K2538" s="2" t="s">
        <v>9545</v>
      </c>
      <c r="L2538" s="1" t="s">
        <v>364</v>
      </c>
      <c r="M2538" s="1" t="s">
        <v>364</v>
      </c>
      <c r="N2538" s="1" t="s">
        <v>364</v>
      </c>
      <c r="O2538" s="1" t="s">
        <v>364</v>
      </c>
      <c r="P2538" s="487" t="s">
        <v>9546</v>
      </c>
      <c r="Q2538" s="281" t="str">
        <f t="shared" si="24"/>
        <v/>
      </c>
      <c r="R2538" s="1">
        <f t="shared" si="25"/>
        <v>1</v>
      </c>
      <c r="S2538" s="1">
        <f t="shared" si="26"/>
        <v>1</v>
      </c>
      <c r="T2538" s="512" t="e">
        <f>_xlfn.XLOOKUP(H2538,#REF!,#REF!,0,0)</f>
        <v>#REF!</v>
      </c>
    </row>
    <row r="2539" spans="1:20" s="295" customFormat="1" ht="18" customHeight="1" x14ac:dyDescent="0.4">
      <c r="A2539" s="2" t="s">
        <v>9547</v>
      </c>
      <c r="B2539" s="1" t="s">
        <v>9548</v>
      </c>
      <c r="C2539" s="1" t="s">
        <v>435</v>
      </c>
      <c r="D2539" s="303" t="s">
        <v>8127</v>
      </c>
      <c r="E2539" s="2" t="s">
        <v>366</v>
      </c>
      <c r="F2539" s="2" t="s">
        <v>367</v>
      </c>
      <c r="G2539" s="2">
        <v>45415</v>
      </c>
      <c r="H2539" s="2" t="s">
        <v>9549</v>
      </c>
      <c r="I2539" s="1">
        <v>73760</v>
      </c>
      <c r="J2539" s="1" t="s">
        <v>9550</v>
      </c>
      <c r="K2539" s="2">
        <v>45488</v>
      </c>
      <c r="L2539" s="1" t="s">
        <v>364</v>
      </c>
      <c r="M2539" s="1" t="s">
        <v>364</v>
      </c>
      <c r="N2539" s="1" t="s">
        <v>364</v>
      </c>
      <c r="O2539" s="1" t="s">
        <v>364</v>
      </c>
      <c r="P2539" s="487"/>
      <c r="Q2539" s="281" t="str">
        <f t="shared" si="24"/>
        <v/>
      </c>
      <c r="R2539" s="1">
        <f t="shared" si="25"/>
        <v>1</v>
      </c>
      <c r="S2539" s="1">
        <f t="shared" si="26"/>
        <v>1</v>
      </c>
      <c r="T2539" s="512" t="e">
        <f>_xlfn.XLOOKUP(H2539,#REF!,#REF!,0,0)</f>
        <v>#REF!</v>
      </c>
    </row>
    <row r="2540" spans="1:20" s="295" customFormat="1" ht="18" customHeight="1" x14ac:dyDescent="0.4">
      <c r="A2540" s="2" t="s">
        <v>9551</v>
      </c>
      <c r="B2540" s="2" t="s">
        <v>9552</v>
      </c>
      <c r="C2540" s="2" t="s">
        <v>433</v>
      </c>
      <c r="D2540" s="2" t="s">
        <v>693</v>
      </c>
      <c r="E2540" s="1" t="s">
        <v>10</v>
      </c>
      <c r="F2540" s="1" t="s">
        <v>436</v>
      </c>
      <c r="G2540" s="2">
        <v>45446</v>
      </c>
      <c r="H2540" s="2" t="s">
        <v>9553</v>
      </c>
      <c r="I2540" s="1">
        <v>76548</v>
      </c>
      <c r="J2540" s="2" t="s">
        <v>9554</v>
      </c>
      <c r="K2540" s="2"/>
      <c r="L2540" s="2" t="s">
        <v>364</v>
      </c>
      <c r="M2540" s="2" t="s">
        <v>364</v>
      </c>
      <c r="N2540" s="2" t="s">
        <v>364</v>
      </c>
      <c r="O2540" s="2" t="s">
        <v>364</v>
      </c>
      <c r="P2540" s="488" t="s">
        <v>9555</v>
      </c>
      <c r="Q2540" s="1" t="str">
        <f t="shared" si="24"/>
        <v/>
      </c>
      <c r="R2540" s="1">
        <f t="shared" si="25"/>
        <v>1</v>
      </c>
      <c r="S2540" s="1">
        <f t="shared" si="26"/>
        <v>1</v>
      </c>
      <c r="T2540" s="512" t="e">
        <f>_xlfn.XLOOKUP(H2540,#REF!,#REF!,0,0)</f>
        <v>#REF!</v>
      </c>
    </row>
    <row r="2541" spans="1:20" s="295" customFormat="1" ht="18" customHeight="1" x14ac:dyDescent="0.4">
      <c r="A2541" s="2" t="s">
        <v>9556</v>
      </c>
      <c r="B2541" s="2" t="s">
        <v>9557</v>
      </c>
      <c r="C2541" s="2" t="s">
        <v>433</v>
      </c>
      <c r="D2541" s="2" t="s">
        <v>8127</v>
      </c>
      <c r="E2541" s="1" t="s">
        <v>10</v>
      </c>
      <c r="F2541" s="1" t="s">
        <v>436</v>
      </c>
      <c r="G2541" s="2">
        <v>45446</v>
      </c>
      <c r="H2541" s="2" t="s">
        <v>9558</v>
      </c>
      <c r="I2541" s="1">
        <v>76547</v>
      </c>
      <c r="J2541" s="2" t="s">
        <v>9559</v>
      </c>
      <c r="K2541" s="2" t="s">
        <v>9560</v>
      </c>
      <c r="L2541" s="2" t="s">
        <v>364</v>
      </c>
      <c r="M2541" s="2" t="s">
        <v>364</v>
      </c>
      <c r="N2541" s="2" t="s">
        <v>364</v>
      </c>
      <c r="O2541" s="2" t="s">
        <v>364</v>
      </c>
      <c r="P2541" s="488" t="s">
        <v>9561</v>
      </c>
      <c r="Q2541" s="1" t="str">
        <f t="shared" si="24"/>
        <v/>
      </c>
      <c r="R2541" s="1">
        <f t="shared" si="25"/>
        <v>1</v>
      </c>
      <c r="S2541" s="1">
        <f t="shared" si="26"/>
        <v>1</v>
      </c>
      <c r="T2541" s="512" t="e">
        <f>_xlfn.XLOOKUP(H2541,#REF!,#REF!,0,0)</f>
        <v>#REF!</v>
      </c>
    </row>
    <row r="2542" spans="1:20" s="295" customFormat="1" ht="18" customHeight="1" x14ac:dyDescent="0.4">
      <c r="A2542" s="2" t="s">
        <v>9562</v>
      </c>
      <c r="B2542" s="1" t="s">
        <v>9563</v>
      </c>
      <c r="C2542" s="1" t="s">
        <v>433</v>
      </c>
      <c r="D2542" s="303" t="s">
        <v>8008</v>
      </c>
      <c r="E2542" s="2" t="s">
        <v>366</v>
      </c>
      <c r="F2542" s="2" t="s">
        <v>367</v>
      </c>
      <c r="G2542" s="2">
        <v>45415</v>
      </c>
      <c r="H2542" s="2" t="s">
        <v>9564</v>
      </c>
      <c r="I2542" s="1">
        <v>73761</v>
      </c>
      <c r="J2542" s="1" t="s">
        <v>9565</v>
      </c>
      <c r="K2542" s="2" t="s">
        <v>9566</v>
      </c>
      <c r="L2542" s="1" t="s">
        <v>364</v>
      </c>
      <c r="M2542" s="1" t="s">
        <v>364</v>
      </c>
      <c r="N2542" s="1" t="s">
        <v>364</v>
      </c>
      <c r="O2542" s="1" t="s">
        <v>364</v>
      </c>
      <c r="P2542" s="487" t="s">
        <v>7518</v>
      </c>
      <c r="Q2542" s="281" t="str">
        <f t="shared" si="24"/>
        <v/>
      </c>
      <c r="R2542" s="1">
        <f t="shared" si="25"/>
        <v>1</v>
      </c>
      <c r="S2542" s="1">
        <f t="shared" si="26"/>
        <v>1</v>
      </c>
      <c r="T2542" s="512" t="e">
        <f>_xlfn.XLOOKUP(H2542,#REF!,#REF!,0,0)</f>
        <v>#REF!</v>
      </c>
    </row>
    <row r="2543" spans="1:20" s="514" customFormat="1" ht="18" customHeight="1" x14ac:dyDescent="0.4">
      <c r="A2543" s="2" t="s">
        <v>9567</v>
      </c>
      <c r="B2543" s="2" t="s">
        <v>9568</v>
      </c>
      <c r="C2543" s="2" t="s">
        <v>433</v>
      </c>
      <c r="D2543" s="2" t="s">
        <v>693</v>
      </c>
      <c r="E2543" s="1" t="s">
        <v>10</v>
      </c>
      <c r="F2543" s="1" t="s">
        <v>436</v>
      </c>
      <c r="G2543" s="2">
        <v>45446</v>
      </c>
      <c r="H2543" s="2" t="s">
        <v>9569</v>
      </c>
      <c r="I2543" s="1">
        <v>76552</v>
      </c>
      <c r="J2543" s="2" t="s">
        <v>9570</v>
      </c>
      <c r="K2543" s="2" t="s">
        <v>9571</v>
      </c>
      <c r="L2543" s="2" t="s">
        <v>364</v>
      </c>
      <c r="M2543" s="2" t="s">
        <v>364</v>
      </c>
      <c r="N2543" s="2" t="s">
        <v>364</v>
      </c>
      <c r="O2543" s="2" t="s">
        <v>364</v>
      </c>
      <c r="P2543" s="488" t="s">
        <v>9572</v>
      </c>
      <c r="Q2543" s="1" t="str">
        <f t="shared" si="24"/>
        <v/>
      </c>
      <c r="R2543" s="1">
        <f t="shared" si="25"/>
        <v>1</v>
      </c>
      <c r="S2543" s="1">
        <f t="shared" si="26"/>
        <v>1</v>
      </c>
      <c r="T2543" s="512" t="e">
        <f>_xlfn.XLOOKUP(H2543,#REF!,#REF!,0,0)</f>
        <v>#REF!</v>
      </c>
    </row>
    <row r="2544" spans="1:20" s="295" customFormat="1" ht="18" customHeight="1" x14ac:dyDescent="0.4">
      <c r="A2544" s="2" t="s">
        <v>9573</v>
      </c>
      <c r="B2544" s="1" t="s">
        <v>9574</v>
      </c>
      <c r="C2544" s="1" t="s">
        <v>433</v>
      </c>
      <c r="D2544" s="303" t="s">
        <v>693</v>
      </c>
      <c r="E2544" s="2" t="s">
        <v>366</v>
      </c>
      <c r="F2544" s="2" t="s">
        <v>367</v>
      </c>
      <c r="G2544" s="2">
        <v>45415</v>
      </c>
      <c r="H2544" s="2" t="s">
        <v>9575</v>
      </c>
      <c r="I2544" s="1">
        <v>73762</v>
      </c>
      <c r="J2544" s="1" t="s">
        <v>9576</v>
      </c>
      <c r="K2544" s="2"/>
      <c r="L2544" s="1" t="s">
        <v>364</v>
      </c>
      <c r="M2544" s="1" t="s">
        <v>364</v>
      </c>
      <c r="N2544" s="1" t="s">
        <v>364</v>
      </c>
      <c r="O2544" s="1" t="s">
        <v>364</v>
      </c>
      <c r="P2544" s="487"/>
      <c r="Q2544" s="281" t="str">
        <f t="shared" si="24"/>
        <v/>
      </c>
      <c r="R2544" s="1">
        <f t="shared" si="25"/>
        <v>1</v>
      </c>
      <c r="S2544" s="1">
        <f t="shared" si="26"/>
        <v>1</v>
      </c>
      <c r="T2544" s="512" t="e">
        <f>_xlfn.XLOOKUP(H2544,#REF!,#REF!,0,0)</f>
        <v>#REF!</v>
      </c>
    </row>
    <row r="2545" spans="1:20" s="295" customFormat="1" ht="18" customHeight="1" x14ac:dyDescent="0.4">
      <c r="A2545" s="2" t="s">
        <v>9577</v>
      </c>
      <c r="B2545" s="2" t="s">
        <v>9578</v>
      </c>
      <c r="C2545" s="2" t="s">
        <v>433</v>
      </c>
      <c r="D2545" s="2" t="s">
        <v>8127</v>
      </c>
      <c r="E2545" s="1" t="s">
        <v>10</v>
      </c>
      <c r="F2545" s="1" t="s">
        <v>436</v>
      </c>
      <c r="G2545" s="2">
        <v>45446</v>
      </c>
      <c r="H2545" s="2" t="s">
        <v>9579</v>
      </c>
      <c r="I2545" s="1">
        <v>76553</v>
      </c>
      <c r="J2545" s="2" t="s">
        <v>9580</v>
      </c>
      <c r="K2545" s="2">
        <v>45495</v>
      </c>
      <c r="L2545" s="2" t="s">
        <v>364</v>
      </c>
      <c r="M2545" s="2" t="s">
        <v>364</v>
      </c>
      <c r="N2545" s="2" t="s">
        <v>364</v>
      </c>
      <c r="O2545" s="2" t="s">
        <v>364</v>
      </c>
      <c r="P2545" s="488" t="s">
        <v>5255</v>
      </c>
      <c r="Q2545" s="1" t="str">
        <f t="shared" si="24"/>
        <v/>
      </c>
      <c r="R2545" s="1">
        <f t="shared" si="25"/>
        <v>1</v>
      </c>
      <c r="S2545" s="1">
        <f t="shared" si="26"/>
        <v>1</v>
      </c>
      <c r="T2545" s="512" t="e">
        <f>_xlfn.XLOOKUP(H2545,#REF!,#REF!,0,0)</f>
        <v>#REF!</v>
      </c>
    </row>
    <row r="2546" spans="1:20" s="295" customFormat="1" ht="18" customHeight="1" x14ac:dyDescent="0.4">
      <c r="A2546" s="2" t="s">
        <v>9581</v>
      </c>
      <c r="B2546" s="1" t="s">
        <v>9582</v>
      </c>
      <c r="C2546" s="1" t="s">
        <v>433</v>
      </c>
      <c r="D2546" s="303" t="s">
        <v>8127</v>
      </c>
      <c r="E2546" s="2" t="s">
        <v>366</v>
      </c>
      <c r="F2546" s="2" t="s">
        <v>367</v>
      </c>
      <c r="G2546" s="2">
        <v>45415</v>
      </c>
      <c r="H2546" s="2" t="s">
        <v>9583</v>
      </c>
      <c r="I2546" s="1">
        <v>73763</v>
      </c>
      <c r="J2546" s="1" t="s">
        <v>9584</v>
      </c>
      <c r="K2546" s="2">
        <v>45495</v>
      </c>
      <c r="L2546" s="1" t="s">
        <v>364</v>
      </c>
      <c r="M2546" s="1" t="s">
        <v>364</v>
      </c>
      <c r="N2546" s="1" t="s">
        <v>364</v>
      </c>
      <c r="O2546" s="1" t="s">
        <v>364</v>
      </c>
      <c r="P2546" s="487" t="s">
        <v>9585</v>
      </c>
      <c r="Q2546" s="281" t="str">
        <f t="shared" si="24"/>
        <v/>
      </c>
      <c r="R2546" s="1">
        <f t="shared" si="25"/>
        <v>1</v>
      </c>
      <c r="S2546" s="1">
        <f t="shared" si="26"/>
        <v>1</v>
      </c>
      <c r="T2546" s="512" t="e">
        <f>_xlfn.XLOOKUP(H2546,#REF!,#REF!,0,0)</f>
        <v>#REF!</v>
      </c>
    </row>
    <row r="2547" spans="1:20" s="295" customFormat="1" ht="18" customHeight="1" x14ac:dyDescent="0.4">
      <c r="A2547" s="2" t="s">
        <v>9586</v>
      </c>
      <c r="B2547" s="1" t="s">
        <v>9587</v>
      </c>
      <c r="C2547" s="1" t="s">
        <v>433</v>
      </c>
      <c r="D2547" s="303" t="s">
        <v>693</v>
      </c>
      <c r="E2547" s="2" t="s">
        <v>366</v>
      </c>
      <c r="F2547" s="2" t="s">
        <v>367</v>
      </c>
      <c r="G2547" s="2">
        <v>45415</v>
      </c>
      <c r="H2547" s="2" t="s">
        <v>9588</v>
      </c>
      <c r="I2547" s="1">
        <v>73764</v>
      </c>
      <c r="J2547" s="1" t="s">
        <v>9589</v>
      </c>
      <c r="K2547" s="2"/>
      <c r="L2547" s="1" t="s">
        <v>364</v>
      </c>
      <c r="M2547" s="1" t="s">
        <v>364</v>
      </c>
      <c r="N2547" s="1" t="s">
        <v>364</v>
      </c>
      <c r="O2547" s="1" t="s">
        <v>364</v>
      </c>
      <c r="P2547" s="487" t="s">
        <v>9590</v>
      </c>
      <c r="Q2547" s="281" t="str">
        <f t="shared" si="24"/>
        <v/>
      </c>
      <c r="R2547" s="1">
        <f t="shared" si="25"/>
        <v>1</v>
      </c>
      <c r="S2547" s="1">
        <f t="shared" si="26"/>
        <v>1</v>
      </c>
      <c r="T2547" s="512" t="e">
        <f>_xlfn.XLOOKUP(H2547,#REF!,#REF!,0,0)</f>
        <v>#REF!</v>
      </c>
    </row>
    <row r="2548" spans="1:20" s="295" customFormat="1" ht="18" customHeight="1" x14ac:dyDescent="0.4">
      <c r="A2548" s="2" t="s">
        <v>9591</v>
      </c>
      <c r="B2548" s="1" t="s">
        <v>9592</v>
      </c>
      <c r="C2548" s="1" t="s">
        <v>433</v>
      </c>
      <c r="D2548" s="303" t="s">
        <v>8127</v>
      </c>
      <c r="E2548" s="2" t="s">
        <v>366</v>
      </c>
      <c r="F2548" s="2" t="s">
        <v>367</v>
      </c>
      <c r="G2548" s="2">
        <v>45415</v>
      </c>
      <c r="H2548" s="2" t="s">
        <v>9593</v>
      </c>
      <c r="I2548" s="1">
        <v>73758</v>
      </c>
      <c r="J2548" s="1" t="s">
        <v>9594</v>
      </c>
      <c r="K2548" s="2" t="s">
        <v>9595</v>
      </c>
      <c r="L2548" s="1" t="s">
        <v>364</v>
      </c>
      <c r="M2548" s="1" t="s">
        <v>364</v>
      </c>
      <c r="N2548" s="1" t="s">
        <v>364</v>
      </c>
      <c r="O2548" s="1" t="s">
        <v>364</v>
      </c>
      <c r="P2548" s="488" t="s">
        <v>9596</v>
      </c>
      <c r="Q2548" s="281" t="str">
        <f t="shared" si="24"/>
        <v/>
      </c>
      <c r="R2548" s="1">
        <f t="shared" si="25"/>
        <v>1</v>
      </c>
      <c r="S2548" s="1">
        <f t="shared" si="26"/>
        <v>1</v>
      </c>
      <c r="T2548" s="512" t="e">
        <f>_xlfn.XLOOKUP(H2548,#REF!,#REF!,0,0)</f>
        <v>#REF!</v>
      </c>
    </row>
    <row r="2549" spans="1:20" s="514" customFormat="1" ht="18" customHeight="1" x14ac:dyDescent="0.4">
      <c r="A2549" s="324" t="s">
        <v>9597</v>
      </c>
      <c r="B2549" s="324" t="s">
        <v>9598</v>
      </c>
      <c r="C2549" s="325" t="s">
        <v>433</v>
      </c>
      <c r="D2549" s="324" t="s">
        <v>8127</v>
      </c>
      <c r="E2549" s="324" t="s">
        <v>3746</v>
      </c>
      <c r="F2549" s="324" t="s">
        <v>9599</v>
      </c>
      <c r="G2549" s="326"/>
      <c r="H2549" s="324" t="s">
        <v>9600</v>
      </c>
      <c r="I2549" s="324">
        <v>71311</v>
      </c>
      <c r="J2549" s="324"/>
      <c r="K2549" s="326"/>
      <c r="L2549" s="324" t="s">
        <v>364</v>
      </c>
      <c r="M2549" s="324" t="s">
        <v>364</v>
      </c>
      <c r="N2549" s="324" t="s">
        <v>364</v>
      </c>
      <c r="O2549" s="324" t="s">
        <v>364</v>
      </c>
      <c r="P2549" s="384" t="s">
        <v>9601</v>
      </c>
      <c r="Q2549" s="324"/>
      <c r="R2549" s="324">
        <v>1</v>
      </c>
      <c r="S2549" s="324">
        <v>1</v>
      </c>
      <c r="T2549" s="512" t="e">
        <f>_xlfn.XLOOKUP(H2549,#REF!,#REF!,0,0)</f>
        <v>#REF!</v>
      </c>
    </row>
    <row r="2550" spans="1:20" s="514" customFormat="1" ht="18" customHeight="1" x14ac:dyDescent="0.4">
      <c r="A2550" s="324" t="s">
        <v>9602</v>
      </c>
      <c r="B2550" s="324" t="s">
        <v>9598</v>
      </c>
      <c r="C2550" s="325" t="s">
        <v>433</v>
      </c>
      <c r="D2550" s="324" t="s">
        <v>8127</v>
      </c>
      <c r="E2550" s="324" t="s">
        <v>10</v>
      </c>
      <c r="F2550" s="324" t="s">
        <v>190</v>
      </c>
      <c r="G2550" s="326"/>
      <c r="H2550" s="324" t="s">
        <v>9603</v>
      </c>
      <c r="I2550" s="324">
        <v>70485</v>
      </c>
      <c r="J2550" s="324"/>
      <c r="K2550" s="326"/>
      <c r="L2550" s="324" t="s">
        <v>364</v>
      </c>
      <c r="M2550" s="324" t="s">
        <v>364</v>
      </c>
      <c r="N2550" s="324" t="s">
        <v>364</v>
      </c>
      <c r="O2550" s="324" t="s">
        <v>364</v>
      </c>
      <c r="P2550" s="384" t="s">
        <v>9601</v>
      </c>
      <c r="Q2550" s="324"/>
      <c r="R2550" s="324">
        <v>1</v>
      </c>
      <c r="S2550" s="324">
        <v>1</v>
      </c>
      <c r="T2550" s="512" t="e">
        <f>_xlfn.XLOOKUP(H2550,#REF!,#REF!,0,0)</f>
        <v>#REF!</v>
      </c>
    </row>
    <row r="2551" spans="1:20" s="295" customFormat="1" ht="18" customHeight="1" x14ac:dyDescent="0.4">
      <c r="A2551" s="2" t="s">
        <v>9604</v>
      </c>
      <c r="B2551" s="2" t="s">
        <v>9605</v>
      </c>
      <c r="C2551" s="2" t="s">
        <v>433</v>
      </c>
      <c r="D2551" s="2" t="s">
        <v>3778</v>
      </c>
      <c r="E2551" s="1" t="s">
        <v>10</v>
      </c>
      <c r="F2551" s="1" t="s">
        <v>436</v>
      </c>
      <c r="G2551" s="2">
        <v>45446</v>
      </c>
      <c r="H2551" s="2" t="s">
        <v>9606</v>
      </c>
      <c r="I2551" s="1">
        <v>76551</v>
      </c>
      <c r="J2551" s="2" t="s">
        <v>9607</v>
      </c>
      <c r="K2551" s="2" t="s">
        <v>9608</v>
      </c>
      <c r="L2551" s="2" t="s">
        <v>364</v>
      </c>
      <c r="M2551" s="2" t="s">
        <v>364</v>
      </c>
      <c r="N2551" s="2" t="s">
        <v>364</v>
      </c>
      <c r="O2551" s="2" t="s">
        <v>364</v>
      </c>
      <c r="P2551" s="488" t="s">
        <v>523</v>
      </c>
      <c r="Q2551" s="1" t="str">
        <f>IF(A2551="SCORTA 10",1,"")</f>
        <v/>
      </c>
      <c r="R2551" s="1">
        <f t="shared" ref="R2551:S2555" si="27">IF(H2551&lt;&gt;"",1,"")</f>
        <v>1</v>
      </c>
      <c r="S2551" s="1">
        <f t="shared" si="27"/>
        <v>1</v>
      </c>
      <c r="T2551" s="512" t="e">
        <f>_xlfn.XLOOKUP(H2551,#REF!,#REF!,0,0)</f>
        <v>#REF!</v>
      </c>
    </row>
    <row r="2552" spans="1:20" s="295" customFormat="1" ht="18" customHeight="1" x14ac:dyDescent="0.4">
      <c r="A2552" s="2" t="s">
        <v>9609</v>
      </c>
      <c r="B2552" s="2" t="s">
        <v>9610</v>
      </c>
      <c r="C2552" s="2" t="s">
        <v>433</v>
      </c>
      <c r="D2552" s="2" t="s">
        <v>693</v>
      </c>
      <c r="E2552" s="1" t="s">
        <v>10</v>
      </c>
      <c r="F2552" s="1" t="s">
        <v>436</v>
      </c>
      <c r="G2552" s="2">
        <v>45446</v>
      </c>
      <c r="H2552" s="2" t="s">
        <v>9611</v>
      </c>
      <c r="I2552" s="1">
        <v>76555</v>
      </c>
      <c r="J2552" s="2" t="s">
        <v>9612</v>
      </c>
      <c r="K2552" s="2"/>
      <c r="L2552" s="2" t="s">
        <v>364</v>
      </c>
      <c r="M2552" s="2" t="s">
        <v>364</v>
      </c>
      <c r="N2552" s="2" t="s">
        <v>364</v>
      </c>
      <c r="O2552" s="2" t="s">
        <v>364</v>
      </c>
      <c r="P2552" s="488" t="s">
        <v>9613</v>
      </c>
      <c r="Q2552" s="1" t="str">
        <f>IF(A2552="SCORTA 10",1,"")</f>
        <v/>
      </c>
      <c r="R2552" s="1">
        <f t="shared" si="27"/>
        <v>1</v>
      </c>
      <c r="S2552" s="1">
        <f t="shared" si="27"/>
        <v>1</v>
      </c>
      <c r="T2552" s="512" t="e">
        <f>_xlfn.XLOOKUP(H2552,#REF!,#REF!,0,0)</f>
        <v>#REF!</v>
      </c>
    </row>
    <row r="2553" spans="1:20" s="295" customFormat="1" ht="18" customHeight="1" x14ac:dyDescent="0.4">
      <c r="A2553" s="2" t="s">
        <v>9614</v>
      </c>
      <c r="B2553" s="1" t="s">
        <v>9615</v>
      </c>
      <c r="C2553" s="1" t="s">
        <v>433</v>
      </c>
      <c r="D2553" s="303" t="s">
        <v>3778</v>
      </c>
      <c r="E2553" s="2" t="s">
        <v>366</v>
      </c>
      <c r="F2553" s="2" t="s">
        <v>367</v>
      </c>
      <c r="G2553" s="2">
        <v>45415</v>
      </c>
      <c r="H2553" s="2" t="s">
        <v>9616</v>
      </c>
      <c r="I2553" s="1">
        <v>73765</v>
      </c>
      <c r="J2553" s="1" t="s">
        <v>9617</v>
      </c>
      <c r="K2553" s="2">
        <v>45499</v>
      </c>
      <c r="L2553" s="1" t="s">
        <v>364</v>
      </c>
      <c r="M2553" s="1" t="s">
        <v>364</v>
      </c>
      <c r="N2553" s="1" t="s">
        <v>364</v>
      </c>
      <c r="O2553" s="1" t="s">
        <v>364</v>
      </c>
      <c r="P2553" s="487"/>
      <c r="Q2553" s="281" t="str">
        <f>IF(A2553="SCORTA 10",1,"")</f>
        <v/>
      </c>
      <c r="R2553" s="1">
        <f t="shared" si="27"/>
        <v>1</v>
      </c>
      <c r="S2553" s="1">
        <f t="shared" si="27"/>
        <v>1</v>
      </c>
      <c r="T2553" s="512" t="e">
        <f>_xlfn.XLOOKUP(H2553,#REF!,#REF!,0,0)</f>
        <v>#REF!</v>
      </c>
    </row>
    <row r="2554" spans="1:20" s="295" customFormat="1" ht="18" customHeight="1" x14ac:dyDescent="0.4">
      <c r="A2554" s="2" t="s">
        <v>9618</v>
      </c>
      <c r="B2554" s="1" t="s">
        <v>9619</v>
      </c>
      <c r="C2554" s="1" t="s">
        <v>433</v>
      </c>
      <c r="D2554" s="303" t="s">
        <v>8127</v>
      </c>
      <c r="E2554" s="2" t="s">
        <v>366</v>
      </c>
      <c r="F2554" s="2" t="s">
        <v>367</v>
      </c>
      <c r="G2554" s="2">
        <v>45415</v>
      </c>
      <c r="H2554" s="2" t="s">
        <v>9620</v>
      </c>
      <c r="I2554" s="1">
        <v>73767</v>
      </c>
      <c r="J2554" s="1" t="s">
        <v>9621</v>
      </c>
      <c r="K2554" s="2" t="s">
        <v>9622</v>
      </c>
      <c r="L2554" s="1" t="s">
        <v>364</v>
      </c>
      <c r="M2554" s="1" t="s">
        <v>364</v>
      </c>
      <c r="N2554" s="1" t="s">
        <v>364</v>
      </c>
      <c r="O2554" s="1" t="s">
        <v>364</v>
      </c>
      <c r="P2554" s="487"/>
      <c r="Q2554" s="281" t="str">
        <f>IF(A2554="SCORTA 10",1,"")</f>
        <v/>
      </c>
      <c r="R2554" s="1">
        <f t="shared" si="27"/>
        <v>1</v>
      </c>
      <c r="S2554" s="1">
        <f t="shared" si="27"/>
        <v>1</v>
      </c>
      <c r="T2554" s="512" t="e">
        <f>_xlfn.XLOOKUP(H2554,#REF!,#REF!,0,0)</f>
        <v>#REF!</v>
      </c>
    </row>
    <row r="2555" spans="1:20" s="295" customFormat="1" ht="18" customHeight="1" x14ac:dyDescent="0.4">
      <c r="A2555" s="2" t="s">
        <v>9623</v>
      </c>
      <c r="B2555" s="2" t="s">
        <v>9624</v>
      </c>
      <c r="C2555" s="2" t="s">
        <v>433</v>
      </c>
      <c r="D2555" s="2" t="s">
        <v>8127</v>
      </c>
      <c r="E2555" s="1" t="s">
        <v>10</v>
      </c>
      <c r="F2555" s="1" t="s">
        <v>436</v>
      </c>
      <c r="G2555" s="2">
        <v>45446</v>
      </c>
      <c r="H2555" s="2" t="s">
        <v>9625</v>
      </c>
      <c r="I2555" s="1">
        <v>76554</v>
      </c>
      <c r="J2555" s="2" t="s">
        <v>9626</v>
      </c>
      <c r="K2555" s="2" t="s">
        <v>9627</v>
      </c>
      <c r="L2555" s="2" t="s">
        <v>364</v>
      </c>
      <c r="M2555" s="2" t="s">
        <v>364</v>
      </c>
      <c r="N2555" s="2" t="s">
        <v>364</v>
      </c>
      <c r="O2555" s="2" t="s">
        <v>364</v>
      </c>
      <c r="P2555" s="488" t="s">
        <v>5255</v>
      </c>
      <c r="Q2555" s="1" t="str">
        <f>IF(A2555="SCORTA 10",1,"")</f>
        <v/>
      </c>
      <c r="R2555" s="1">
        <f t="shared" si="27"/>
        <v>1</v>
      </c>
      <c r="S2555" s="1">
        <f t="shared" si="27"/>
        <v>1</v>
      </c>
      <c r="T2555" s="512" t="e">
        <f>_xlfn.XLOOKUP(H2555,#REF!,#REF!,0,0)</f>
        <v>#REF!</v>
      </c>
    </row>
    <row r="2556" spans="1:20" s="514" customFormat="1" ht="18" customHeight="1" x14ac:dyDescent="0.4">
      <c r="A2556" s="324" t="s">
        <v>9628</v>
      </c>
      <c r="B2556" s="355" t="s">
        <v>9629</v>
      </c>
      <c r="C2556" s="325" t="s">
        <v>433</v>
      </c>
      <c r="D2556" s="324" t="s">
        <v>8127</v>
      </c>
      <c r="E2556" s="324" t="s">
        <v>10</v>
      </c>
      <c r="F2556" s="324" t="s">
        <v>9630</v>
      </c>
      <c r="G2556" s="326">
        <v>45633</v>
      </c>
      <c r="H2556" s="324" t="s">
        <v>9631</v>
      </c>
      <c r="I2556" s="324">
        <v>76004</v>
      </c>
      <c r="J2556" s="324" t="s">
        <v>9632</v>
      </c>
      <c r="K2556" s="326" t="s">
        <v>9633</v>
      </c>
      <c r="L2556" s="2" t="s">
        <v>364</v>
      </c>
      <c r="M2556" s="2" t="s">
        <v>364</v>
      </c>
      <c r="N2556" s="2" t="s">
        <v>364</v>
      </c>
      <c r="O2556" s="2" t="s">
        <v>364</v>
      </c>
      <c r="P2556" s="384" t="s">
        <v>9634</v>
      </c>
      <c r="Q2556" s="324"/>
      <c r="R2556" s="324">
        <v>1</v>
      </c>
      <c r="S2556" s="324">
        <v>1</v>
      </c>
      <c r="T2556" s="512" t="e">
        <f>_xlfn.XLOOKUP(H2556,#REF!,#REF!,0,0)</f>
        <v>#REF!</v>
      </c>
    </row>
    <row r="2557" spans="1:20" s="301" customFormat="1" x14ac:dyDescent="0.4">
      <c r="A2557" s="322" t="s">
        <v>9635</v>
      </c>
      <c r="B2557" s="322" t="s">
        <v>9636</v>
      </c>
      <c r="C2557" s="322" t="s">
        <v>433</v>
      </c>
      <c r="D2557" s="322" t="s">
        <v>8127</v>
      </c>
      <c r="E2557" s="322" t="s">
        <v>10</v>
      </c>
      <c r="F2557" s="322" t="s">
        <v>8771</v>
      </c>
      <c r="G2557" s="323">
        <v>45243</v>
      </c>
      <c r="H2557" s="322" t="s">
        <v>9637</v>
      </c>
      <c r="I2557" s="322">
        <v>73318</v>
      </c>
      <c r="J2557" s="322" t="s">
        <v>9638</v>
      </c>
      <c r="K2557" s="322" t="s">
        <v>9639</v>
      </c>
      <c r="L2557" s="2" t="s">
        <v>364</v>
      </c>
      <c r="M2557" s="2" t="s">
        <v>364</v>
      </c>
      <c r="N2557" s="2" t="s">
        <v>364</v>
      </c>
      <c r="O2557" s="2" t="s">
        <v>364</v>
      </c>
      <c r="P2557" s="497" t="s">
        <v>9640</v>
      </c>
      <c r="Q2557" s="322" t="str">
        <f>IF(A2557="SCORTA 15",1,"")</f>
        <v/>
      </c>
      <c r="R2557" s="322">
        <v>1</v>
      </c>
      <c r="S2557" s="322">
        <v>1</v>
      </c>
      <c r="T2557" s="512" t="e">
        <f>_xlfn.XLOOKUP(H2557,#REF!,#REF!,0,0)</f>
        <v>#REF!</v>
      </c>
    </row>
    <row r="2558" spans="1:20" s="301" customFormat="1" x14ac:dyDescent="0.4">
      <c r="A2558" s="321" t="s">
        <v>9641</v>
      </c>
      <c r="B2558" s="321" t="s">
        <v>9642</v>
      </c>
      <c r="C2558" s="322" t="s">
        <v>433</v>
      </c>
      <c r="D2558" s="321" t="s">
        <v>8127</v>
      </c>
      <c r="E2558" s="321" t="s">
        <v>10</v>
      </c>
      <c r="F2558" s="321" t="s">
        <v>8771</v>
      </c>
      <c r="G2558" s="321">
        <v>45243</v>
      </c>
      <c r="H2558" s="321" t="s">
        <v>9643</v>
      </c>
      <c r="I2558" s="519">
        <v>73317</v>
      </c>
      <c r="J2558" s="321" t="s">
        <v>9644</v>
      </c>
      <c r="K2558" s="321" t="s">
        <v>9645</v>
      </c>
      <c r="L2558" s="2" t="s">
        <v>364</v>
      </c>
      <c r="M2558" s="2" t="s">
        <v>364</v>
      </c>
      <c r="N2558" s="2" t="s">
        <v>364</v>
      </c>
      <c r="O2558" s="2" t="s">
        <v>364</v>
      </c>
      <c r="P2558" s="540" t="s">
        <v>9646</v>
      </c>
      <c r="Q2558" s="321" t="str">
        <f>IF(A2558="SCORTA 15",1,"")</f>
        <v/>
      </c>
      <c r="R2558" s="519">
        <v>1</v>
      </c>
      <c r="S2558" s="519">
        <v>1</v>
      </c>
      <c r="T2558" s="512" t="e">
        <f>_xlfn.XLOOKUP(H2558,#REF!,#REF!,0,0)</f>
        <v>#REF!</v>
      </c>
    </row>
    <row r="2559" spans="1:20" s="301" customFormat="1" x14ac:dyDescent="0.4">
      <c r="A2559" s="325" t="s">
        <v>9647</v>
      </c>
      <c r="B2559" s="325" t="s">
        <v>9648</v>
      </c>
      <c r="C2559" s="325" t="s">
        <v>433</v>
      </c>
      <c r="D2559" s="325" t="s">
        <v>8127</v>
      </c>
      <c r="E2559" s="325" t="s">
        <v>10</v>
      </c>
      <c r="F2559" s="322" t="s">
        <v>8771</v>
      </c>
      <c r="G2559" s="333">
        <v>45271</v>
      </c>
      <c r="H2559" s="325" t="s">
        <v>8772</v>
      </c>
      <c r="I2559" s="325">
        <v>76003</v>
      </c>
      <c r="J2559" s="1" t="s">
        <v>8773</v>
      </c>
      <c r="K2559" s="325" t="s">
        <v>9649</v>
      </c>
      <c r="L2559" s="2" t="s">
        <v>364</v>
      </c>
      <c r="M2559" s="2" t="s">
        <v>364</v>
      </c>
      <c r="N2559" s="2" t="s">
        <v>364</v>
      </c>
      <c r="O2559" s="2" t="s">
        <v>364</v>
      </c>
      <c r="P2559" s="541" t="s">
        <v>9650</v>
      </c>
      <c r="Q2559" s="325"/>
      <c r="R2559" s="325">
        <v>1</v>
      </c>
      <c r="S2559" s="325">
        <v>1</v>
      </c>
      <c r="T2559" s="512" t="e">
        <f>_xlfn.XLOOKUP(H2559,#REF!,#REF!,0,0)</f>
        <v>#REF!</v>
      </c>
    </row>
    <row r="2560" spans="1:20" s="295" customFormat="1" ht="18" customHeight="1" x14ac:dyDescent="0.4">
      <c r="A2560" s="2" t="s">
        <v>9651</v>
      </c>
      <c r="B2560" s="2" t="s">
        <v>9652</v>
      </c>
      <c r="C2560" s="2" t="s">
        <v>433</v>
      </c>
      <c r="D2560" s="2" t="s">
        <v>8127</v>
      </c>
      <c r="E2560" s="1" t="s">
        <v>10</v>
      </c>
      <c r="F2560" s="1" t="s">
        <v>436</v>
      </c>
      <c r="G2560" s="2">
        <v>45446</v>
      </c>
      <c r="H2560" s="2" t="s">
        <v>9653</v>
      </c>
      <c r="I2560" s="1">
        <v>76557</v>
      </c>
      <c r="J2560" s="2" t="s">
        <v>9654</v>
      </c>
      <c r="K2560" s="2">
        <v>45511</v>
      </c>
      <c r="L2560" s="2" t="s">
        <v>364</v>
      </c>
      <c r="M2560" s="2" t="s">
        <v>364</v>
      </c>
      <c r="N2560" s="2" t="s">
        <v>364</v>
      </c>
      <c r="O2560" s="2" t="s">
        <v>364</v>
      </c>
      <c r="P2560" s="488" t="s">
        <v>9655</v>
      </c>
      <c r="Q2560" s="1" t="str">
        <f t="shared" ref="Q2560:Q2567" si="28">IF(A2560="SCORTA 10",1,"")</f>
        <v/>
      </c>
      <c r="R2560" s="1">
        <f t="shared" ref="R2560:R2567" si="29">IF(H2560&lt;&gt;"",1,"")</f>
        <v>1</v>
      </c>
      <c r="S2560" s="1">
        <f t="shared" ref="S2560:S2567" si="30">IF(I2560&lt;&gt;"",1,"")</f>
        <v>1</v>
      </c>
      <c r="T2560" s="512" t="e">
        <f>_xlfn.XLOOKUP(H2560,#REF!,#REF!,0,0)</f>
        <v>#REF!</v>
      </c>
    </row>
    <row r="2561" spans="1:20" s="295" customFormat="1" ht="18" customHeight="1" x14ac:dyDescent="0.4">
      <c r="A2561" s="2" t="s">
        <v>9656</v>
      </c>
      <c r="B2561" s="2" t="s">
        <v>9657</v>
      </c>
      <c r="C2561" s="2" t="s">
        <v>433</v>
      </c>
      <c r="D2561" s="2" t="s">
        <v>8127</v>
      </c>
      <c r="E2561" s="1" t="s">
        <v>10</v>
      </c>
      <c r="F2561" s="1" t="s">
        <v>436</v>
      </c>
      <c r="G2561" s="2">
        <v>45446</v>
      </c>
      <c r="H2561" s="2" t="s">
        <v>9658</v>
      </c>
      <c r="I2561" s="1">
        <v>76559</v>
      </c>
      <c r="J2561" s="2" t="s">
        <v>9659</v>
      </c>
      <c r="K2561" s="2">
        <v>45512</v>
      </c>
      <c r="L2561" s="2" t="s">
        <v>364</v>
      </c>
      <c r="M2561" s="2" t="s">
        <v>364</v>
      </c>
      <c r="N2561" s="2" t="s">
        <v>364</v>
      </c>
      <c r="O2561" s="2" t="s">
        <v>364</v>
      </c>
      <c r="P2561" s="488"/>
      <c r="Q2561" s="1" t="str">
        <f t="shared" si="28"/>
        <v/>
      </c>
      <c r="R2561" s="1">
        <f t="shared" si="29"/>
        <v>1</v>
      </c>
      <c r="S2561" s="1">
        <f t="shared" si="30"/>
        <v>1</v>
      </c>
      <c r="T2561" s="512" t="e">
        <f>_xlfn.XLOOKUP(H2561,#REF!,#REF!,0,0)</f>
        <v>#REF!</v>
      </c>
    </row>
    <row r="2562" spans="1:20" s="513" customFormat="1" ht="18" customHeight="1" x14ac:dyDescent="0.4">
      <c r="A2562" s="2" t="s">
        <v>9660</v>
      </c>
      <c r="B2562" s="2" t="s">
        <v>9661</v>
      </c>
      <c r="C2562" s="2" t="s">
        <v>433</v>
      </c>
      <c r="D2562" s="2"/>
      <c r="E2562" s="2" t="s">
        <v>10</v>
      </c>
      <c r="F2562" s="2" t="s">
        <v>8665</v>
      </c>
      <c r="G2562" s="2">
        <v>45278</v>
      </c>
      <c r="H2562" s="2" t="s">
        <v>9662</v>
      </c>
      <c r="I2562" s="1">
        <v>73628</v>
      </c>
      <c r="J2562" s="2" t="s">
        <v>9663</v>
      </c>
      <c r="K2562" s="2" t="s">
        <v>9664</v>
      </c>
      <c r="L2562" s="2" t="s">
        <v>364</v>
      </c>
      <c r="M2562" s="2" t="s">
        <v>364</v>
      </c>
      <c r="N2562" s="2" t="s">
        <v>364</v>
      </c>
      <c r="O2562" s="2" t="s">
        <v>364</v>
      </c>
      <c r="P2562" s="488" t="s">
        <v>9665</v>
      </c>
      <c r="Q2562" s="281" t="str">
        <f t="shared" si="28"/>
        <v/>
      </c>
      <c r="R2562" s="1">
        <f t="shared" si="29"/>
        <v>1</v>
      </c>
      <c r="S2562" s="1">
        <f t="shared" si="30"/>
        <v>1</v>
      </c>
      <c r="T2562" s="512" t="e">
        <f>_xlfn.XLOOKUP(H2562,#REF!,#REF!,0,0)</f>
        <v>#REF!</v>
      </c>
    </row>
    <row r="2563" spans="1:20" s="295" customFormat="1" ht="18" customHeight="1" x14ac:dyDescent="0.4">
      <c r="A2563" s="2" t="s">
        <v>9666</v>
      </c>
      <c r="B2563" s="1" t="s">
        <v>9667</v>
      </c>
      <c r="C2563" s="1" t="s">
        <v>433</v>
      </c>
      <c r="D2563" s="303" t="s">
        <v>8127</v>
      </c>
      <c r="E2563" s="2" t="s">
        <v>366</v>
      </c>
      <c r="F2563" s="2" t="s">
        <v>367</v>
      </c>
      <c r="G2563" s="2">
        <v>45415</v>
      </c>
      <c r="H2563" s="2" t="s">
        <v>9668</v>
      </c>
      <c r="I2563" s="1">
        <v>73768</v>
      </c>
      <c r="J2563" s="1" t="s">
        <v>9669</v>
      </c>
      <c r="K2563" s="2"/>
      <c r="L2563" s="2" t="s">
        <v>364</v>
      </c>
      <c r="M2563" s="2" t="s">
        <v>364</v>
      </c>
      <c r="N2563" s="2" t="s">
        <v>364</v>
      </c>
      <c r="O2563" s="2" t="s">
        <v>364</v>
      </c>
      <c r="P2563" s="487"/>
      <c r="Q2563" s="281" t="str">
        <f t="shared" si="28"/>
        <v/>
      </c>
      <c r="R2563" s="1">
        <f t="shared" si="29"/>
        <v>1</v>
      </c>
      <c r="S2563" s="1">
        <f t="shared" si="30"/>
        <v>1</v>
      </c>
      <c r="T2563" s="512" t="e">
        <f>_xlfn.XLOOKUP(H2563,#REF!,#REF!,0,0)</f>
        <v>#REF!</v>
      </c>
    </row>
    <row r="2564" spans="1:20" s="295" customFormat="1" ht="18" customHeight="1" x14ac:dyDescent="0.4">
      <c r="A2564" s="2" t="s">
        <v>9670</v>
      </c>
      <c r="B2564" s="1" t="s">
        <v>9671</v>
      </c>
      <c r="C2564" s="1" t="s">
        <v>433</v>
      </c>
      <c r="D2564" s="303" t="s">
        <v>8127</v>
      </c>
      <c r="E2564" s="2" t="s">
        <v>366</v>
      </c>
      <c r="F2564" s="2" t="s">
        <v>367</v>
      </c>
      <c r="G2564" s="2">
        <v>45415</v>
      </c>
      <c r="H2564" s="2" t="s">
        <v>9672</v>
      </c>
      <c r="I2564" s="1">
        <v>73759</v>
      </c>
      <c r="J2564" s="1" t="s">
        <v>9673</v>
      </c>
      <c r="K2564" s="2" t="s">
        <v>9674</v>
      </c>
      <c r="L2564" s="2" t="s">
        <v>364</v>
      </c>
      <c r="M2564" s="2" t="s">
        <v>364</v>
      </c>
      <c r="N2564" s="2" t="s">
        <v>364</v>
      </c>
      <c r="O2564" s="2" t="s">
        <v>364</v>
      </c>
      <c r="P2564" s="487" t="s">
        <v>6262</v>
      </c>
      <c r="Q2564" s="281" t="str">
        <f t="shared" si="28"/>
        <v/>
      </c>
      <c r="R2564" s="1">
        <f t="shared" si="29"/>
        <v>1</v>
      </c>
      <c r="S2564" s="1">
        <f t="shared" si="30"/>
        <v>1</v>
      </c>
      <c r="T2564" s="512" t="e">
        <f>_xlfn.XLOOKUP(H2564,#REF!,#REF!,0,0)</f>
        <v>#REF!</v>
      </c>
    </row>
    <row r="2565" spans="1:20" s="295" customFormat="1" ht="18" customHeight="1" x14ac:dyDescent="0.4">
      <c r="A2565" s="2" t="s">
        <v>9675</v>
      </c>
      <c r="B2565" s="1" t="s">
        <v>9676</v>
      </c>
      <c r="C2565" s="1" t="s">
        <v>435</v>
      </c>
      <c r="D2565" s="303" t="s">
        <v>8127</v>
      </c>
      <c r="E2565" s="2" t="s">
        <v>366</v>
      </c>
      <c r="F2565" s="2" t="s">
        <v>367</v>
      </c>
      <c r="G2565" s="2">
        <v>45415</v>
      </c>
      <c r="H2565" s="2" t="s">
        <v>9677</v>
      </c>
      <c r="I2565" s="1">
        <v>73769</v>
      </c>
      <c r="J2565" s="1" t="s">
        <v>9678</v>
      </c>
      <c r="K2565" s="2">
        <v>45536</v>
      </c>
      <c r="L2565" s="1" t="s">
        <v>364</v>
      </c>
      <c r="M2565" s="1" t="s">
        <v>364</v>
      </c>
      <c r="N2565" s="1" t="s">
        <v>364</v>
      </c>
      <c r="O2565" s="1" t="s">
        <v>364</v>
      </c>
      <c r="P2565" s="488" t="s">
        <v>9679</v>
      </c>
      <c r="Q2565" s="281" t="str">
        <f t="shared" si="28"/>
        <v/>
      </c>
      <c r="R2565" s="1">
        <f t="shared" si="29"/>
        <v>1</v>
      </c>
      <c r="S2565" s="1">
        <f t="shared" si="30"/>
        <v>1</v>
      </c>
      <c r="T2565" s="512" t="e">
        <f>_xlfn.XLOOKUP(H2565,#REF!,#REF!,0,0)</f>
        <v>#REF!</v>
      </c>
    </row>
    <row r="2566" spans="1:20" s="295" customFormat="1" ht="18" customHeight="1" x14ac:dyDescent="0.4">
      <c r="A2566" s="2" t="s">
        <v>9680</v>
      </c>
      <c r="B2566" s="315" t="s">
        <v>9681</v>
      </c>
      <c r="C2566" s="2" t="s">
        <v>435</v>
      </c>
      <c r="D2566" s="2" t="s">
        <v>8127</v>
      </c>
      <c r="E2566" s="1" t="s">
        <v>10</v>
      </c>
      <c r="F2566" s="1" t="s">
        <v>436</v>
      </c>
      <c r="G2566" s="2">
        <v>45446</v>
      </c>
      <c r="H2566" s="2" t="s">
        <v>9682</v>
      </c>
      <c r="I2566" s="1">
        <v>76556</v>
      </c>
      <c r="J2566" s="2" t="s">
        <v>9683</v>
      </c>
      <c r="K2566" s="2">
        <v>45536</v>
      </c>
      <c r="L2566" s="2" t="s">
        <v>364</v>
      </c>
      <c r="M2566" s="2" t="s">
        <v>364</v>
      </c>
      <c r="N2566" s="2" t="s">
        <v>364</v>
      </c>
      <c r="O2566" s="2" t="s">
        <v>364</v>
      </c>
      <c r="P2566" s="488" t="s">
        <v>9684</v>
      </c>
      <c r="Q2566" s="1" t="str">
        <f t="shared" si="28"/>
        <v/>
      </c>
      <c r="R2566" s="1">
        <f t="shared" si="29"/>
        <v>1</v>
      </c>
      <c r="S2566" s="1">
        <f t="shared" si="30"/>
        <v>1</v>
      </c>
      <c r="T2566" s="512" t="e">
        <f>_xlfn.XLOOKUP(H2566,#REF!,#REF!,0,0)</f>
        <v>#REF!</v>
      </c>
    </row>
    <row r="2567" spans="1:20" s="295" customFormat="1" ht="18" customHeight="1" x14ac:dyDescent="0.4">
      <c r="A2567" s="367" t="s">
        <v>9685</v>
      </c>
      <c r="B2567" s="2" t="s">
        <v>9686</v>
      </c>
      <c r="C2567" s="368" t="s">
        <v>433</v>
      </c>
      <c r="D2567" s="2" t="s">
        <v>8127</v>
      </c>
      <c r="E2567" s="1" t="s">
        <v>10</v>
      </c>
      <c r="F2567" s="1" t="s">
        <v>436</v>
      </c>
      <c r="G2567" s="2">
        <v>45446</v>
      </c>
      <c r="H2567" s="2" t="s">
        <v>9687</v>
      </c>
      <c r="I2567" s="1">
        <v>76558</v>
      </c>
      <c r="J2567" s="2" t="s">
        <v>9688</v>
      </c>
      <c r="K2567" s="2">
        <v>45470</v>
      </c>
      <c r="L2567" s="2" t="s">
        <v>364</v>
      </c>
      <c r="M2567" s="2" t="s">
        <v>364</v>
      </c>
      <c r="N2567" s="2" t="s">
        <v>364</v>
      </c>
      <c r="O2567" s="2" t="s">
        <v>364</v>
      </c>
      <c r="P2567" s="488" t="s">
        <v>9689</v>
      </c>
      <c r="Q2567" s="1" t="str">
        <f t="shared" si="28"/>
        <v/>
      </c>
      <c r="R2567" s="1">
        <f t="shared" si="29"/>
        <v>1</v>
      </c>
      <c r="S2567" s="1">
        <f t="shared" si="30"/>
        <v>1</v>
      </c>
      <c r="T2567" s="512" t="e">
        <f>_xlfn.XLOOKUP(H2567,#REF!,#REF!,0,0)</f>
        <v>#REF!</v>
      </c>
    </row>
    <row r="2568" spans="1:20" s="514" customFormat="1" ht="18" customHeight="1" x14ac:dyDescent="0.4">
      <c r="A2568" s="361" t="s">
        <v>9690</v>
      </c>
      <c r="B2568" s="324" t="s">
        <v>9691</v>
      </c>
      <c r="C2568" s="362" t="s">
        <v>433</v>
      </c>
      <c r="D2568" s="324" t="s">
        <v>693</v>
      </c>
      <c r="E2568" s="324" t="s">
        <v>10</v>
      </c>
      <c r="F2568" s="324" t="s">
        <v>68</v>
      </c>
      <c r="G2568" s="324"/>
      <c r="H2568" s="324" t="s">
        <v>6496</v>
      </c>
      <c r="I2568" s="324">
        <v>71239</v>
      </c>
      <c r="J2568" s="324"/>
      <c r="K2568" s="337">
        <v>45531</v>
      </c>
      <c r="L2568" s="2" t="s">
        <v>364</v>
      </c>
      <c r="M2568" s="2" t="s">
        <v>364</v>
      </c>
      <c r="N2568" s="2" t="s">
        <v>364</v>
      </c>
      <c r="O2568" s="2" t="s">
        <v>364</v>
      </c>
      <c r="P2568" s="384" t="s">
        <v>523</v>
      </c>
      <c r="Q2568" s="324"/>
      <c r="R2568" s="324">
        <v>1</v>
      </c>
      <c r="S2568" s="324">
        <v>1</v>
      </c>
      <c r="T2568" s="512" t="e">
        <f>_xlfn.XLOOKUP(H2568,#REF!,#REF!,0,0)</f>
        <v>#REF!</v>
      </c>
    </row>
    <row r="2569" spans="1:20" s="295" customFormat="1" ht="18" customHeight="1" x14ac:dyDescent="0.4">
      <c r="A2569" s="2" t="s">
        <v>9692</v>
      </c>
      <c r="B2569" s="1" t="s">
        <v>9693</v>
      </c>
      <c r="C2569" s="1" t="s">
        <v>433</v>
      </c>
      <c r="D2569" s="366" t="s">
        <v>8127</v>
      </c>
      <c r="E2569" s="2" t="s">
        <v>366</v>
      </c>
      <c r="F2569" s="2" t="s">
        <v>367</v>
      </c>
      <c r="G2569" s="2">
        <v>45415</v>
      </c>
      <c r="H2569" s="2" t="s">
        <v>9694</v>
      </c>
      <c r="I2569" s="1">
        <v>73774</v>
      </c>
      <c r="J2569" s="1" t="s">
        <v>9695</v>
      </c>
      <c r="K2569" s="2">
        <v>45531</v>
      </c>
      <c r="L2569" s="2" t="s">
        <v>364</v>
      </c>
      <c r="M2569" s="2" t="s">
        <v>364</v>
      </c>
      <c r="N2569" s="2" t="s">
        <v>364</v>
      </c>
      <c r="O2569" s="2" t="s">
        <v>364</v>
      </c>
      <c r="P2569" s="487" t="s">
        <v>7518</v>
      </c>
      <c r="Q2569" s="281" t="str">
        <f>IF(A2569="SCORTA 10",1,"")</f>
        <v/>
      </c>
      <c r="R2569" s="1">
        <f t="shared" ref="R2569:R2586" si="31">IF(H2569&lt;&gt;"",1,"")</f>
        <v>1</v>
      </c>
      <c r="S2569" s="1">
        <f t="shared" ref="S2569:S2586" si="32">IF(I2569&lt;&gt;"",1,"")</f>
        <v>1</v>
      </c>
      <c r="T2569" s="512" t="e">
        <f>_xlfn.XLOOKUP(H2569,#REF!,#REF!,0,0)</f>
        <v>#REF!</v>
      </c>
    </row>
    <row r="2570" spans="1:20" s="514" customFormat="1" ht="18" customHeight="1" x14ac:dyDescent="0.4">
      <c r="A2570" s="324" t="s">
        <v>9696</v>
      </c>
      <c r="B2570" s="324" t="s">
        <v>9697</v>
      </c>
      <c r="C2570" s="324" t="s">
        <v>433</v>
      </c>
      <c r="D2570" s="324" t="s">
        <v>8127</v>
      </c>
      <c r="E2570" s="324" t="s">
        <v>10</v>
      </c>
      <c r="F2570" s="324" t="s">
        <v>5909</v>
      </c>
      <c r="G2570" s="324"/>
      <c r="H2570" s="324" t="s">
        <v>6492</v>
      </c>
      <c r="I2570" s="324">
        <v>70454</v>
      </c>
      <c r="J2570" s="324" t="s">
        <v>9698</v>
      </c>
      <c r="K2570" s="324"/>
      <c r="L2570" s="2" t="s">
        <v>364</v>
      </c>
      <c r="M2570" s="2" t="s">
        <v>364</v>
      </c>
      <c r="N2570" s="2" t="s">
        <v>364</v>
      </c>
      <c r="O2570" s="2" t="s">
        <v>364</v>
      </c>
      <c r="P2570" s="384"/>
      <c r="Q2570" s="324"/>
      <c r="R2570" s="324">
        <f t="shared" si="31"/>
        <v>1</v>
      </c>
      <c r="S2570" s="324">
        <f t="shared" si="32"/>
        <v>1</v>
      </c>
      <c r="T2570" s="512" t="e">
        <f>_xlfn.XLOOKUP(H2570,#REF!,#REF!,0,0)</f>
        <v>#REF!</v>
      </c>
    </row>
    <row r="2571" spans="1:20" s="514" customFormat="1" ht="18" customHeight="1" x14ac:dyDescent="0.4">
      <c r="A2571" s="360" t="s">
        <v>9699</v>
      </c>
      <c r="B2571" s="360" t="s">
        <v>9700</v>
      </c>
      <c r="C2571" s="360" t="s">
        <v>433</v>
      </c>
      <c r="D2571" s="360" t="s">
        <v>8127</v>
      </c>
      <c r="E2571" s="360" t="s">
        <v>10</v>
      </c>
      <c r="F2571" s="360" t="s">
        <v>5909</v>
      </c>
      <c r="G2571" s="360"/>
      <c r="H2571" s="360" t="s">
        <v>9701</v>
      </c>
      <c r="I2571" s="360">
        <v>69168</v>
      </c>
      <c r="J2571" s="360" t="s">
        <v>9702</v>
      </c>
      <c r="K2571" s="360"/>
      <c r="L2571" s="2" t="s">
        <v>364</v>
      </c>
      <c r="M2571" s="2" t="s">
        <v>364</v>
      </c>
      <c r="N2571" s="2" t="s">
        <v>364</v>
      </c>
      <c r="O2571" s="2" t="s">
        <v>364</v>
      </c>
      <c r="P2571" s="496"/>
      <c r="Q2571" s="324"/>
      <c r="R2571" s="324">
        <f t="shared" si="31"/>
        <v>1</v>
      </c>
      <c r="S2571" s="324">
        <f t="shared" si="32"/>
        <v>1</v>
      </c>
      <c r="T2571" s="512" t="e">
        <f>_xlfn.XLOOKUP(H2571,#REF!,#REF!,0,0)</f>
        <v>#REF!</v>
      </c>
    </row>
    <row r="2572" spans="1:20" s="295" customFormat="1" ht="18" customHeight="1" x14ac:dyDescent="0.4">
      <c r="A2572" s="2" t="s">
        <v>9703</v>
      </c>
      <c r="B2572" s="2" t="s">
        <v>9704</v>
      </c>
      <c r="C2572" s="2" t="s">
        <v>433</v>
      </c>
      <c r="D2572" s="2" t="s">
        <v>8127</v>
      </c>
      <c r="E2572" s="1" t="s">
        <v>10</v>
      </c>
      <c r="F2572" s="1" t="s">
        <v>436</v>
      </c>
      <c r="G2572" s="2">
        <v>45446</v>
      </c>
      <c r="H2572" s="2" t="s">
        <v>9705</v>
      </c>
      <c r="I2572" s="1">
        <v>76560</v>
      </c>
      <c r="J2572" s="2" t="s">
        <v>9706</v>
      </c>
      <c r="K2572" s="2">
        <v>45538</v>
      </c>
      <c r="L2572" s="2" t="s">
        <v>364</v>
      </c>
      <c r="M2572" s="2" t="s">
        <v>364</v>
      </c>
      <c r="N2572" s="2" t="s">
        <v>364</v>
      </c>
      <c r="O2572" s="2" t="s">
        <v>364</v>
      </c>
      <c r="P2572" s="488"/>
      <c r="Q2572" s="1" t="str">
        <f>IF(A2572="SCORTA 10",1,"")</f>
        <v/>
      </c>
      <c r="R2572" s="1">
        <f t="shared" si="31"/>
        <v>1</v>
      </c>
      <c r="S2572" s="1">
        <f t="shared" si="32"/>
        <v>1</v>
      </c>
      <c r="T2572" s="512" t="e">
        <f>_xlfn.XLOOKUP(H2572,#REF!,#REF!,0,0)</f>
        <v>#REF!</v>
      </c>
    </row>
    <row r="2573" spans="1:20" s="295" customFormat="1" ht="18" customHeight="1" x14ac:dyDescent="0.4">
      <c r="A2573" s="2" t="s">
        <v>9707</v>
      </c>
      <c r="B2573" s="2" t="s">
        <v>9708</v>
      </c>
      <c r="C2573" s="2" t="s">
        <v>433</v>
      </c>
      <c r="D2573" s="2" t="s">
        <v>8127</v>
      </c>
      <c r="E2573" s="1" t="s">
        <v>10</v>
      </c>
      <c r="F2573" s="1" t="s">
        <v>436</v>
      </c>
      <c r="G2573" s="2">
        <v>45446</v>
      </c>
      <c r="H2573" s="2" t="s">
        <v>9709</v>
      </c>
      <c r="I2573" s="1">
        <v>76561</v>
      </c>
      <c r="J2573" s="2" t="s">
        <v>9710</v>
      </c>
      <c r="K2573" s="2" t="s">
        <v>9711</v>
      </c>
      <c r="L2573" s="2" t="s">
        <v>364</v>
      </c>
      <c r="M2573" s="2" t="s">
        <v>364</v>
      </c>
      <c r="N2573" s="2" t="s">
        <v>364</v>
      </c>
      <c r="O2573" s="2" t="s">
        <v>364</v>
      </c>
      <c r="P2573" s="488" t="s">
        <v>9712</v>
      </c>
      <c r="Q2573" s="1" t="str">
        <f>IF(A2573="SCORTA 10",1,"")</f>
        <v/>
      </c>
      <c r="R2573" s="1">
        <f t="shared" si="31"/>
        <v>1</v>
      </c>
      <c r="S2573" s="1">
        <f t="shared" si="32"/>
        <v>1</v>
      </c>
      <c r="T2573" s="512" t="e">
        <f>_xlfn.XLOOKUP(H2573,#REF!,#REF!,0,0)</f>
        <v>#REF!</v>
      </c>
    </row>
    <row r="2574" spans="1:20" s="514" customFormat="1" ht="18" customHeight="1" x14ac:dyDescent="0.4">
      <c r="A2574" s="324" t="s">
        <v>9713</v>
      </c>
      <c r="B2574" s="356" t="s">
        <v>9714</v>
      </c>
      <c r="C2574" s="325" t="s">
        <v>433</v>
      </c>
      <c r="D2574" s="324" t="s">
        <v>8127</v>
      </c>
      <c r="E2574" s="324" t="s">
        <v>10</v>
      </c>
      <c r="F2574" s="324" t="s">
        <v>682</v>
      </c>
      <c r="G2574" s="326"/>
      <c r="H2574" s="324" t="s">
        <v>748</v>
      </c>
      <c r="I2574" s="324">
        <v>69597</v>
      </c>
      <c r="J2574" s="324" t="s">
        <v>749</v>
      </c>
      <c r="K2574" s="326">
        <v>45538</v>
      </c>
      <c r="L2574" s="2" t="s">
        <v>364</v>
      </c>
      <c r="M2574" s="2" t="s">
        <v>364</v>
      </c>
      <c r="N2574" s="2" t="s">
        <v>364</v>
      </c>
      <c r="O2574" s="2" t="s">
        <v>364</v>
      </c>
      <c r="P2574" s="384" t="s">
        <v>9655</v>
      </c>
      <c r="Q2574" s="324"/>
      <c r="R2574" s="324">
        <f t="shared" si="31"/>
        <v>1</v>
      </c>
      <c r="S2574" s="324">
        <f t="shared" si="32"/>
        <v>1</v>
      </c>
      <c r="T2574" s="512" t="e">
        <f>_xlfn.XLOOKUP(H2574,#REF!,#REF!,0,0)</f>
        <v>#REF!</v>
      </c>
    </row>
    <row r="2575" spans="1:20" s="301" customFormat="1" x14ac:dyDescent="0.4">
      <c r="A2575" s="321" t="s">
        <v>9715</v>
      </c>
      <c r="B2575" s="321" t="s">
        <v>9716</v>
      </c>
      <c r="C2575" s="321" t="s">
        <v>433</v>
      </c>
      <c r="D2575" s="321" t="s">
        <v>8127</v>
      </c>
      <c r="E2575" s="321" t="s">
        <v>10</v>
      </c>
      <c r="F2575" s="321" t="s">
        <v>8771</v>
      </c>
      <c r="G2575" s="321">
        <v>45243</v>
      </c>
      <c r="H2575" s="321" t="s">
        <v>9717</v>
      </c>
      <c r="I2575" s="519">
        <v>73316</v>
      </c>
      <c r="J2575" s="321" t="s">
        <v>9718</v>
      </c>
      <c r="K2575" s="326">
        <v>45538</v>
      </c>
      <c r="L2575" s="2" t="s">
        <v>364</v>
      </c>
      <c r="M2575" s="2" t="s">
        <v>364</v>
      </c>
      <c r="N2575" s="2" t="s">
        <v>364</v>
      </c>
      <c r="O2575" s="2" t="s">
        <v>364</v>
      </c>
      <c r="P2575" s="540" t="s">
        <v>9719</v>
      </c>
      <c r="Q2575" s="321" t="str">
        <f>IF(A2575="SCORTA 15",1,"")</f>
        <v/>
      </c>
      <c r="R2575" s="324">
        <f t="shared" si="31"/>
        <v>1</v>
      </c>
      <c r="S2575" s="324">
        <f t="shared" si="32"/>
        <v>1</v>
      </c>
      <c r="T2575" s="512" t="e">
        <f>_xlfn.XLOOKUP(H2575,#REF!,#REF!,0,0)</f>
        <v>#REF!</v>
      </c>
    </row>
    <row r="2576" spans="1:20" s="514" customFormat="1" ht="18" customHeight="1" x14ac:dyDescent="0.4">
      <c r="A2576" s="324" t="s">
        <v>9720</v>
      </c>
      <c r="B2576" s="355" t="s">
        <v>9721</v>
      </c>
      <c r="C2576" s="325" t="s">
        <v>433</v>
      </c>
      <c r="D2576" s="324" t="s">
        <v>8127</v>
      </c>
      <c r="E2576" s="324" t="s">
        <v>10</v>
      </c>
      <c r="F2576" s="324" t="s">
        <v>9722</v>
      </c>
      <c r="G2576" s="326"/>
      <c r="H2576" s="324" t="s">
        <v>9723</v>
      </c>
      <c r="I2576" s="324">
        <v>73609</v>
      </c>
      <c r="J2576" s="324" t="s">
        <v>9724</v>
      </c>
      <c r="K2576" s="326"/>
      <c r="L2576" s="2" t="s">
        <v>364</v>
      </c>
      <c r="M2576" s="2" t="s">
        <v>364</v>
      </c>
      <c r="N2576" s="2" t="s">
        <v>364</v>
      </c>
      <c r="O2576" s="2" t="s">
        <v>364</v>
      </c>
      <c r="P2576" s="384" t="s">
        <v>9725</v>
      </c>
      <c r="Q2576" s="324"/>
      <c r="R2576" s="324">
        <f t="shared" si="31"/>
        <v>1</v>
      </c>
      <c r="S2576" s="324">
        <f t="shared" si="32"/>
        <v>1</v>
      </c>
      <c r="T2576" s="512" t="e">
        <f>_xlfn.XLOOKUP(H2576,#REF!,#REF!,0,0)</f>
        <v>#REF!</v>
      </c>
    </row>
    <row r="2577" spans="1:20" s="295" customFormat="1" ht="18" customHeight="1" x14ac:dyDescent="0.4">
      <c r="A2577" s="2" t="s">
        <v>9726</v>
      </c>
      <c r="B2577" s="1" t="s">
        <v>9727</v>
      </c>
      <c r="C2577" s="1" t="s">
        <v>433</v>
      </c>
      <c r="D2577" s="303" t="s">
        <v>8127</v>
      </c>
      <c r="E2577" s="2" t="s">
        <v>366</v>
      </c>
      <c r="F2577" s="2" t="s">
        <v>367</v>
      </c>
      <c r="G2577" s="2">
        <v>45415</v>
      </c>
      <c r="H2577" s="2" t="s">
        <v>9728</v>
      </c>
      <c r="I2577" s="1">
        <v>73772</v>
      </c>
      <c r="J2577" s="1" t="s">
        <v>9729</v>
      </c>
      <c r="K2577" s="2">
        <v>45537</v>
      </c>
      <c r="L2577" s="2" t="s">
        <v>364</v>
      </c>
      <c r="M2577" s="2" t="s">
        <v>364</v>
      </c>
      <c r="N2577" s="2" t="s">
        <v>364</v>
      </c>
      <c r="O2577" s="2" t="s">
        <v>364</v>
      </c>
      <c r="P2577" s="487"/>
      <c r="Q2577" s="281" t="str">
        <f>IF(A2577="SCORTA 10",1,"")</f>
        <v/>
      </c>
      <c r="R2577" s="1">
        <f t="shared" si="31"/>
        <v>1</v>
      </c>
      <c r="S2577" s="1">
        <f t="shared" si="32"/>
        <v>1</v>
      </c>
      <c r="T2577" s="512" t="e">
        <f>_xlfn.XLOOKUP(H2577,#REF!,#REF!,0,0)</f>
        <v>#REF!</v>
      </c>
    </row>
    <row r="2578" spans="1:20" s="513" customFormat="1" ht="18" customHeight="1" x14ac:dyDescent="0.4">
      <c r="A2578" s="2" t="s">
        <v>9730</v>
      </c>
      <c r="B2578" s="2" t="s">
        <v>9731</v>
      </c>
      <c r="C2578" s="2" t="s">
        <v>433</v>
      </c>
      <c r="D2578" s="2" t="s">
        <v>8127</v>
      </c>
      <c r="E2578" s="2" t="s">
        <v>366</v>
      </c>
      <c r="F2578" s="2" t="s">
        <v>367</v>
      </c>
      <c r="G2578" s="2">
        <v>45415</v>
      </c>
      <c r="H2578" s="2" t="s">
        <v>9732</v>
      </c>
      <c r="I2578" s="1">
        <v>73778</v>
      </c>
      <c r="J2578" s="2" t="s">
        <v>9733</v>
      </c>
      <c r="K2578" s="2">
        <v>45540</v>
      </c>
      <c r="L2578" s="2" t="s">
        <v>364</v>
      </c>
      <c r="M2578" s="2" t="s">
        <v>364</v>
      </c>
      <c r="N2578" s="2" t="s">
        <v>364</v>
      </c>
      <c r="O2578" s="2" t="s">
        <v>364</v>
      </c>
      <c r="P2578" s="488"/>
      <c r="Q2578" s="281" t="str">
        <f>IF(A2578="SCORTA 10",1,"")</f>
        <v/>
      </c>
      <c r="R2578" s="1">
        <f t="shared" si="31"/>
        <v>1</v>
      </c>
      <c r="S2578" s="1">
        <f t="shared" si="32"/>
        <v>1</v>
      </c>
      <c r="T2578" s="512" t="e">
        <f>_xlfn.XLOOKUP(H2578,#REF!,#REF!,0,0)</f>
        <v>#REF!</v>
      </c>
    </row>
    <row r="2579" spans="1:20" s="513" customFormat="1" ht="18" customHeight="1" x14ac:dyDescent="0.4">
      <c r="A2579" s="2" t="s">
        <v>9734</v>
      </c>
      <c r="B2579" s="2" t="s">
        <v>9735</v>
      </c>
      <c r="C2579" s="2" t="s">
        <v>433</v>
      </c>
      <c r="D2579" s="2" t="s">
        <v>8127</v>
      </c>
      <c r="E2579" s="2" t="s">
        <v>366</v>
      </c>
      <c r="F2579" s="2" t="s">
        <v>367</v>
      </c>
      <c r="G2579" s="2">
        <v>45415</v>
      </c>
      <c r="H2579" s="2" t="s">
        <v>9736</v>
      </c>
      <c r="I2579" s="1">
        <v>73776</v>
      </c>
      <c r="J2579" s="2" t="s">
        <v>9737</v>
      </c>
      <c r="K2579" s="2">
        <v>45540</v>
      </c>
      <c r="L2579" s="2" t="s">
        <v>364</v>
      </c>
      <c r="M2579" s="2" t="s">
        <v>364</v>
      </c>
      <c r="N2579" s="2" t="s">
        <v>364</v>
      </c>
      <c r="O2579" s="2" t="s">
        <v>364</v>
      </c>
      <c r="P2579" s="542" t="s">
        <v>1</v>
      </c>
      <c r="Q2579" s="281" t="str">
        <f>IF(A2579="SCORTA 10",1,"")</f>
        <v/>
      </c>
      <c r="R2579" s="1">
        <f t="shared" si="31"/>
        <v>1</v>
      </c>
      <c r="S2579" s="1">
        <f t="shared" si="32"/>
        <v>1</v>
      </c>
      <c r="T2579" s="512" t="e">
        <f>_xlfn.XLOOKUP(H2579,#REF!,#REF!,0,0)</f>
        <v>#REF!</v>
      </c>
    </row>
    <row r="2580" spans="1:20" s="514" customFormat="1" ht="18" customHeight="1" x14ac:dyDescent="0.4">
      <c r="A2580" s="324" t="s">
        <v>9738</v>
      </c>
      <c r="B2580" s="324" t="s">
        <v>9739</v>
      </c>
      <c r="C2580" s="324" t="s">
        <v>433</v>
      </c>
      <c r="D2580" s="324" t="s">
        <v>693</v>
      </c>
      <c r="E2580" s="324" t="s">
        <v>10</v>
      </c>
      <c r="F2580" s="324" t="s">
        <v>3072</v>
      </c>
      <c r="G2580" s="362"/>
      <c r="H2580" s="324" t="s">
        <v>7592</v>
      </c>
      <c r="I2580" s="361">
        <v>72761</v>
      </c>
      <c r="J2580" s="324"/>
      <c r="K2580" s="337">
        <v>45537</v>
      </c>
      <c r="L2580" s="2" t="s">
        <v>364</v>
      </c>
      <c r="M2580" s="2" t="s">
        <v>364</v>
      </c>
      <c r="N2580" s="2" t="s">
        <v>364</v>
      </c>
      <c r="O2580" s="2" t="s">
        <v>364</v>
      </c>
      <c r="P2580" s="384" t="s">
        <v>9740</v>
      </c>
      <c r="Q2580" s="324"/>
      <c r="R2580" s="324">
        <f t="shared" si="31"/>
        <v>1</v>
      </c>
      <c r="S2580" s="324">
        <f t="shared" si="32"/>
        <v>1</v>
      </c>
      <c r="T2580" s="512" t="e">
        <f>_xlfn.XLOOKUP(H2580,#REF!,#REF!,0,0)</f>
        <v>#REF!</v>
      </c>
    </row>
    <row r="2581" spans="1:20" s="514" customFormat="1" ht="18" customHeight="1" x14ac:dyDescent="0.4">
      <c r="A2581" s="324" t="s">
        <v>9741</v>
      </c>
      <c r="B2581" s="324" t="s">
        <v>9742</v>
      </c>
      <c r="C2581" s="324" t="s">
        <v>433</v>
      </c>
      <c r="D2581" s="324" t="s">
        <v>693</v>
      </c>
      <c r="E2581" s="324" t="s">
        <v>10</v>
      </c>
      <c r="F2581" s="324" t="s">
        <v>3072</v>
      </c>
      <c r="G2581" s="365"/>
      <c r="H2581" s="360" t="s">
        <v>7173</v>
      </c>
      <c r="I2581" s="363">
        <v>72473</v>
      </c>
      <c r="J2581" s="360"/>
      <c r="K2581" s="364">
        <v>45537</v>
      </c>
      <c r="L2581" s="2" t="s">
        <v>364</v>
      </c>
      <c r="M2581" s="2" t="s">
        <v>364</v>
      </c>
      <c r="N2581" s="2" t="s">
        <v>364</v>
      </c>
      <c r="O2581" s="2" t="s">
        <v>364</v>
      </c>
      <c r="P2581" s="496" t="s">
        <v>9740</v>
      </c>
      <c r="Q2581" s="324"/>
      <c r="R2581" s="324">
        <f t="shared" si="31"/>
        <v>1</v>
      </c>
      <c r="S2581" s="324">
        <f t="shared" si="32"/>
        <v>1</v>
      </c>
      <c r="T2581" s="512" t="e">
        <f>_xlfn.XLOOKUP(H2581,#REF!,#REF!,0,0)</f>
        <v>#REF!</v>
      </c>
    </row>
    <row r="2582" spans="1:20" s="295" customFormat="1" ht="18" customHeight="1" x14ac:dyDescent="0.4">
      <c r="A2582" s="2" t="s">
        <v>9743</v>
      </c>
      <c r="B2582" s="1" t="s">
        <v>9744</v>
      </c>
      <c r="C2582" s="1" t="s">
        <v>433</v>
      </c>
      <c r="D2582" s="324" t="s">
        <v>693</v>
      </c>
      <c r="E2582" s="2" t="s">
        <v>366</v>
      </c>
      <c r="F2582" s="2" t="s">
        <v>367</v>
      </c>
      <c r="G2582" s="2">
        <v>45415</v>
      </c>
      <c r="H2582" s="2" t="s">
        <v>9745</v>
      </c>
      <c r="I2582" s="1">
        <v>73771</v>
      </c>
      <c r="J2582" s="1" t="s">
        <v>9746</v>
      </c>
      <c r="K2582" s="2">
        <v>45537</v>
      </c>
      <c r="L2582" s="2" t="s">
        <v>364</v>
      </c>
      <c r="M2582" s="2" t="s">
        <v>364</v>
      </c>
      <c r="N2582" s="2" t="s">
        <v>364</v>
      </c>
      <c r="O2582" s="2" t="s">
        <v>364</v>
      </c>
      <c r="P2582" s="487"/>
      <c r="Q2582" s="281" t="str">
        <f>IF(A2582="SCORTA 10",1,"")</f>
        <v/>
      </c>
      <c r="R2582" s="1">
        <f t="shared" si="31"/>
        <v>1</v>
      </c>
      <c r="S2582" s="1">
        <f t="shared" si="32"/>
        <v>1</v>
      </c>
      <c r="T2582" s="512" t="e">
        <f>_xlfn.XLOOKUP(H2582,#REF!,#REF!,0,0)</f>
        <v>#REF!</v>
      </c>
    </row>
    <row r="2583" spans="1:20" s="295" customFormat="1" ht="18" customHeight="1" x14ac:dyDescent="0.4">
      <c r="A2583" s="2" t="s">
        <v>9747</v>
      </c>
      <c r="B2583" s="1" t="s">
        <v>9748</v>
      </c>
      <c r="C2583" s="1" t="s">
        <v>433</v>
      </c>
      <c r="D2583" s="324" t="s">
        <v>693</v>
      </c>
      <c r="E2583" s="2" t="s">
        <v>366</v>
      </c>
      <c r="F2583" s="2" t="s">
        <v>367</v>
      </c>
      <c r="G2583" s="2">
        <v>45415</v>
      </c>
      <c r="H2583" s="2" t="s">
        <v>9749</v>
      </c>
      <c r="I2583" s="1">
        <v>73770</v>
      </c>
      <c r="J2583" s="1" t="s">
        <v>9750</v>
      </c>
      <c r="K2583" s="2">
        <v>45537</v>
      </c>
      <c r="L2583" s="2" t="s">
        <v>364</v>
      </c>
      <c r="M2583" s="2" t="s">
        <v>364</v>
      </c>
      <c r="N2583" s="2" t="s">
        <v>364</v>
      </c>
      <c r="O2583" s="2" t="s">
        <v>364</v>
      </c>
      <c r="P2583" s="487" t="s">
        <v>7518</v>
      </c>
      <c r="Q2583" s="281" t="str">
        <f>IF(A2583="SCORTA 10",1,"")</f>
        <v/>
      </c>
      <c r="R2583" s="1">
        <f t="shared" si="31"/>
        <v>1</v>
      </c>
      <c r="S2583" s="1">
        <f t="shared" si="32"/>
        <v>1</v>
      </c>
      <c r="T2583" s="512" t="e">
        <f>_xlfn.XLOOKUP(H2583,#REF!,#REF!,0,0)</f>
        <v>#REF!</v>
      </c>
    </row>
    <row r="2584" spans="1:20" s="514" customFormat="1" ht="18" customHeight="1" x14ac:dyDescent="0.4">
      <c r="A2584" s="324" t="s">
        <v>9751</v>
      </c>
      <c r="B2584" s="324" t="s">
        <v>9752</v>
      </c>
      <c r="C2584" s="324" t="s">
        <v>433</v>
      </c>
      <c r="D2584" s="324" t="s">
        <v>693</v>
      </c>
      <c r="E2584" s="324" t="s">
        <v>10</v>
      </c>
      <c r="F2584" s="324" t="s">
        <v>9753</v>
      </c>
      <c r="G2584" s="324"/>
      <c r="H2584" s="324" t="s">
        <v>302</v>
      </c>
      <c r="I2584" s="324">
        <v>72241</v>
      </c>
      <c r="J2584" s="324"/>
      <c r="K2584" s="337">
        <v>45537</v>
      </c>
      <c r="L2584" s="2" t="s">
        <v>364</v>
      </c>
      <c r="M2584" s="2" t="s">
        <v>364</v>
      </c>
      <c r="N2584" s="2" t="s">
        <v>364</v>
      </c>
      <c r="O2584" s="2" t="s">
        <v>364</v>
      </c>
      <c r="P2584" s="384" t="s">
        <v>8496</v>
      </c>
      <c r="Q2584" s="324"/>
      <c r="R2584" s="324">
        <f t="shared" si="31"/>
        <v>1</v>
      </c>
      <c r="S2584" s="324">
        <f t="shared" si="32"/>
        <v>1</v>
      </c>
      <c r="T2584" s="512" t="e">
        <f>_xlfn.XLOOKUP(H2584,#REF!,#REF!,0,0)</f>
        <v>#REF!</v>
      </c>
    </row>
    <row r="2585" spans="1:20" s="514" customFormat="1" ht="18" customHeight="1" x14ac:dyDescent="0.4">
      <c r="A2585" s="324" t="s">
        <v>9754</v>
      </c>
      <c r="B2585" s="324" t="s">
        <v>9755</v>
      </c>
      <c r="C2585" s="324" t="s">
        <v>433</v>
      </c>
      <c r="D2585" s="324" t="s">
        <v>693</v>
      </c>
      <c r="E2585" s="324" t="s">
        <v>10</v>
      </c>
      <c r="F2585" s="324" t="s">
        <v>9756</v>
      </c>
      <c r="G2585" s="324"/>
      <c r="H2585" s="324" t="s">
        <v>293</v>
      </c>
      <c r="I2585" s="324">
        <v>71372</v>
      </c>
      <c r="J2585" s="324"/>
      <c r="K2585" s="337">
        <v>45537</v>
      </c>
      <c r="L2585" s="2" t="s">
        <v>364</v>
      </c>
      <c r="M2585" s="2" t="s">
        <v>364</v>
      </c>
      <c r="N2585" s="2" t="s">
        <v>364</v>
      </c>
      <c r="O2585" s="2" t="s">
        <v>364</v>
      </c>
      <c r="P2585" s="384" t="s">
        <v>9757</v>
      </c>
      <c r="Q2585" s="324"/>
      <c r="R2585" s="324">
        <f t="shared" si="31"/>
        <v>1</v>
      </c>
      <c r="S2585" s="324">
        <f t="shared" si="32"/>
        <v>1</v>
      </c>
      <c r="T2585" s="512" t="e">
        <f>_xlfn.XLOOKUP(H2585,#REF!,#REF!,0,0)</f>
        <v>#REF!</v>
      </c>
    </row>
    <row r="2586" spans="1:20" s="514" customFormat="1" ht="18" customHeight="1" x14ac:dyDescent="0.4">
      <c r="A2586" s="324" t="s">
        <v>9758</v>
      </c>
      <c r="B2586" s="324" t="s">
        <v>9759</v>
      </c>
      <c r="C2586" s="324" t="s">
        <v>433</v>
      </c>
      <c r="D2586" s="324" t="s">
        <v>693</v>
      </c>
      <c r="E2586" s="324" t="s">
        <v>10</v>
      </c>
      <c r="F2586" s="324" t="s">
        <v>3072</v>
      </c>
      <c r="G2586" s="362"/>
      <c r="H2586" s="324" t="s">
        <v>274</v>
      </c>
      <c r="I2586" s="324">
        <v>70953</v>
      </c>
      <c r="J2586" s="324"/>
      <c r="K2586" s="337">
        <v>45537</v>
      </c>
      <c r="L2586" s="2" t="s">
        <v>364</v>
      </c>
      <c r="M2586" s="2" t="s">
        <v>364</v>
      </c>
      <c r="N2586" s="2" t="s">
        <v>364</v>
      </c>
      <c r="O2586" s="2" t="s">
        <v>364</v>
      </c>
      <c r="P2586" s="384" t="s">
        <v>9760</v>
      </c>
      <c r="Q2586" s="324"/>
      <c r="R2586" s="324">
        <f t="shared" si="31"/>
        <v>1</v>
      </c>
      <c r="S2586" s="324">
        <f t="shared" si="32"/>
        <v>1</v>
      </c>
      <c r="T2586" s="512" t="e">
        <f>_xlfn.XLOOKUP(H2586,#REF!,#REF!,0,0)</f>
        <v>#REF!</v>
      </c>
    </row>
    <row r="2587" spans="1:20" s="514" customFormat="1" ht="18" customHeight="1" x14ac:dyDescent="0.4">
      <c r="A2587" s="324" t="s">
        <v>9761</v>
      </c>
      <c r="B2587" s="324" t="s">
        <v>9762</v>
      </c>
      <c r="C2587" s="324" t="s">
        <v>433</v>
      </c>
      <c r="D2587" s="324" t="s">
        <v>693</v>
      </c>
      <c r="E2587" s="324" t="s">
        <v>10</v>
      </c>
      <c r="F2587" s="324" t="s">
        <v>3072</v>
      </c>
      <c r="G2587" s="365"/>
      <c r="H2587" s="360" t="s">
        <v>5433</v>
      </c>
      <c r="I2587" s="360">
        <v>70945</v>
      </c>
      <c r="J2587" s="360"/>
      <c r="K2587" s="364">
        <v>45537</v>
      </c>
      <c r="L2587" s="2" t="s">
        <v>364</v>
      </c>
      <c r="M2587" s="2" t="s">
        <v>364</v>
      </c>
      <c r="N2587" s="2" t="s">
        <v>364</v>
      </c>
      <c r="O2587" s="2" t="s">
        <v>364</v>
      </c>
      <c r="P2587" s="496" t="s">
        <v>9763</v>
      </c>
      <c r="Q2587" s="324"/>
      <c r="R2587" s="324">
        <v>1</v>
      </c>
      <c r="S2587" s="324">
        <v>1</v>
      </c>
      <c r="T2587" s="512" t="e">
        <f>_xlfn.XLOOKUP(H2587,#REF!,#REF!,0,0)</f>
        <v>#REF!</v>
      </c>
    </row>
    <row r="2588" spans="1:20" s="295" customFormat="1" ht="18" customHeight="1" x14ac:dyDescent="0.4">
      <c r="A2588" s="2" t="s">
        <v>9764</v>
      </c>
      <c r="B2588" s="2" t="s">
        <v>9765</v>
      </c>
      <c r="C2588" s="2" t="s">
        <v>433</v>
      </c>
      <c r="D2588" s="324" t="s">
        <v>693</v>
      </c>
      <c r="E2588" s="1" t="s">
        <v>10</v>
      </c>
      <c r="F2588" s="1" t="s">
        <v>436</v>
      </c>
      <c r="G2588" s="2">
        <v>45446</v>
      </c>
      <c r="H2588" s="2" t="s">
        <v>9766</v>
      </c>
      <c r="I2588" s="1">
        <v>76562</v>
      </c>
      <c r="J2588" s="2" t="s">
        <v>9767</v>
      </c>
      <c r="K2588" s="2"/>
      <c r="L2588" s="2" t="s">
        <v>364</v>
      </c>
      <c r="M2588" s="2" t="s">
        <v>364</v>
      </c>
      <c r="N2588" s="2" t="s">
        <v>364</v>
      </c>
      <c r="O2588" s="2" t="s">
        <v>364</v>
      </c>
      <c r="P2588" s="488"/>
      <c r="Q2588" s="1" t="str">
        <f>IF(A2588="SCORTA 10",1,"")</f>
        <v/>
      </c>
      <c r="R2588" s="1">
        <f>IF(H2588&lt;&gt;"",1,"")</f>
        <v>1</v>
      </c>
      <c r="S2588" s="1">
        <f>IF(I2588&lt;&gt;"",1,"")</f>
        <v>1</v>
      </c>
      <c r="T2588" s="512" t="e">
        <f>_xlfn.XLOOKUP(H2588,#REF!,#REF!,0,0)</f>
        <v>#REF!</v>
      </c>
    </row>
    <row r="2589" spans="1:20" s="513" customFormat="1" ht="18" customHeight="1" x14ac:dyDescent="0.4">
      <c r="A2589" s="2" t="s">
        <v>9768</v>
      </c>
      <c r="B2589" s="2" t="s">
        <v>9769</v>
      </c>
      <c r="C2589" s="2" t="s">
        <v>433</v>
      </c>
      <c r="D2589" s="2" t="s">
        <v>1097</v>
      </c>
      <c r="E2589" s="2" t="s">
        <v>366</v>
      </c>
      <c r="F2589" s="2" t="s">
        <v>367</v>
      </c>
      <c r="G2589" s="2">
        <v>45415</v>
      </c>
      <c r="H2589" s="2" t="s">
        <v>9770</v>
      </c>
      <c r="I2589" s="1">
        <v>73780</v>
      </c>
      <c r="J2589" s="2" t="s">
        <v>9771</v>
      </c>
      <c r="K2589" s="2"/>
      <c r="L2589" s="2" t="s">
        <v>364</v>
      </c>
      <c r="M2589" s="2" t="s">
        <v>364</v>
      </c>
      <c r="N2589" s="2" t="s">
        <v>364</v>
      </c>
      <c r="O2589" s="2" t="s">
        <v>364</v>
      </c>
      <c r="P2589" s="488"/>
      <c r="Q2589" s="281" t="str">
        <f>IF(A2589="SCORTA 10",1,"")</f>
        <v/>
      </c>
      <c r="R2589" s="1">
        <f>IF(H2589&lt;&gt;"",1,"")</f>
        <v>1</v>
      </c>
      <c r="S2589" s="1">
        <f>IF(I2589&lt;&gt;"",1,"")</f>
        <v>1</v>
      </c>
      <c r="T2589" s="512" t="e">
        <f>_xlfn.XLOOKUP(H2589,#REF!,#REF!,0,0)</f>
        <v>#REF!</v>
      </c>
    </row>
    <row r="2590" spans="1:20" s="514" customFormat="1" ht="18" customHeight="1" x14ac:dyDescent="0.4">
      <c r="A2590" s="324" t="s">
        <v>9772</v>
      </c>
      <c r="B2590" s="324" t="s">
        <v>9773</v>
      </c>
      <c r="C2590" s="324" t="s">
        <v>433</v>
      </c>
      <c r="D2590" s="2" t="s">
        <v>693</v>
      </c>
      <c r="E2590" s="324" t="s">
        <v>10</v>
      </c>
      <c r="F2590" s="324" t="s">
        <v>3072</v>
      </c>
      <c r="G2590" s="362"/>
      <c r="H2590" s="324" t="s">
        <v>324</v>
      </c>
      <c r="I2590" s="324">
        <v>69747</v>
      </c>
      <c r="J2590" s="324"/>
      <c r="K2590" s="337">
        <v>45545</v>
      </c>
      <c r="L2590" s="2" t="s">
        <v>364</v>
      </c>
      <c r="M2590" s="2" t="s">
        <v>364</v>
      </c>
      <c r="N2590" s="2" t="s">
        <v>364</v>
      </c>
      <c r="O2590" s="2" t="s">
        <v>364</v>
      </c>
      <c r="P2590" s="384" t="s">
        <v>9774</v>
      </c>
      <c r="Q2590" s="324"/>
      <c r="R2590" s="324">
        <v>1</v>
      </c>
      <c r="S2590" s="324">
        <v>1</v>
      </c>
      <c r="T2590" s="512" t="e">
        <f>_xlfn.XLOOKUP(H2590,#REF!,#REF!,0,0)</f>
        <v>#REF!</v>
      </c>
    </row>
    <row r="2591" spans="1:20" s="295" customFormat="1" ht="18" customHeight="1" x14ac:dyDescent="0.4">
      <c r="A2591" s="2" t="s">
        <v>9775</v>
      </c>
      <c r="B2591" s="2" t="s">
        <v>9776</v>
      </c>
      <c r="C2591" s="2" t="s">
        <v>433</v>
      </c>
      <c r="D2591" s="2" t="s">
        <v>8008</v>
      </c>
      <c r="E2591" s="1" t="s">
        <v>10</v>
      </c>
      <c r="F2591" s="1" t="s">
        <v>436</v>
      </c>
      <c r="G2591" s="2">
        <v>45446</v>
      </c>
      <c r="H2591" s="2" t="s">
        <v>9777</v>
      </c>
      <c r="I2591" s="1">
        <v>76564</v>
      </c>
      <c r="J2591" s="2" t="s">
        <v>9778</v>
      </c>
      <c r="K2591" s="2"/>
      <c r="L2591" s="2" t="s">
        <v>364</v>
      </c>
      <c r="M2591" s="2" t="s">
        <v>364</v>
      </c>
      <c r="N2591" s="2" t="s">
        <v>364</v>
      </c>
      <c r="O2591" s="2" t="s">
        <v>364</v>
      </c>
      <c r="P2591" s="488"/>
      <c r="Q2591" s="1" t="str">
        <f>IF(A2591="SCORTA 10",1,"")</f>
        <v/>
      </c>
      <c r="R2591" s="1">
        <f>IF(H2591&lt;&gt;"",1,"")</f>
        <v>1</v>
      </c>
      <c r="S2591" s="1">
        <f>IF(I2591&lt;&gt;"",1,"")</f>
        <v>1</v>
      </c>
      <c r="T2591" s="512" t="e">
        <f>_xlfn.XLOOKUP(H2591,#REF!,#REF!,0,0)</f>
        <v>#REF!</v>
      </c>
    </row>
    <row r="2592" spans="1:20" s="514" customFormat="1" ht="18" customHeight="1" x14ac:dyDescent="0.4">
      <c r="A2592" s="324" t="s">
        <v>9779</v>
      </c>
      <c r="B2592" s="324" t="s">
        <v>9780</v>
      </c>
      <c r="C2592" s="324" t="s">
        <v>433</v>
      </c>
      <c r="D2592" s="324" t="s">
        <v>693</v>
      </c>
      <c r="E2592" s="324" t="s">
        <v>10</v>
      </c>
      <c r="F2592" s="324" t="s">
        <v>3072</v>
      </c>
      <c r="G2592" s="362"/>
      <c r="H2592" s="324" t="s">
        <v>317</v>
      </c>
      <c r="I2592" s="324">
        <v>70965</v>
      </c>
      <c r="J2592" s="324"/>
      <c r="K2592" s="337">
        <v>45545</v>
      </c>
      <c r="L2592" s="2" t="s">
        <v>364</v>
      </c>
      <c r="M2592" s="2" t="s">
        <v>364</v>
      </c>
      <c r="N2592" s="2" t="s">
        <v>364</v>
      </c>
      <c r="O2592" s="2" t="s">
        <v>364</v>
      </c>
      <c r="P2592" s="384" t="s">
        <v>7688</v>
      </c>
      <c r="Q2592" s="324"/>
      <c r="R2592" s="324">
        <v>1</v>
      </c>
      <c r="S2592" s="324">
        <v>1</v>
      </c>
      <c r="T2592" s="512" t="e">
        <f>_xlfn.XLOOKUP(H2592,#REF!,#REF!,0,0)</f>
        <v>#REF!</v>
      </c>
    </row>
    <row r="2593" spans="1:20" s="513" customFormat="1" ht="18" customHeight="1" x14ac:dyDescent="0.4">
      <c r="A2593" s="2" t="s">
        <v>9781</v>
      </c>
      <c r="B2593" s="2" t="s">
        <v>9782</v>
      </c>
      <c r="C2593" s="2" t="s">
        <v>433</v>
      </c>
      <c r="D2593" s="324" t="s">
        <v>693</v>
      </c>
      <c r="E2593" s="2" t="s">
        <v>366</v>
      </c>
      <c r="F2593" s="2" t="s">
        <v>367</v>
      </c>
      <c r="G2593" s="2">
        <v>45415</v>
      </c>
      <c r="H2593" s="2" t="s">
        <v>9783</v>
      </c>
      <c r="I2593" s="1">
        <v>73781</v>
      </c>
      <c r="J2593" s="2" t="s">
        <v>9784</v>
      </c>
      <c r="K2593" s="2"/>
      <c r="L2593" s="2" t="s">
        <v>364</v>
      </c>
      <c r="M2593" s="2" t="s">
        <v>364</v>
      </c>
      <c r="N2593" s="2" t="s">
        <v>364</v>
      </c>
      <c r="O2593" s="2" t="s">
        <v>364</v>
      </c>
      <c r="P2593" s="488"/>
      <c r="Q2593" s="281" t="str">
        <f>IF(A2593="SCORTA 10",1,"")</f>
        <v/>
      </c>
      <c r="R2593" s="1">
        <f>IF(H2593&lt;&gt;"",1,"")</f>
        <v>1</v>
      </c>
      <c r="S2593" s="1">
        <f>IF(I2593&lt;&gt;"",1,"")</f>
        <v>1</v>
      </c>
      <c r="T2593" s="512" t="e">
        <f>_xlfn.XLOOKUP(H2593,#REF!,#REF!,0,0)</f>
        <v>#REF!</v>
      </c>
    </row>
    <row r="2594" spans="1:20" s="514" customFormat="1" ht="18" customHeight="1" x14ac:dyDescent="0.4">
      <c r="A2594" s="324" t="s">
        <v>9785</v>
      </c>
      <c r="B2594" s="324" t="s">
        <v>9786</v>
      </c>
      <c r="C2594" s="325" t="s">
        <v>433</v>
      </c>
      <c r="D2594" s="324" t="s">
        <v>693</v>
      </c>
      <c r="E2594" s="324" t="s">
        <v>10</v>
      </c>
      <c r="F2594" s="1" t="s">
        <v>436</v>
      </c>
      <c r="G2594" s="326"/>
      <c r="H2594" s="324" t="s">
        <v>8685</v>
      </c>
      <c r="I2594" s="324">
        <v>73340</v>
      </c>
      <c r="J2594" s="324"/>
      <c r="K2594" s="326">
        <v>45548</v>
      </c>
      <c r="L2594" s="2" t="s">
        <v>364</v>
      </c>
      <c r="M2594" s="2" t="s">
        <v>364</v>
      </c>
      <c r="N2594" s="2" t="s">
        <v>364</v>
      </c>
      <c r="O2594" s="2" t="s">
        <v>364</v>
      </c>
      <c r="P2594" s="384"/>
      <c r="Q2594" s="324"/>
      <c r="R2594" s="324"/>
      <c r="S2594" s="324"/>
      <c r="T2594" s="512" t="e">
        <f>_xlfn.XLOOKUP(H2594,#REF!,#REF!,0,0)</f>
        <v>#REF!</v>
      </c>
    </row>
    <row r="2595" spans="1:20" s="513" customFormat="1" ht="18" customHeight="1" x14ac:dyDescent="0.4">
      <c r="A2595" s="2" t="s">
        <v>9787</v>
      </c>
      <c r="B2595" s="2" t="s">
        <v>9788</v>
      </c>
      <c r="C2595" s="2" t="s">
        <v>433</v>
      </c>
      <c r="D2595" s="324" t="s">
        <v>693</v>
      </c>
      <c r="E2595" s="2" t="s">
        <v>366</v>
      </c>
      <c r="F2595" s="2" t="s">
        <v>367</v>
      </c>
      <c r="G2595" s="2">
        <v>45415</v>
      </c>
      <c r="H2595" s="2" t="s">
        <v>9789</v>
      </c>
      <c r="I2595" s="1">
        <v>73777</v>
      </c>
      <c r="J2595" s="2" t="s">
        <v>9790</v>
      </c>
      <c r="K2595" s="2">
        <v>45551</v>
      </c>
      <c r="L2595" s="2" t="s">
        <v>364</v>
      </c>
      <c r="M2595" s="2" t="s">
        <v>364</v>
      </c>
      <c r="N2595" s="2" t="s">
        <v>364</v>
      </c>
      <c r="O2595" s="2" t="s">
        <v>364</v>
      </c>
      <c r="P2595" s="488" t="s">
        <v>7518</v>
      </c>
      <c r="Q2595" s="281" t="str">
        <f t="shared" ref="Q2595:Q2600" si="33">IF(A2595="SCORTA 10",1,"")</f>
        <v/>
      </c>
      <c r="R2595" s="1">
        <f t="shared" ref="R2595:R2600" si="34">IF(H2595&lt;&gt;"",1,"")</f>
        <v>1</v>
      </c>
      <c r="S2595" s="1">
        <f t="shared" ref="S2595:S2600" si="35">IF(I2595&lt;&gt;"",1,"")</f>
        <v>1</v>
      </c>
      <c r="T2595" s="512" t="e">
        <f>_xlfn.XLOOKUP(H2595,#REF!,#REF!,0,0)</f>
        <v>#REF!</v>
      </c>
    </row>
    <row r="2596" spans="1:20" s="513" customFormat="1" ht="18" customHeight="1" x14ac:dyDescent="0.4">
      <c r="A2596" s="2" t="s">
        <v>9791</v>
      </c>
      <c r="B2596" s="2" t="s">
        <v>9792</v>
      </c>
      <c r="C2596" s="2" t="s">
        <v>433</v>
      </c>
      <c r="D2596" s="2" t="s">
        <v>3778</v>
      </c>
      <c r="E2596" s="2" t="s">
        <v>366</v>
      </c>
      <c r="F2596" s="2" t="s">
        <v>367</v>
      </c>
      <c r="G2596" s="2">
        <v>45415</v>
      </c>
      <c r="H2596" s="2" t="s">
        <v>9793</v>
      </c>
      <c r="I2596" s="1">
        <v>73782</v>
      </c>
      <c r="J2596" s="2" t="s">
        <v>9794</v>
      </c>
      <c r="K2596" s="2" t="s">
        <v>9795</v>
      </c>
      <c r="L2596" s="2" t="s">
        <v>364</v>
      </c>
      <c r="M2596" s="2" t="s">
        <v>364</v>
      </c>
      <c r="N2596" s="2" t="s">
        <v>364</v>
      </c>
      <c r="O2596" s="2" t="s">
        <v>364</v>
      </c>
      <c r="P2596" s="488"/>
      <c r="Q2596" s="281" t="str">
        <f t="shared" si="33"/>
        <v/>
      </c>
      <c r="R2596" s="1">
        <f t="shared" si="34"/>
        <v>1</v>
      </c>
      <c r="S2596" s="1">
        <f t="shared" si="35"/>
        <v>1</v>
      </c>
      <c r="T2596" s="512" t="e">
        <f>_xlfn.XLOOKUP(H2596,#REF!,#REF!,0,0)</f>
        <v>#REF!</v>
      </c>
    </row>
    <row r="2597" spans="1:20" s="513" customFormat="1" ht="18" customHeight="1" x14ac:dyDescent="0.4">
      <c r="A2597" s="2" t="s">
        <v>9796</v>
      </c>
      <c r="B2597" s="2" t="s">
        <v>9797</v>
      </c>
      <c r="C2597" s="2" t="s">
        <v>433</v>
      </c>
      <c r="D2597" s="2" t="s">
        <v>1097</v>
      </c>
      <c r="E2597" s="2" t="s">
        <v>366</v>
      </c>
      <c r="F2597" s="2" t="s">
        <v>367</v>
      </c>
      <c r="G2597" s="2">
        <v>45415</v>
      </c>
      <c r="H2597" s="2" t="s">
        <v>9798</v>
      </c>
      <c r="I2597" s="1">
        <v>73783</v>
      </c>
      <c r="J2597" s="2" t="s">
        <v>9799</v>
      </c>
      <c r="K2597" s="2" t="s">
        <v>9800</v>
      </c>
      <c r="L2597" s="2" t="s">
        <v>364</v>
      </c>
      <c r="M2597" s="2" t="s">
        <v>364</v>
      </c>
      <c r="N2597" s="2" t="s">
        <v>364</v>
      </c>
      <c r="O2597" s="2" t="s">
        <v>364</v>
      </c>
      <c r="P2597" s="488"/>
      <c r="Q2597" s="281" t="str">
        <f t="shared" si="33"/>
        <v/>
      </c>
      <c r="R2597" s="1">
        <f t="shared" si="34"/>
        <v>1</v>
      </c>
      <c r="S2597" s="1">
        <f t="shared" si="35"/>
        <v>1</v>
      </c>
      <c r="T2597" s="512" t="e">
        <f>_xlfn.XLOOKUP(H2597,#REF!,#REF!,0,0)</f>
        <v>#REF!</v>
      </c>
    </row>
    <row r="2598" spans="1:20" s="295" customFormat="1" ht="18" customHeight="1" x14ac:dyDescent="0.4">
      <c r="A2598" s="2" t="s">
        <v>9801</v>
      </c>
      <c r="B2598" s="1" t="s">
        <v>9802</v>
      </c>
      <c r="C2598" s="2" t="s">
        <v>433</v>
      </c>
      <c r="D2598" s="2" t="s">
        <v>9803</v>
      </c>
      <c r="E2598" s="1" t="s">
        <v>10</v>
      </c>
      <c r="F2598" s="1" t="s">
        <v>436</v>
      </c>
      <c r="G2598" s="2">
        <v>45446</v>
      </c>
      <c r="H2598" s="2" t="s">
        <v>9804</v>
      </c>
      <c r="I2598" s="1">
        <v>76565</v>
      </c>
      <c r="J2598" s="2" t="s">
        <v>9805</v>
      </c>
      <c r="K2598" s="2" t="s">
        <v>9806</v>
      </c>
      <c r="L2598" s="1" t="s">
        <v>364</v>
      </c>
      <c r="M2598" s="1" t="s">
        <v>364</v>
      </c>
      <c r="N2598" s="1" t="s">
        <v>364</v>
      </c>
      <c r="O2598" s="1" t="s">
        <v>364</v>
      </c>
      <c r="P2598" s="487" t="s">
        <v>9807</v>
      </c>
      <c r="Q2598" s="1" t="str">
        <f t="shared" si="33"/>
        <v/>
      </c>
      <c r="R2598" s="1">
        <f t="shared" si="34"/>
        <v>1</v>
      </c>
      <c r="S2598" s="1">
        <f t="shared" si="35"/>
        <v>1</v>
      </c>
      <c r="T2598" s="512" t="e">
        <f>_xlfn.XLOOKUP(H2598,#REF!,#REF!,0,0)</f>
        <v>#REF!</v>
      </c>
    </row>
    <row r="2599" spans="1:20" s="295" customFormat="1" ht="18" customHeight="1" x14ac:dyDescent="0.4">
      <c r="A2599" s="2" t="s">
        <v>9808</v>
      </c>
      <c r="B2599" s="1" t="s">
        <v>9809</v>
      </c>
      <c r="C2599" s="1" t="s">
        <v>435</v>
      </c>
      <c r="D2599" s="303" t="s">
        <v>9803</v>
      </c>
      <c r="E2599" s="2" t="s">
        <v>366</v>
      </c>
      <c r="F2599" s="2" t="s">
        <v>367</v>
      </c>
      <c r="G2599" s="2">
        <v>45415</v>
      </c>
      <c r="H2599" s="2" t="s">
        <v>9810</v>
      </c>
      <c r="I2599" s="1">
        <v>73773</v>
      </c>
      <c r="J2599" s="1" t="s">
        <v>9811</v>
      </c>
      <c r="K2599" s="2">
        <v>45566</v>
      </c>
      <c r="L2599" s="1" t="s">
        <v>364</v>
      </c>
      <c r="M2599" s="1" t="s">
        <v>364</v>
      </c>
      <c r="N2599" s="1" t="s">
        <v>364</v>
      </c>
      <c r="O2599" s="1" t="s">
        <v>364</v>
      </c>
      <c r="P2599" s="487"/>
      <c r="Q2599" s="281" t="str">
        <f t="shared" si="33"/>
        <v/>
      </c>
      <c r="R2599" s="1">
        <f t="shared" si="34"/>
        <v>1</v>
      </c>
      <c r="S2599" s="1">
        <f t="shared" si="35"/>
        <v>1</v>
      </c>
      <c r="T2599" s="512" t="e">
        <f>_xlfn.XLOOKUP(H2599,#REF!,#REF!,0,0)</f>
        <v>#REF!</v>
      </c>
    </row>
    <row r="2600" spans="1:20" s="513" customFormat="1" ht="18" customHeight="1" x14ac:dyDescent="0.4">
      <c r="A2600" s="2" t="s">
        <v>9812</v>
      </c>
      <c r="B2600" s="2" t="s">
        <v>9813</v>
      </c>
      <c r="C2600" s="2" t="s">
        <v>435</v>
      </c>
      <c r="D2600" s="2" t="s">
        <v>9803</v>
      </c>
      <c r="E2600" s="2" t="s">
        <v>366</v>
      </c>
      <c r="F2600" s="2" t="s">
        <v>367</v>
      </c>
      <c r="G2600" s="2">
        <v>45415</v>
      </c>
      <c r="H2600" s="2" t="s">
        <v>9814</v>
      </c>
      <c r="I2600" s="1">
        <v>73775</v>
      </c>
      <c r="J2600" s="2" t="s">
        <v>9815</v>
      </c>
      <c r="K2600" s="2">
        <v>45566</v>
      </c>
      <c r="L2600" s="2" t="s">
        <v>364</v>
      </c>
      <c r="M2600" s="2" t="s">
        <v>364</v>
      </c>
      <c r="N2600" s="2" t="s">
        <v>364</v>
      </c>
      <c r="O2600" s="2" t="s">
        <v>364</v>
      </c>
      <c r="P2600" s="488" t="s">
        <v>9816</v>
      </c>
      <c r="Q2600" s="281" t="str">
        <f t="shared" si="33"/>
        <v/>
      </c>
      <c r="R2600" s="1">
        <f t="shared" si="34"/>
        <v>1</v>
      </c>
      <c r="S2600" s="1">
        <f t="shared" si="35"/>
        <v>1</v>
      </c>
      <c r="T2600" s="512" t="e">
        <f>_xlfn.XLOOKUP(H2600,#REF!,#REF!,0,0)</f>
        <v>#REF!</v>
      </c>
    </row>
    <row r="2601" spans="1:20" s="514" customFormat="1" ht="18" customHeight="1" x14ac:dyDescent="0.4">
      <c r="A2601" s="369" t="s">
        <v>9817</v>
      </c>
      <c r="B2601" s="369" t="s">
        <v>9818</v>
      </c>
      <c r="C2601" s="324" t="s">
        <v>431</v>
      </c>
      <c r="D2601" s="324" t="s">
        <v>9803</v>
      </c>
      <c r="E2601" s="324" t="s">
        <v>10</v>
      </c>
      <c r="F2601" s="324" t="s">
        <v>1895</v>
      </c>
      <c r="G2601" s="324"/>
      <c r="H2601" s="324" t="s">
        <v>7352</v>
      </c>
      <c r="I2601" s="324">
        <v>72730</v>
      </c>
      <c r="J2601" s="324"/>
      <c r="K2601" s="337">
        <v>45566</v>
      </c>
      <c r="L2601" s="324" t="s">
        <v>364</v>
      </c>
      <c r="M2601" s="324" t="s">
        <v>364</v>
      </c>
      <c r="N2601" s="324" t="s">
        <v>364</v>
      </c>
      <c r="O2601" s="324" t="s">
        <v>364</v>
      </c>
      <c r="P2601" s="384" t="s">
        <v>9819</v>
      </c>
      <c r="Q2601" s="324">
        <v>1</v>
      </c>
      <c r="R2601" s="324"/>
      <c r="S2601" s="324"/>
      <c r="T2601" s="512" t="e">
        <f>_xlfn.XLOOKUP(H2601,#REF!,#REF!,0,0)</f>
        <v>#REF!</v>
      </c>
    </row>
    <row r="2602" spans="1:20" s="514" customFormat="1" ht="18" customHeight="1" x14ac:dyDescent="0.4">
      <c r="A2602" s="324" t="s">
        <v>9820</v>
      </c>
      <c r="B2602" s="325" t="s">
        <v>9821</v>
      </c>
      <c r="C2602" s="324" t="s">
        <v>433</v>
      </c>
      <c r="D2602" s="324" t="s">
        <v>8127</v>
      </c>
      <c r="E2602" s="324" t="s">
        <v>10</v>
      </c>
      <c r="F2602" s="324" t="s">
        <v>1895</v>
      </c>
      <c r="G2602" s="324"/>
      <c r="H2602" s="324" t="s">
        <v>7596</v>
      </c>
      <c r="I2602" s="324">
        <v>72762</v>
      </c>
      <c r="J2602" s="324"/>
      <c r="K2602" s="324" t="s">
        <v>9822</v>
      </c>
      <c r="L2602" s="324" t="s">
        <v>364</v>
      </c>
      <c r="M2602" s="324" t="s">
        <v>364</v>
      </c>
      <c r="N2602" s="324" t="s">
        <v>364</v>
      </c>
      <c r="O2602" s="324" t="s">
        <v>364</v>
      </c>
      <c r="P2602" s="384" t="s">
        <v>9823</v>
      </c>
      <c r="Q2602" s="324"/>
      <c r="R2602" s="324">
        <v>1</v>
      </c>
      <c r="S2602" s="324">
        <v>1</v>
      </c>
      <c r="T2602" s="512" t="e">
        <f>_xlfn.XLOOKUP(H2602,#REF!,#REF!,0,0)</f>
        <v>#REF!</v>
      </c>
    </row>
    <row r="2603" spans="1:20" s="295" customFormat="1" ht="18" customHeight="1" x14ac:dyDescent="0.4">
      <c r="A2603" s="2" t="s">
        <v>9824</v>
      </c>
      <c r="B2603" s="2" t="s">
        <v>9825</v>
      </c>
      <c r="C2603" s="2" t="s">
        <v>433</v>
      </c>
      <c r="D2603" s="2" t="s">
        <v>693</v>
      </c>
      <c r="E2603" s="1" t="s">
        <v>10</v>
      </c>
      <c r="F2603" s="1" t="s">
        <v>436</v>
      </c>
      <c r="G2603" s="2">
        <v>45446</v>
      </c>
      <c r="H2603" s="2" t="s">
        <v>9826</v>
      </c>
      <c r="I2603" s="1">
        <v>76568</v>
      </c>
      <c r="J2603" s="2" t="s">
        <v>9827</v>
      </c>
      <c r="K2603" s="2">
        <v>45562</v>
      </c>
      <c r="L2603" s="2" t="s">
        <v>364</v>
      </c>
      <c r="M2603" s="2" t="s">
        <v>364</v>
      </c>
      <c r="N2603" s="2" t="s">
        <v>364</v>
      </c>
      <c r="O2603" s="2" t="s">
        <v>364</v>
      </c>
      <c r="P2603" s="488" t="s">
        <v>6066</v>
      </c>
      <c r="Q2603" s="1" t="str">
        <f>IF(A2603="SCORTA 10",1,"")</f>
        <v/>
      </c>
      <c r="R2603" s="1">
        <f t="shared" ref="R2603:R2608" si="36">IF(H2603&lt;&gt;"",1,"")</f>
        <v>1</v>
      </c>
      <c r="S2603" s="1">
        <f t="shared" ref="S2603:S2608" si="37">IF(I2603&lt;&gt;"",1,"")</f>
        <v>1</v>
      </c>
      <c r="T2603" s="512" t="e">
        <f>_xlfn.XLOOKUP(H2603,#REF!,#REF!,0,0)</f>
        <v>#REF!</v>
      </c>
    </row>
    <row r="2604" spans="1:20" s="301" customFormat="1" x14ac:dyDescent="0.4">
      <c r="A2604" s="322" t="s">
        <v>9828</v>
      </c>
      <c r="B2604" s="322" t="s">
        <v>9829</v>
      </c>
      <c r="C2604" s="322" t="s">
        <v>433</v>
      </c>
      <c r="D2604" s="322" t="s">
        <v>8127</v>
      </c>
      <c r="E2604" s="322" t="s">
        <v>10</v>
      </c>
      <c r="F2604" s="322" t="s">
        <v>8771</v>
      </c>
      <c r="G2604" s="323">
        <v>45243</v>
      </c>
      <c r="H2604" s="322" t="s">
        <v>9830</v>
      </c>
      <c r="I2604" s="322">
        <v>73319</v>
      </c>
      <c r="J2604" s="322" t="s">
        <v>9831</v>
      </c>
      <c r="K2604" s="322" t="s">
        <v>9832</v>
      </c>
      <c r="L2604" s="322" t="s">
        <v>364</v>
      </c>
      <c r="M2604" s="322" t="s">
        <v>364</v>
      </c>
      <c r="N2604" s="322" t="s">
        <v>364</v>
      </c>
      <c r="O2604" s="322" t="s">
        <v>364</v>
      </c>
      <c r="P2604" s="497" t="s">
        <v>9833</v>
      </c>
      <c r="Q2604" s="322" t="str">
        <f>IF(A2604="SCORTA 15",1,"")</f>
        <v/>
      </c>
      <c r="R2604" s="324">
        <f t="shared" si="36"/>
        <v>1</v>
      </c>
      <c r="S2604" s="324">
        <f t="shared" si="37"/>
        <v>1</v>
      </c>
      <c r="T2604" s="512" t="e">
        <f>_xlfn.XLOOKUP(H2604,#REF!,#REF!,0,0)</f>
        <v>#REF!</v>
      </c>
    </row>
    <row r="2605" spans="1:20" s="295" customFormat="1" ht="18" customHeight="1" x14ac:dyDescent="0.4">
      <c r="A2605" s="2" t="s">
        <v>9834</v>
      </c>
      <c r="B2605" s="2" t="s">
        <v>9835</v>
      </c>
      <c r="C2605" s="2" t="s">
        <v>435</v>
      </c>
      <c r="D2605" s="2"/>
      <c r="E2605" s="1" t="s">
        <v>10</v>
      </c>
      <c r="F2605" s="1" t="s">
        <v>436</v>
      </c>
      <c r="G2605" s="2">
        <v>45446</v>
      </c>
      <c r="H2605" s="2" t="s">
        <v>9836</v>
      </c>
      <c r="I2605" s="1">
        <v>76566</v>
      </c>
      <c r="J2605" s="2" t="s">
        <v>9837</v>
      </c>
      <c r="K2605" s="2">
        <v>45566</v>
      </c>
      <c r="L2605" s="2" t="s">
        <v>364</v>
      </c>
      <c r="M2605" s="2" t="s">
        <v>364</v>
      </c>
      <c r="N2605" s="2" t="s">
        <v>364</v>
      </c>
      <c r="O2605" s="2" t="s">
        <v>364</v>
      </c>
      <c r="P2605" s="488" t="s">
        <v>6066</v>
      </c>
      <c r="Q2605" s="1" t="str">
        <f>IF(A2605="SCORTA 10",1,"")</f>
        <v/>
      </c>
      <c r="R2605" s="1">
        <f t="shared" si="36"/>
        <v>1</v>
      </c>
      <c r="S2605" s="1">
        <f t="shared" si="37"/>
        <v>1</v>
      </c>
      <c r="T2605" s="512" t="e">
        <f>_xlfn.XLOOKUP(H2605,#REF!,#REF!,0,0)</f>
        <v>#REF!</v>
      </c>
    </row>
    <row r="2606" spans="1:20" s="295" customFormat="1" ht="18" customHeight="1" x14ac:dyDescent="0.4">
      <c r="A2606" s="2" t="s">
        <v>9838</v>
      </c>
      <c r="B2606" s="2" t="s">
        <v>9839</v>
      </c>
      <c r="C2606" s="2" t="s">
        <v>435</v>
      </c>
      <c r="D2606" s="2"/>
      <c r="E2606" s="1" t="s">
        <v>10</v>
      </c>
      <c r="F2606" s="1" t="s">
        <v>436</v>
      </c>
      <c r="G2606" s="2">
        <v>45446</v>
      </c>
      <c r="H2606" s="2" t="s">
        <v>9840</v>
      </c>
      <c r="I2606" s="1">
        <v>76567</v>
      </c>
      <c r="J2606" s="2" t="s">
        <v>9841</v>
      </c>
      <c r="K2606" s="2">
        <v>45566</v>
      </c>
      <c r="L2606" s="2" t="s">
        <v>364</v>
      </c>
      <c r="M2606" s="2" t="s">
        <v>364</v>
      </c>
      <c r="N2606" s="2" t="s">
        <v>364</v>
      </c>
      <c r="O2606" s="2" t="s">
        <v>364</v>
      </c>
      <c r="P2606" s="488" t="s">
        <v>9842</v>
      </c>
      <c r="Q2606" s="1" t="str">
        <f>IF(A2606="SCORTA 10",1,"")</f>
        <v/>
      </c>
      <c r="R2606" s="1">
        <f t="shared" si="36"/>
        <v>1</v>
      </c>
      <c r="S2606" s="1">
        <f t="shared" si="37"/>
        <v>1</v>
      </c>
      <c r="T2606" s="512" t="e">
        <f>_xlfn.XLOOKUP(H2606,#REF!,#REF!,0,0)</f>
        <v>#REF!</v>
      </c>
    </row>
    <row r="2607" spans="1:20" s="513" customFormat="1" ht="18" customHeight="1" x14ac:dyDescent="0.4">
      <c r="A2607" s="2" t="s">
        <v>9843</v>
      </c>
      <c r="B2607" s="2" t="s">
        <v>9844</v>
      </c>
      <c r="C2607" s="2" t="s">
        <v>433</v>
      </c>
      <c r="D2607" s="2" t="s">
        <v>8127</v>
      </c>
      <c r="E2607" s="2" t="s">
        <v>366</v>
      </c>
      <c r="F2607" s="2" t="s">
        <v>367</v>
      </c>
      <c r="G2607" s="2">
        <v>45415</v>
      </c>
      <c r="H2607" s="2" t="s">
        <v>9845</v>
      </c>
      <c r="I2607" s="1">
        <v>73784</v>
      </c>
      <c r="J2607" s="2" t="s">
        <v>9846</v>
      </c>
      <c r="K2607" s="2">
        <v>45565</v>
      </c>
      <c r="L2607" s="2" t="s">
        <v>364</v>
      </c>
      <c r="M2607" s="2" t="s">
        <v>364</v>
      </c>
      <c r="N2607" s="2" t="s">
        <v>364</v>
      </c>
      <c r="O2607" s="2" t="s">
        <v>364</v>
      </c>
      <c r="P2607" s="488" t="s">
        <v>9847</v>
      </c>
      <c r="Q2607" s="281" t="str">
        <f>IF(A2607="SCORTA 10",1,"")</f>
        <v/>
      </c>
      <c r="R2607" s="1">
        <f t="shared" si="36"/>
        <v>1</v>
      </c>
      <c r="S2607" s="1">
        <f t="shared" si="37"/>
        <v>1</v>
      </c>
      <c r="T2607" s="512" t="e">
        <f>_xlfn.XLOOKUP(H2607,#REF!,#REF!,0,0)</f>
        <v>#REF!</v>
      </c>
    </row>
    <row r="2608" spans="1:20" s="295" customFormat="1" ht="18" customHeight="1" x14ac:dyDescent="0.4">
      <c r="A2608" s="2" t="s">
        <v>9848</v>
      </c>
      <c r="B2608" s="1" t="s">
        <v>9849</v>
      </c>
      <c r="C2608" s="1" t="s">
        <v>435</v>
      </c>
      <c r="D2608" s="303" t="s">
        <v>8127</v>
      </c>
      <c r="E2608" s="2" t="s">
        <v>366</v>
      </c>
      <c r="F2608" s="2" t="s">
        <v>367</v>
      </c>
      <c r="G2608" s="2">
        <v>45415</v>
      </c>
      <c r="H2608" s="2" t="s">
        <v>9850</v>
      </c>
      <c r="I2608" s="1">
        <v>73766</v>
      </c>
      <c r="J2608" s="1" t="s">
        <v>9851</v>
      </c>
      <c r="K2608" s="2">
        <v>45566</v>
      </c>
      <c r="L2608" s="1" t="s">
        <v>364</v>
      </c>
      <c r="M2608" s="1" t="s">
        <v>364</v>
      </c>
      <c r="N2608" s="1" t="s">
        <v>364</v>
      </c>
      <c r="O2608" s="1" t="s">
        <v>364</v>
      </c>
      <c r="P2608" s="487" t="s">
        <v>9816</v>
      </c>
      <c r="Q2608" s="281" t="str">
        <f>IF(A2608="SCORTA 10",1,"")</f>
        <v/>
      </c>
      <c r="R2608" s="1">
        <f t="shared" si="36"/>
        <v>1</v>
      </c>
      <c r="S2608" s="1">
        <f t="shared" si="37"/>
        <v>1</v>
      </c>
      <c r="T2608" s="512" t="e">
        <f>_xlfn.XLOOKUP(H2608,#REF!,#REF!,0,0)</f>
        <v>#REF!</v>
      </c>
    </row>
    <row r="2609" spans="1:20" s="514" customFormat="1" ht="18" customHeight="1" x14ac:dyDescent="0.4">
      <c r="A2609" s="369" t="s">
        <v>9852</v>
      </c>
      <c r="B2609" s="325" t="s">
        <v>9853</v>
      </c>
      <c r="C2609" s="324" t="s">
        <v>433</v>
      </c>
      <c r="D2609" s="324" t="s">
        <v>8127</v>
      </c>
      <c r="E2609" s="324" t="s">
        <v>10</v>
      </c>
      <c r="F2609" s="324" t="s">
        <v>4158</v>
      </c>
      <c r="G2609" s="324"/>
      <c r="H2609" s="324" t="s">
        <v>7604</v>
      </c>
      <c r="I2609" s="324">
        <v>72783</v>
      </c>
      <c r="J2609" s="324"/>
      <c r="K2609" s="324"/>
      <c r="L2609" s="324" t="s">
        <v>364</v>
      </c>
      <c r="M2609" s="324" t="s">
        <v>364</v>
      </c>
      <c r="N2609" s="324" t="s">
        <v>364</v>
      </c>
      <c r="O2609" s="324" t="s">
        <v>364</v>
      </c>
      <c r="P2609" s="384"/>
      <c r="Q2609" s="324"/>
      <c r="R2609" s="324">
        <v>1</v>
      </c>
      <c r="S2609" s="324">
        <v>1</v>
      </c>
      <c r="T2609" s="512" t="e">
        <f>_xlfn.XLOOKUP(H2609,#REF!,#REF!,0,0)</f>
        <v>#REF!</v>
      </c>
    </row>
    <row r="2610" spans="1:20" s="514" customFormat="1" ht="18" customHeight="1" x14ac:dyDescent="0.4">
      <c r="A2610" s="324" t="s">
        <v>9854</v>
      </c>
      <c r="B2610" s="324" t="s">
        <v>9855</v>
      </c>
      <c r="C2610" s="324" t="s">
        <v>431</v>
      </c>
      <c r="D2610" s="324" t="s">
        <v>8127</v>
      </c>
      <c r="E2610" s="324" t="s">
        <v>10</v>
      </c>
      <c r="F2610" s="324" t="s">
        <v>244</v>
      </c>
      <c r="G2610" s="324"/>
      <c r="H2610" s="324" t="s">
        <v>3123</v>
      </c>
      <c r="I2610" s="324">
        <v>69303</v>
      </c>
      <c r="J2610" s="324"/>
      <c r="K2610" s="337">
        <v>45566</v>
      </c>
      <c r="L2610" s="324" t="s">
        <v>364</v>
      </c>
      <c r="M2610" s="324" t="s">
        <v>364</v>
      </c>
      <c r="N2610" s="324" t="s">
        <v>364</v>
      </c>
      <c r="O2610" s="324" t="s">
        <v>364</v>
      </c>
      <c r="P2610" s="384" t="s">
        <v>6278</v>
      </c>
      <c r="Q2610" s="324">
        <v>1</v>
      </c>
      <c r="R2610" s="324"/>
      <c r="S2610" s="324"/>
      <c r="T2610" s="512" t="e">
        <f>_xlfn.XLOOKUP(H2610,#REF!,#REF!,0,0)</f>
        <v>#REF!</v>
      </c>
    </row>
    <row r="2611" spans="1:20" s="514" customFormat="1" ht="18" customHeight="1" x14ac:dyDescent="0.4">
      <c r="A2611" s="324" t="s">
        <v>9856</v>
      </c>
      <c r="B2611" s="324" t="s">
        <v>9857</v>
      </c>
      <c r="C2611" s="324" t="s">
        <v>431</v>
      </c>
      <c r="D2611" s="324" t="s">
        <v>8127</v>
      </c>
      <c r="E2611" s="324" t="s">
        <v>10</v>
      </c>
      <c r="F2611" s="324" t="s">
        <v>244</v>
      </c>
      <c r="G2611" s="324"/>
      <c r="H2611" s="324" t="s">
        <v>253</v>
      </c>
      <c r="I2611" s="324">
        <v>70555</v>
      </c>
      <c r="J2611" s="324"/>
      <c r="K2611" s="337">
        <v>45566</v>
      </c>
      <c r="L2611" s="324" t="s">
        <v>364</v>
      </c>
      <c r="M2611" s="324" t="s">
        <v>364</v>
      </c>
      <c r="N2611" s="324" t="s">
        <v>364</v>
      </c>
      <c r="O2611" s="324" t="s">
        <v>364</v>
      </c>
      <c r="P2611" s="384" t="s">
        <v>9858</v>
      </c>
      <c r="Q2611" s="324">
        <v>1</v>
      </c>
      <c r="R2611" s="324"/>
      <c r="S2611" s="324"/>
      <c r="T2611" s="512" t="e">
        <f>_xlfn.XLOOKUP(H2611,#REF!,#REF!,0,0)</f>
        <v>#REF!</v>
      </c>
    </row>
    <row r="2612" spans="1:20" s="513" customFormat="1" ht="18" customHeight="1" x14ac:dyDescent="0.4">
      <c r="A2612" s="2" t="s">
        <v>9859</v>
      </c>
      <c r="B2612" s="2" t="s">
        <v>9860</v>
      </c>
      <c r="C2612" s="2" t="s">
        <v>433</v>
      </c>
      <c r="D2612" s="2" t="s">
        <v>8127</v>
      </c>
      <c r="E2612" s="2" t="s">
        <v>366</v>
      </c>
      <c r="F2612" s="2" t="s">
        <v>367</v>
      </c>
      <c r="G2612" s="2">
        <v>45415</v>
      </c>
      <c r="H2612" s="2" t="s">
        <v>9861</v>
      </c>
      <c r="I2612" s="1">
        <v>73779</v>
      </c>
      <c r="J2612" s="2" t="s">
        <v>9862</v>
      </c>
      <c r="K2612" s="2"/>
      <c r="L2612" s="1" t="s">
        <v>364</v>
      </c>
      <c r="M2612" s="1" t="s">
        <v>364</v>
      </c>
      <c r="N2612" s="1" t="s">
        <v>364</v>
      </c>
      <c r="O2612" s="1" t="s">
        <v>364</v>
      </c>
      <c r="P2612" s="488"/>
      <c r="Q2612" s="281" t="str">
        <f>IF(A2612="SCORTA 10",1,"")</f>
        <v/>
      </c>
      <c r="R2612" s="1">
        <f t="shared" ref="R2612:S2615" si="38">IF(H2612&lt;&gt;"",1,"")</f>
        <v>1</v>
      </c>
      <c r="S2612" s="1">
        <f t="shared" si="38"/>
        <v>1</v>
      </c>
      <c r="T2612" s="512" t="e">
        <f>_xlfn.XLOOKUP(H2612,#REF!,#REF!,0,0)</f>
        <v>#REF!</v>
      </c>
    </row>
    <row r="2613" spans="1:20" s="295" customFormat="1" ht="18" customHeight="1" x14ac:dyDescent="0.4">
      <c r="A2613" s="2" t="s">
        <v>9863</v>
      </c>
      <c r="B2613" s="2" t="s">
        <v>9864</v>
      </c>
      <c r="C2613" s="2" t="s">
        <v>433</v>
      </c>
      <c r="D2613" s="2" t="s">
        <v>8127</v>
      </c>
      <c r="E2613" s="1" t="s">
        <v>10</v>
      </c>
      <c r="F2613" s="1" t="s">
        <v>436</v>
      </c>
      <c r="G2613" s="2">
        <v>45446</v>
      </c>
      <c r="H2613" s="2" t="s">
        <v>9865</v>
      </c>
      <c r="I2613" s="1">
        <v>76570</v>
      </c>
      <c r="J2613" s="2" t="s">
        <v>9866</v>
      </c>
      <c r="K2613" s="2">
        <v>45566</v>
      </c>
      <c r="L2613" s="1" t="s">
        <v>364</v>
      </c>
      <c r="M2613" s="1" t="s">
        <v>364</v>
      </c>
      <c r="N2613" s="1" t="s">
        <v>364</v>
      </c>
      <c r="O2613" s="1" t="s">
        <v>364</v>
      </c>
      <c r="P2613" s="488"/>
      <c r="Q2613" s="1" t="str">
        <f>IF(A2613="SCORTA 10",1,"")</f>
        <v/>
      </c>
      <c r="R2613" s="1">
        <f t="shared" si="38"/>
        <v>1</v>
      </c>
      <c r="S2613" s="1">
        <f t="shared" si="38"/>
        <v>1</v>
      </c>
      <c r="T2613" s="512" t="e">
        <f>_xlfn.XLOOKUP(H2613,#REF!,#REF!,0,0)</f>
        <v>#REF!</v>
      </c>
    </row>
    <row r="2614" spans="1:20" s="301" customFormat="1" x14ac:dyDescent="0.4">
      <c r="A2614" s="322" t="s">
        <v>9867</v>
      </c>
      <c r="B2614" s="322" t="s">
        <v>9868</v>
      </c>
      <c r="C2614" s="322" t="s">
        <v>433</v>
      </c>
      <c r="D2614" s="322" t="s">
        <v>8127</v>
      </c>
      <c r="E2614" s="322" t="s">
        <v>10</v>
      </c>
      <c r="F2614" s="322" t="s">
        <v>8771</v>
      </c>
      <c r="G2614" s="323">
        <v>45243</v>
      </c>
      <c r="H2614" s="322" t="s">
        <v>9869</v>
      </c>
      <c r="I2614" s="322">
        <v>73320</v>
      </c>
      <c r="J2614" s="322" t="s">
        <v>9870</v>
      </c>
      <c r="K2614" s="322" t="s">
        <v>9871</v>
      </c>
      <c r="L2614" s="1" t="s">
        <v>364</v>
      </c>
      <c r="M2614" s="1" t="s">
        <v>364</v>
      </c>
      <c r="N2614" s="1" t="s">
        <v>364</v>
      </c>
      <c r="O2614" s="1" t="s">
        <v>364</v>
      </c>
      <c r="P2614" s="497" t="s">
        <v>9872</v>
      </c>
      <c r="Q2614" s="322" t="str">
        <f>IF(A2614="SCORTA 15",1,"")</f>
        <v/>
      </c>
      <c r="R2614" s="324">
        <f t="shared" si="38"/>
        <v>1</v>
      </c>
      <c r="S2614" s="324">
        <f t="shared" si="38"/>
        <v>1</v>
      </c>
      <c r="T2614" s="512" t="e">
        <f>_xlfn.XLOOKUP(H2614,#REF!,#REF!,0,0)</f>
        <v>#REF!</v>
      </c>
    </row>
    <row r="2615" spans="1:20" s="295" customFormat="1" ht="18" customHeight="1" x14ac:dyDescent="0.4">
      <c r="A2615" s="2" t="s">
        <v>9873</v>
      </c>
      <c r="B2615" s="2" t="s">
        <v>9874</v>
      </c>
      <c r="C2615" s="2" t="s">
        <v>433</v>
      </c>
      <c r="D2615" s="2" t="s">
        <v>8127</v>
      </c>
      <c r="E2615" s="1" t="s">
        <v>10</v>
      </c>
      <c r="F2615" s="1" t="s">
        <v>436</v>
      </c>
      <c r="G2615" s="2">
        <v>45446</v>
      </c>
      <c r="H2615" s="2" t="s">
        <v>9875</v>
      </c>
      <c r="I2615" s="1">
        <v>76571</v>
      </c>
      <c r="J2615" s="2" t="s">
        <v>9876</v>
      </c>
      <c r="K2615" s="2" t="s">
        <v>9877</v>
      </c>
      <c r="L2615" s="1" t="s">
        <v>364</v>
      </c>
      <c r="M2615" s="1" t="s">
        <v>364</v>
      </c>
      <c r="N2615" s="1" t="s">
        <v>364</v>
      </c>
      <c r="O2615" s="1" t="s">
        <v>364</v>
      </c>
      <c r="P2615" s="488" t="s">
        <v>9878</v>
      </c>
      <c r="Q2615" s="1" t="str">
        <f>IF(A2615="SCORTA 10",1,"")</f>
        <v/>
      </c>
      <c r="R2615" s="1">
        <f t="shared" si="38"/>
        <v>1</v>
      </c>
      <c r="S2615" s="1">
        <f t="shared" si="38"/>
        <v>1</v>
      </c>
      <c r="T2615" s="512" t="e">
        <f>_xlfn.XLOOKUP(H2615,#REF!,#REF!,0,0)</f>
        <v>#REF!</v>
      </c>
    </row>
    <row r="2616" spans="1:20" s="376" customFormat="1" ht="18.75" customHeight="1" x14ac:dyDescent="0.4">
      <c r="A2616" s="1" t="s">
        <v>9879</v>
      </c>
      <c r="B2616" s="1" t="s">
        <v>9880</v>
      </c>
      <c r="C2616" s="1" t="s">
        <v>433</v>
      </c>
      <c r="D2616" s="1" t="s">
        <v>8127</v>
      </c>
      <c r="E2616" s="1" t="s">
        <v>10</v>
      </c>
      <c r="F2616" s="1" t="s">
        <v>436</v>
      </c>
      <c r="G2616" s="2">
        <v>45566</v>
      </c>
      <c r="H2616" s="1" t="s">
        <v>9881</v>
      </c>
      <c r="I2616" s="1">
        <v>76773</v>
      </c>
      <c r="J2616" s="1" t="s">
        <v>9882</v>
      </c>
      <c r="K2616" s="291">
        <v>45574</v>
      </c>
      <c r="L2616" s="1" t="s">
        <v>364</v>
      </c>
      <c r="M2616" s="1" t="s">
        <v>364</v>
      </c>
      <c r="N2616" s="1" t="s">
        <v>364</v>
      </c>
      <c r="O2616" s="1" t="s">
        <v>364</v>
      </c>
      <c r="P2616" s="487" t="s">
        <v>9883</v>
      </c>
      <c r="Q2616" s="1"/>
      <c r="R2616" s="1">
        <v>1</v>
      </c>
      <c r="S2616" s="1">
        <v>1</v>
      </c>
      <c r="T2616" s="512" t="e">
        <f>_xlfn.XLOOKUP(H2616,#REF!,#REF!,0,0)</f>
        <v>#REF!</v>
      </c>
    </row>
    <row r="2617" spans="1:20" s="301" customFormat="1" x14ac:dyDescent="0.4">
      <c r="A2617" s="322" t="s">
        <v>9884</v>
      </c>
      <c r="B2617" s="322" t="s">
        <v>9885</v>
      </c>
      <c r="C2617" s="322" t="s">
        <v>433</v>
      </c>
      <c r="D2617" s="322" t="s">
        <v>693</v>
      </c>
      <c r="E2617" s="322" t="s">
        <v>10</v>
      </c>
      <c r="F2617" s="322" t="s">
        <v>8771</v>
      </c>
      <c r="G2617" s="323">
        <v>45243</v>
      </c>
      <c r="H2617" s="322" t="s">
        <v>9886</v>
      </c>
      <c r="I2617" s="322">
        <v>73322</v>
      </c>
      <c r="J2617" s="322" t="s">
        <v>9887</v>
      </c>
      <c r="K2617" s="334">
        <v>45576</v>
      </c>
      <c r="L2617" s="1" t="s">
        <v>364</v>
      </c>
      <c r="M2617" s="1" t="s">
        <v>364</v>
      </c>
      <c r="N2617" s="1" t="s">
        <v>364</v>
      </c>
      <c r="O2617" s="1" t="s">
        <v>364</v>
      </c>
      <c r="P2617" s="497" t="s">
        <v>9888</v>
      </c>
      <c r="Q2617" s="322" t="str">
        <f>IF(A2617="SCORTA 15",1,"")</f>
        <v/>
      </c>
      <c r="R2617" s="322">
        <v>1</v>
      </c>
      <c r="S2617" s="322">
        <v>1</v>
      </c>
      <c r="T2617" s="512" t="e">
        <f>_xlfn.XLOOKUP(H2617,#REF!,#REF!,0,0)</f>
        <v>#REF!</v>
      </c>
    </row>
    <row r="2618" spans="1:20" s="513" customFormat="1" ht="18" customHeight="1" x14ac:dyDescent="0.4">
      <c r="A2618" s="367" t="s">
        <v>9889</v>
      </c>
      <c r="B2618" s="2" t="s">
        <v>9890</v>
      </c>
      <c r="C2618" s="368" t="s">
        <v>433</v>
      </c>
      <c r="D2618" s="322" t="s">
        <v>693</v>
      </c>
      <c r="E2618" s="2" t="s">
        <v>366</v>
      </c>
      <c r="F2618" s="2" t="s">
        <v>367</v>
      </c>
      <c r="G2618" s="2">
        <v>45513</v>
      </c>
      <c r="H2618" s="2" t="s">
        <v>9891</v>
      </c>
      <c r="I2618" s="1">
        <v>76329</v>
      </c>
      <c r="J2618" s="2" t="s">
        <v>9892</v>
      </c>
      <c r="K2618" s="2" t="s">
        <v>9893</v>
      </c>
      <c r="L2618" s="1" t="s">
        <v>364</v>
      </c>
      <c r="M2618" s="1" t="s">
        <v>364</v>
      </c>
      <c r="N2618" s="1" t="s">
        <v>364</v>
      </c>
      <c r="O2618" s="1" t="s">
        <v>364</v>
      </c>
      <c r="P2618" s="488" t="s">
        <v>7768</v>
      </c>
      <c r="Q2618" s="281" t="str">
        <f>IF(A2618="SCORTA 10",1,"")</f>
        <v/>
      </c>
      <c r="R2618" s="1">
        <f t="shared" ref="R2618:S2620" si="39">IF(H2618&lt;&gt;"",1,"")</f>
        <v>1</v>
      </c>
      <c r="S2618" s="1">
        <f t="shared" si="39"/>
        <v>1</v>
      </c>
      <c r="T2618" s="512" t="e">
        <f>_xlfn.XLOOKUP(H2618,#REF!,#REF!,0,0)</f>
        <v>#REF!</v>
      </c>
    </row>
    <row r="2619" spans="1:20" s="295" customFormat="1" ht="18" customHeight="1" x14ac:dyDescent="0.4">
      <c r="A2619" s="2" t="s">
        <v>9894</v>
      </c>
      <c r="B2619" s="2" t="s">
        <v>9895</v>
      </c>
      <c r="C2619" s="2" t="s">
        <v>433</v>
      </c>
      <c r="D2619" s="2" t="s">
        <v>8127</v>
      </c>
      <c r="E2619" s="1" t="s">
        <v>10</v>
      </c>
      <c r="F2619" s="1" t="s">
        <v>436</v>
      </c>
      <c r="G2619" s="2">
        <v>45446</v>
      </c>
      <c r="H2619" s="2" t="s">
        <v>9896</v>
      </c>
      <c r="I2619" s="1">
        <v>76569</v>
      </c>
      <c r="J2619" s="2" t="s">
        <v>9897</v>
      </c>
      <c r="K2619" s="2">
        <v>45579</v>
      </c>
      <c r="L2619" s="1" t="s">
        <v>364</v>
      </c>
      <c r="M2619" s="1" t="s">
        <v>364</v>
      </c>
      <c r="N2619" s="1" t="s">
        <v>364</v>
      </c>
      <c r="O2619" s="1" t="s">
        <v>364</v>
      </c>
      <c r="P2619" s="488" t="s">
        <v>9898</v>
      </c>
      <c r="Q2619" s="1" t="str">
        <f>IF(A2619="SCORTA 10",1,"")</f>
        <v/>
      </c>
      <c r="R2619" s="1">
        <f t="shared" si="39"/>
        <v>1</v>
      </c>
      <c r="S2619" s="1">
        <f t="shared" si="39"/>
        <v>1</v>
      </c>
      <c r="T2619" s="512" t="e">
        <f>_xlfn.XLOOKUP(H2619,#REF!,#REF!,0,0)</f>
        <v>#REF!</v>
      </c>
    </row>
    <row r="2620" spans="1:20" s="513" customFormat="1" ht="18" customHeight="1" x14ac:dyDescent="0.4">
      <c r="A2620" s="2" t="s">
        <v>9899</v>
      </c>
      <c r="B2620" s="2" t="s">
        <v>9900</v>
      </c>
      <c r="C2620" s="2" t="s">
        <v>433</v>
      </c>
      <c r="D2620" s="2" t="s">
        <v>8127</v>
      </c>
      <c r="E2620" s="2" t="s">
        <v>366</v>
      </c>
      <c r="F2620" s="2" t="s">
        <v>367</v>
      </c>
      <c r="G2620" s="2">
        <v>45513</v>
      </c>
      <c r="H2620" s="2" t="s">
        <v>9901</v>
      </c>
      <c r="I2620" s="1">
        <v>76333</v>
      </c>
      <c r="J2620" s="2" t="s">
        <v>9902</v>
      </c>
      <c r="K2620" s="2">
        <v>45579</v>
      </c>
      <c r="L2620" s="1" t="s">
        <v>364</v>
      </c>
      <c r="M2620" s="1" t="s">
        <v>364</v>
      </c>
      <c r="N2620" s="1" t="s">
        <v>364</v>
      </c>
      <c r="O2620" s="1" t="s">
        <v>364</v>
      </c>
      <c r="P2620" s="488"/>
      <c r="Q2620" s="281" t="str">
        <f>IF(A2620="SCORTA 10",1,"")</f>
        <v/>
      </c>
      <c r="R2620" s="1">
        <f t="shared" si="39"/>
        <v>1</v>
      </c>
      <c r="S2620" s="1">
        <f t="shared" si="39"/>
        <v>1</v>
      </c>
      <c r="T2620" s="512" t="e">
        <f>_xlfn.XLOOKUP(H2620,#REF!,#REF!,0,0)</f>
        <v>#REF!</v>
      </c>
    </row>
    <row r="2621" spans="1:20" s="376" customFormat="1" ht="18.75" customHeight="1" x14ac:dyDescent="0.4">
      <c r="A2621" s="1" t="s">
        <v>9903</v>
      </c>
      <c r="B2621" s="1" t="s">
        <v>9904</v>
      </c>
      <c r="C2621" s="1" t="s">
        <v>433</v>
      </c>
      <c r="D2621" s="1" t="s">
        <v>8127</v>
      </c>
      <c r="E2621" s="1" t="s">
        <v>10</v>
      </c>
      <c r="F2621" s="1" t="s">
        <v>436</v>
      </c>
      <c r="G2621" s="2">
        <v>45566</v>
      </c>
      <c r="H2621" s="1" t="s">
        <v>9905</v>
      </c>
      <c r="I2621" s="1">
        <v>76775</v>
      </c>
      <c r="J2621" s="1" t="s">
        <v>9906</v>
      </c>
      <c r="K2621" s="2">
        <v>45579</v>
      </c>
      <c r="L2621" s="1" t="s">
        <v>364</v>
      </c>
      <c r="M2621" s="1" t="s">
        <v>364</v>
      </c>
      <c r="N2621" s="1" t="s">
        <v>364</v>
      </c>
      <c r="O2621" s="1" t="s">
        <v>364</v>
      </c>
      <c r="P2621" s="487" t="s">
        <v>9907</v>
      </c>
      <c r="Q2621" s="1"/>
      <c r="R2621" s="1">
        <v>1</v>
      </c>
      <c r="S2621" s="1">
        <v>1</v>
      </c>
      <c r="T2621" s="512" t="e">
        <f>_xlfn.XLOOKUP(H2621,#REF!,#REF!,0,0)</f>
        <v>#REF!</v>
      </c>
    </row>
    <row r="2622" spans="1:20" s="301" customFormat="1" x14ac:dyDescent="0.4">
      <c r="A2622" s="322" t="s">
        <v>9908</v>
      </c>
      <c r="B2622" s="322" t="s">
        <v>9909</v>
      </c>
      <c r="C2622" s="322" t="s">
        <v>433</v>
      </c>
      <c r="D2622" s="322" t="s">
        <v>8127</v>
      </c>
      <c r="E2622" s="322" t="s">
        <v>10</v>
      </c>
      <c r="F2622" s="322" t="s">
        <v>8771</v>
      </c>
      <c r="G2622" s="323">
        <v>45243</v>
      </c>
      <c r="H2622" s="322" t="s">
        <v>9910</v>
      </c>
      <c r="I2622" s="322">
        <v>73321</v>
      </c>
      <c r="J2622" s="322" t="s">
        <v>9911</v>
      </c>
      <c r="K2622" s="322" t="s">
        <v>9912</v>
      </c>
      <c r="L2622" s="1" t="s">
        <v>364</v>
      </c>
      <c r="M2622" s="1" t="s">
        <v>364</v>
      </c>
      <c r="N2622" s="1" t="s">
        <v>364</v>
      </c>
      <c r="O2622" s="1" t="s">
        <v>364</v>
      </c>
      <c r="P2622" s="497" t="s">
        <v>9913</v>
      </c>
      <c r="Q2622" s="322" t="str">
        <f>IF(A2622="SCORTA 15",1,"")</f>
        <v/>
      </c>
      <c r="R2622" s="324">
        <f>IF(H2622&lt;&gt;"",1,"")</f>
        <v>1</v>
      </c>
      <c r="S2622" s="324">
        <f>IF(I2622&lt;&gt;"",1,"")</f>
        <v>1</v>
      </c>
      <c r="T2622" s="512" t="e">
        <f>_xlfn.XLOOKUP(H2622,#REF!,#REF!,0,0)</f>
        <v>#REF!</v>
      </c>
    </row>
    <row r="2623" spans="1:20" s="513" customFormat="1" ht="18" customHeight="1" x14ac:dyDescent="0.4">
      <c r="A2623" s="2" t="s">
        <v>9914</v>
      </c>
      <c r="B2623" s="2" t="s">
        <v>9915</v>
      </c>
      <c r="C2623" s="2" t="s">
        <v>433</v>
      </c>
      <c r="D2623" s="2" t="s">
        <v>8127</v>
      </c>
      <c r="E2623" s="2" t="s">
        <v>366</v>
      </c>
      <c r="F2623" s="2" t="s">
        <v>367</v>
      </c>
      <c r="G2623" s="2">
        <v>45513</v>
      </c>
      <c r="H2623" s="2" t="s">
        <v>9916</v>
      </c>
      <c r="I2623" s="1">
        <v>76334</v>
      </c>
      <c r="J2623" s="2" t="s">
        <v>9917</v>
      </c>
      <c r="K2623" s="2">
        <v>45579</v>
      </c>
      <c r="L2623" s="1" t="s">
        <v>364</v>
      </c>
      <c r="M2623" s="1" t="s">
        <v>364</v>
      </c>
      <c r="N2623" s="1" t="s">
        <v>364</v>
      </c>
      <c r="O2623" s="1" t="s">
        <v>364</v>
      </c>
      <c r="P2623" s="488"/>
      <c r="Q2623" s="281" t="str">
        <f>IF(A2623="SCORTA 10",1,"")</f>
        <v/>
      </c>
      <c r="R2623" s="1">
        <f>IF(H2623&lt;&gt;"",1,"")</f>
        <v>1</v>
      </c>
      <c r="S2623" s="1">
        <f>IF(I2623&lt;&gt;"",1,"")</f>
        <v>1</v>
      </c>
      <c r="T2623" s="512" t="e">
        <f>_xlfn.XLOOKUP(H2623,#REF!,#REF!,0,0)</f>
        <v>#REF!</v>
      </c>
    </row>
    <row r="2624" spans="1:20" s="376" customFormat="1" ht="18" customHeight="1" x14ac:dyDescent="0.4">
      <c r="A2624" s="1" t="s">
        <v>9918</v>
      </c>
      <c r="B2624" s="1" t="s">
        <v>9919</v>
      </c>
      <c r="C2624" s="1" t="s">
        <v>433</v>
      </c>
      <c r="D2624" s="1" t="s">
        <v>8127</v>
      </c>
      <c r="E2624" s="1" t="s">
        <v>10</v>
      </c>
      <c r="F2624" s="1" t="s">
        <v>436</v>
      </c>
      <c r="G2624" s="2">
        <v>45566</v>
      </c>
      <c r="H2624" s="1" t="s">
        <v>9920</v>
      </c>
      <c r="I2624" s="1">
        <v>76772</v>
      </c>
      <c r="J2624" s="1" t="s">
        <v>9921</v>
      </c>
      <c r="K2624" s="1" t="s">
        <v>9922</v>
      </c>
      <c r="L2624" s="1" t="s">
        <v>364</v>
      </c>
      <c r="M2624" s="1" t="s">
        <v>364</v>
      </c>
      <c r="N2624" s="1" t="s">
        <v>364</v>
      </c>
      <c r="O2624" s="1" t="s">
        <v>364</v>
      </c>
      <c r="P2624" s="487" t="s">
        <v>9923</v>
      </c>
      <c r="Q2624" s="1"/>
      <c r="R2624" s="1">
        <v>1</v>
      </c>
      <c r="S2624" s="1">
        <v>1</v>
      </c>
      <c r="T2624" s="512" t="e">
        <f>_xlfn.XLOOKUP(H2624,#REF!,#REF!,0,0)</f>
        <v>#REF!</v>
      </c>
    </row>
    <row r="2625" spans="1:20" s="295" customFormat="1" ht="18" customHeight="1" x14ac:dyDescent="0.4">
      <c r="A2625" s="2" t="s">
        <v>9924</v>
      </c>
      <c r="B2625" s="1" t="s">
        <v>9925</v>
      </c>
      <c r="C2625" s="1" t="s">
        <v>433</v>
      </c>
      <c r="D2625" s="303" t="s">
        <v>8127</v>
      </c>
      <c r="E2625" s="2" t="s">
        <v>10</v>
      </c>
      <c r="F2625" s="2" t="s">
        <v>362</v>
      </c>
      <c r="G2625" s="2"/>
      <c r="H2625" s="2" t="s">
        <v>9169</v>
      </c>
      <c r="I2625" s="1">
        <v>73668</v>
      </c>
      <c r="J2625" s="1"/>
      <c r="K2625" s="2" t="s">
        <v>9926</v>
      </c>
      <c r="L2625" s="1" t="s">
        <v>364</v>
      </c>
      <c r="M2625" s="1" t="s">
        <v>364</v>
      </c>
      <c r="N2625" s="1" t="s">
        <v>364</v>
      </c>
      <c r="O2625" s="1" t="s">
        <v>364</v>
      </c>
      <c r="P2625" s="487" t="s">
        <v>6379</v>
      </c>
      <c r="Q2625" s="281"/>
      <c r="R2625" s="1"/>
      <c r="S2625" s="1"/>
      <c r="T2625" s="512" t="e">
        <f>_xlfn.XLOOKUP(H2625,#REF!,#REF!,0,0)</f>
        <v>#REF!</v>
      </c>
    </row>
    <row r="2626" spans="1:20" s="513" customFormat="1" ht="18" customHeight="1" x14ac:dyDescent="0.4">
      <c r="A2626" s="2" t="s">
        <v>9927</v>
      </c>
      <c r="B2626" s="2" t="s">
        <v>9928</v>
      </c>
      <c r="C2626" s="2" t="s">
        <v>433</v>
      </c>
      <c r="D2626" s="2" t="s">
        <v>8127</v>
      </c>
      <c r="E2626" s="2" t="s">
        <v>366</v>
      </c>
      <c r="F2626" s="2" t="s">
        <v>367</v>
      </c>
      <c r="G2626" s="2">
        <v>45415</v>
      </c>
      <c r="H2626" s="2" t="s">
        <v>9929</v>
      </c>
      <c r="I2626" s="1">
        <v>73785</v>
      </c>
      <c r="J2626" s="2" t="s">
        <v>9930</v>
      </c>
      <c r="K2626" s="2" t="s">
        <v>9931</v>
      </c>
      <c r="L2626" s="2" t="s">
        <v>364</v>
      </c>
      <c r="M2626" s="2" t="s">
        <v>364</v>
      </c>
      <c r="N2626" s="2" t="s">
        <v>364</v>
      </c>
      <c r="O2626" s="2" t="s">
        <v>364</v>
      </c>
      <c r="P2626" s="488"/>
      <c r="Q2626" s="281" t="str">
        <f>IF(A2626="SCORTA 10",1,"")</f>
        <v/>
      </c>
      <c r="R2626" s="1">
        <f>IF(H2626&lt;&gt;"",1,"")</f>
        <v>1</v>
      </c>
      <c r="S2626" s="1">
        <f>IF(I2626&lt;&gt;"",1,"")</f>
        <v>1</v>
      </c>
      <c r="T2626" s="512" t="e">
        <f>_xlfn.XLOOKUP(H2626,#REF!,#REF!,0,0)</f>
        <v>#REF!</v>
      </c>
    </row>
    <row r="2627" spans="1:20" s="513" customFormat="1" ht="18" customHeight="1" x14ac:dyDescent="0.4">
      <c r="A2627" s="367" t="s">
        <v>9932</v>
      </c>
      <c r="B2627" s="2" t="s">
        <v>9933</v>
      </c>
      <c r="C2627" s="368" t="s">
        <v>435</v>
      </c>
      <c r="D2627" s="2" t="s">
        <v>8127</v>
      </c>
      <c r="E2627" s="2" t="s">
        <v>366</v>
      </c>
      <c r="F2627" s="2" t="s">
        <v>367</v>
      </c>
      <c r="G2627" s="2">
        <v>45513</v>
      </c>
      <c r="H2627" s="2" t="s">
        <v>9934</v>
      </c>
      <c r="I2627" s="1">
        <v>76331</v>
      </c>
      <c r="J2627" s="2" t="s">
        <v>9935</v>
      </c>
      <c r="K2627" s="2">
        <v>45581</v>
      </c>
      <c r="L2627" s="2" t="s">
        <v>364</v>
      </c>
      <c r="M2627" s="2" t="s">
        <v>364</v>
      </c>
      <c r="N2627" s="2" t="s">
        <v>364</v>
      </c>
      <c r="O2627" s="2" t="s">
        <v>364</v>
      </c>
      <c r="P2627" s="488" t="s">
        <v>5220</v>
      </c>
      <c r="Q2627" s="281" t="str">
        <f>IF(A2627="SCORTA 10",1,"")</f>
        <v/>
      </c>
      <c r="R2627" s="1">
        <f>IF(H2627&lt;&gt;"",1,"")</f>
        <v>1</v>
      </c>
      <c r="S2627" s="1">
        <f>IF(I2627&lt;&gt;"",1,"")</f>
        <v>1</v>
      </c>
      <c r="T2627" s="512" t="e">
        <f>_xlfn.XLOOKUP(H2627,#REF!,#REF!,0,0)</f>
        <v>#REF!</v>
      </c>
    </row>
    <row r="2628" spans="1:20" s="301" customFormat="1" x14ac:dyDescent="0.4">
      <c r="A2628" s="322" t="s">
        <v>9936</v>
      </c>
      <c r="B2628" s="322" t="s">
        <v>9937</v>
      </c>
      <c r="C2628" s="322" t="s">
        <v>433</v>
      </c>
      <c r="D2628" s="322" t="s">
        <v>8127</v>
      </c>
      <c r="E2628" s="322" t="s">
        <v>10</v>
      </c>
      <c r="F2628" s="322" t="s">
        <v>8771</v>
      </c>
      <c r="G2628" s="323">
        <v>45243</v>
      </c>
      <c r="H2628" s="322" t="s">
        <v>9938</v>
      </c>
      <c r="I2628" s="322">
        <v>73323</v>
      </c>
      <c r="J2628" s="322" t="s">
        <v>9939</v>
      </c>
      <c r="K2628" s="322" t="s">
        <v>9940</v>
      </c>
      <c r="L2628" s="322" t="s">
        <v>7332</v>
      </c>
      <c r="M2628" s="322" t="s">
        <v>7332</v>
      </c>
      <c r="N2628" s="322" t="s">
        <v>7332</v>
      </c>
      <c r="O2628" s="322" t="s">
        <v>7332</v>
      </c>
      <c r="P2628" s="497" t="s">
        <v>9941</v>
      </c>
      <c r="Q2628" s="322" t="str">
        <f>IF(A2628="SCORTA 15",1,"")</f>
        <v/>
      </c>
      <c r="R2628" s="322">
        <v>1</v>
      </c>
      <c r="S2628" s="322">
        <v>1</v>
      </c>
      <c r="T2628" s="512" t="e">
        <f>_xlfn.XLOOKUP(H2628,#REF!,#REF!,0,0)</f>
        <v>#REF!</v>
      </c>
    </row>
    <row r="2629" spans="1:20" s="376" customFormat="1" ht="18.75" customHeight="1" x14ac:dyDescent="0.4">
      <c r="A2629" s="1" t="s">
        <v>9942</v>
      </c>
      <c r="B2629" s="1" t="s">
        <v>9943</v>
      </c>
      <c r="C2629" s="1" t="s">
        <v>435</v>
      </c>
      <c r="D2629" s="1" t="s">
        <v>8127</v>
      </c>
      <c r="E2629" s="1" t="s">
        <v>10</v>
      </c>
      <c r="F2629" s="1" t="s">
        <v>436</v>
      </c>
      <c r="G2629" s="2">
        <v>45566</v>
      </c>
      <c r="H2629" s="1" t="s">
        <v>9944</v>
      </c>
      <c r="I2629" s="1">
        <v>76774</v>
      </c>
      <c r="J2629" s="1" t="s">
        <v>9945</v>
      </c>
      <c r="K2629" s="291">
        <v>45579</v>
      </c>
      <c r="L2629" s="1" t="s">
        <v>364</v>
      </c>
      <c r="M2629" s="1" t="s">
        <v>364</v>
      </c>
      <c r="N2629" s="1" t="s">
        <v>364</v>
      </c>
      <c r="O2629" s="1" t="s">
        <v>364</v>
      </c>
      <c r="P2629" s="487" t="s">
        <v>9946</v>
      </c>
      <c r="Q2629" s="1"/>
      <c r="R2629" s="1">
        <v>1</v>
      </c>
      <c r="S2629" s="1">
        <v>1</v>
      </c>
      <c r="T2629" s="512" t="e">
        <f>_xlfn.XLOOKUP(H2629,#REF!,#REF!,0,0)</f>
        <v>#REF!</v>
      </c>
    </row>
    <row r="2630" spans="1:20" s="301" customFormat="1" x14ac:dyDescent="0.4">
      <c r="A2630" s="322" t="s">
        <v>9947</v>
      </c>
      <c r="B2630" s="2" t="s">
        <v>9948</v>
      </c>
      <c r="C2630" s="2" t="s">
        <v>433</v>
      </c>
      <c r="D2630" s="2" t="s">
        <v>681</v>
      </c>
      <c r="E2630" s="2" t="s">
        <v>10</v>
      </c>
      <c r="F2630" s="2" t="s">
        <v>436</v>
      </c>
      <c r="G2630" s="2">
        <v>45411</v>
      </c>
      <c r="H2630" s="1" t="s">
        <v>9949</v>
      </c>
      <c r="I2630" s="1">
        <v>76112</v>
      </c>
      <c r="J2630" s="2" t="s">
        <v>9950</v>
      </c>
      <c r="K2630" s="2">
        <v>45426</v>
      </c>
      <c r="L2630" s="2" t="s">
        <v>364</v>
      </c>
      <c r="M2630" s="2" t="s">
        <v>364</v>
      </c>
      <c r="N2630" s="2" t="s">
        <v>364</v>
      </c>
      <c r="O2630" s="2" t="s">
        <v>364</v>
      </c>
      <c r="P2630" s="488" t="s">
        <v>9951</v>
      </c>
      <c r="Q2630" s="322" t="str">
        <f>IF(A2630="SCORTA 10",1,"")</f>
        <v/>
      </c>
      <c r="R2630" s="322">
        <f>IF(H2630&lt;&gt;"",1,"")</f>
        <v>1</v>
      </c>
      <c r="S2630" s="322">
        <f>IF(I2630&lt;&gt;"",1,"")</f>
        <v>1</v>
      </c>
      <c r="T2630" s="512" t="e">
        <f>_xlfn.XLOOKUP(H2630,#REF!,#REF!,0,0)</f>
        <v>#REF!</v>
      </c>
    </row>
    <row r="2631" spans="1:20" s="376" customFormat="1" ht="18" customHeight="1" x14ac:dyDescent="0.4">
      <c r="A2631" s="1" t="s">
        <v>9952</v>
      </c>
      <c r="B2631" s="1" t="s">
        <v>9953</v>
      </c>
      <c r="C2631" s="1" t="s">
        <v>435</v>
      </c>
      <c r="D2631" s="1" t="s">
        <v>8127</v>
      </c>
      <c r="E2631" s="1" t="s">
        <v>10</v>
      </c>
      <c r="F2631" s="1" t="s">
        <v>436</v>
      </c>
      <c r="G2631" s="2">
        <v>45566</v>
      </c>
      <c r="H2631" s="1" t="s">
        <v>9954</v>
      </c>
      <c r="I2631" s="1">
        <v>76777</v>
      </c>
      <c r="J2631" s="1" t="s">
        <v>9955</v>
      </c>
      <c r="K2631" s="291">
        <v>45586</v>
      </c>
      <c r="L2631" s="1" t="s">
        <v>364</v>
      </c>
      <c r="M2631" s="1" t="s">
        <v>364</v>
      </c>
      <c r="N2631" s="1" t="s">
        <v>364</v>
      </c>
      <c r="O2631" s="1" t="s">
        <v>364</v>
      </c>
      <c r="P2631" s="487" t="s">
        <v>7938</v>
      </c>
      <c r="Q2631" s="1"/>
      <c r="R2631" s="1">
        <v>1</v>
      </c>
      <c r="S2631" s="1">
        <v>1</v>
      </c>
      <c r="T2631" s="512" t="e">
        <f>_xlfn.XLOOKUP(H2631,#REF!,#REF!,0,0)</f>
        <v>#REF!</v>
      </c>
    </row>
    <row r="2632" spans="1:20" s="513" customFormat="1" ht="18" customHeight="1" x14ac:dyDescent="0.4">
      <c r="A2632" s="2" t="s">
        <v>9956</v>
      </c>
      <c r="B2632" s="2" t="s">
        <v>9957</v>
      </c>
      <c r="C2632" s="2" t="s">
        <v>433</v>
      </c>
      <c r="D2632" s="2" t="s">
        <v>8127</v>
      </c>
      <c r="E2632" s="2" t="s">
        <v>366</v>
      </c>
      <c r="F2632" s="2" t="s">
        <v>367</v>
      </c>
      <c r="G2632" s="2">
        <v>45513</v>
      </c>
      <c r="H2632" s="2" t="s">
        <v>9958</v>
      </c>
      <c r="I2632" s="1">
        <v>76335</v>
      </c>
      <c r="J2632" s="2" t="s">
        <v>9959</v>
      </c>
      <c r="K2632" s="2" t="s">
        <v>9960</v>
      </c>
      <c r="L2632" s="2" t="s">
        <v>364</v>
      </c>
      <c r="M2632" s="2" t="s">
        <v>364</v>
      </c>
      <c r="N2632" s="2" t="s">
        <v>364</v>
      </c>
      <c r="O2632" s="2" t="s">
        <v>364</v>
      </c>
      <c r="P2632" s="488"/>
      <c r="Q2632" s="281" t="str">
        <f>IF(A2632="SCORTA 10",1,"")</f>
        <v/>
      </c>
      <c r="R2632" s="1">
        <v>1</v>
      </c>
      <c r="S2632" s="1">
        <v>1</v>
      </c>
      <c r="T2632" s="512" t="e">
        <f>_xlfn.XLOOKUP(H2632,#REF!,#REF!,0,0)</f>
        <v>#REF!</v>
      </c>
    </row>
    <row r="2633" spans="1:20" s="513" customFormat="1" ht="18" customHeight="1" x14ac:dyDescent="0.4">
      <c r="A2633" s="2" t="s">
        <v>9961</v>
      </c>
      <c r="B2633" s="2" t="s">
        <v>9962</v>
      </c>
      <c r="C2633" s="2" t="s">
        <v>435</v>
      </c>
      <c r="D2633" s="2" t="s">
        <v>693</v>
      </c>
      <c r="E2633" s="2" t="s">
        <v>366</v>
      </c>
      <c r="F2633" s="2" t="s">
        <v>367</v>
      </c>
      <c r="G2633" s="2">
        <v>45513</v>
      </c>
      <c r="H2633" s="2" t="s">
        <v>9963</v>
      </c>
      <c r="I2633" s="1">
        <v>76337</v>
      </c>
      <c r="J2633" s="2" t="s">
        <v>9964</v>
      </c>
      <c r="K2633" s="2">
        <v>45586</v>
      </c>
      <c r="L2633" s="2" t="s">
        <v>364</v>
      </c>
      <c r="M2633" s="2" t="s">
        <v>364</v>
      </c>
      <c r="N2633" s="2" t="s">
        <v>364</v>
      </c>
      <c r="O2633" s="2" t="s">
        <v>364</v>
      </c>
      <c r="P2633" s="488" t="s">
        <v>7518</v>
      </c>
      <c r="Q2633" s="281" t="str">
        <f>IF(A2633="SCORTA 10",1,"")</f>
        <v/>
      </c>
      <c r="R2633" s="1">
        <v>1</v>
      </c>
      <c r="S2633" s="1">
        <v>1</v>
      </c>
      <c r="T2633" s="512" t="e">
        <f>_xlfn.XLOOKUP(H2633,#REF!,#REF!,0,0)</f>
        <v>#REF!</v>
      </c>
    </row>
    <row r="2634" spans="1:20" s="513" customFormat="1" ht="18" customHeight="1" x14ac:dyDescent="0.4">
      <c r="A2634" s="2" t="s">
        <v>9965</v>
      </c>
      <c r="B2634" s="2" t="s">
        <v>9966</v>
      </c>
      <c r="C2634" s="2" t="s">
        <v>435</v>
      </c>
      <c r="D2634" s="2" t="s">
        <v>693</v>
      </c>
      <c r="E2634" s="2" t="s">
        <v>366</v>
      </c>
      <c r="F2634" s="2" t="s">
        <v>367</v>
      </c>
      <c r="G2634" s="2">
        <v>45513</v>
      </c>
      <c r="H2634" s="2" t="s">
        <v>9967</v>
      </c>
      <c r="I2634" s="1">
        <v>76338</v>
      </c>
      <c r="J2634" s="2" t="s">
        <v>9968</v>
      </c>
      <c r="K2634" s="2">
        <v>45586</v>
      </c>
      <c r="L2634" s="2" t="s">
        <v>364</v>
      </c>
      <c r="M2634" s="2" t="s">
        <v>364</v>
      </c>
      <c r="N2634" s="2" t="s">
        <v>364</v>
      </c>
      <c r="O2634" s="2" t="s">
        <v>364</v>
      </c>
      <c r="P2634" s="488" t="s">
        <v>7518</v>
      </c>
      <c r="Q2634" s="281" t="str">
        <f>IF(A2634="SCORTA 10",1,"")</f>
        <v/>
      </c>
      <c r="R2634" s="1">
        <v>1</v>
      </c>
      <c r="S2634" s="1">
        <v>1</v>
      </c>
      <c r="T2634" s="512" t="e">
        <f>_xlfn.XLOOKUP(H2634,#REF!,#REF!,0,0)</f>
        <v>#REF!</v>
      </c>
    </row>
    <row r="2635" spans="1:20" s="513" customFormat="1" ht="18" customHeight="1" x14ac:dyDescent="0.4">
      <c r="A2635" s="2" t="s">
        <v>9969</v>
      </c>
      <c r="B2635" s="2" t="s">
        <v>9970</v>
      </c>
      <c r="C2635" s="2" t="s">
        <v>435</v>
      </c>
      <c r="D2635" s="2" t="s">
        <v>693</v>
      </c>
      <c r="E2635" s="2" t="s">
        <v>366</v>
      </c>
      <c r="F2635" s="2" t="s">
        <v>367</v>
      </c>
      <c r="G2635" s="2">
        <v>45513</v>
      </c>
      <c r="H2635" s="2" t="s">
        <v>9971</v>
      </c>
      <c r="I2635" s="1">
        <v>76339</v>
      </c>
      <c r="J2635" s="2" t="s">
        <v>9972</v>
      </c>
      <c r="K2635" s="2">
        <v>45586</v>
      </c>
      <c r="L2635" s="2" t="s">
        <v>364</v>
      </c>
      <c r="M2635" s="2" t="s">
        <v>364</v>
      </c>
      <c r="N2635" s="2" t="s">
        <v>364</v>
      </c>
      <c r="O2635" s="2" t="s">
        <v>364</v>
      </c>
      <c r="P2635" s="488" t="s">
        <v>9973</v>
      </c>
      <c r="Q2635" s="281" t="str">
        <f>IF(A2635="SCORTA 10",1,"")</f>
        <v/>
      </c>
      <c r="R2635" s="1">
        <v>1</v>
      </c>
      <c r="S2635" s="1">
        <v>1</v>
      </c>
      <c r="T2635" s="512" t="e">
        <f>_xlfn.XLOOKUP(H2635,#REF!,#REF!,0,0)</f>
        <v>#REF!</v>
      </c>
    </row>
    <row r="2636" spans="1:20" s="513" customFormat="1" ht="18" customHeight="1" x14ac:dyDescent="0.4">
      <c r="A2636" s="367" t="s">
        <v>9974</v>
      </c>
      <c r="B2636" s="2" t="s">
        <v>9975</v>
      </c>
      <c r="C2636" s="368" t="s">
        <v>433</v>
      </c>
      <c r="D2636" s="2" t="s">
        <v>8127</v>
      </c>
      <c r="E2636" s="2" t="s">
        <v>366</v>
      </c>
      <c r="F2636" s="2" t="s">
        <v>367</v>
      </c>
      <c r="G2636" s="2">
        <v>45513</v>
      </c>
      <c r="H2636" s="2" t="s">
        <v>9976</v>
      </c>
      <c r="I2636" s="1">
        <v>76330</v>
      </c>
      <c r="J2636" s="2" t="s">
        <v>9977</v>
      </c>
      <c r="K2636" s="2" t="s">
        <v>9978</v>
      </c>
      <c r="L2636" s="2" t="s">
        <v>364</v>
      </c>
      <c r="M2636" s="2" t="s">
        <v>364</v>
      </c>
      <c r="N2636" s="2" t="s">
        <v>364</v>
      </c>
      <c r="O2636" s="2" t="s">
        <v>364</v>
      </c>
      <c r="P2636" s="488" t="s">
        <v>9979</v>
      </c>
      <c r="Q2636" s="281" t="str">
        <f>IF(A2636="SCORTA 10",1,"")</f>
        <v/>
      </c>
      <c r="R2636" s="1">
        <v>1</v>
      </c>
      <c r="S2636" s="1">
        <v>1</v>
      </c>
      <c r="T2636" s="512" t="e">
        <f>_xlfn.XLOOKUP(H2636,#REF!,#REF!,0,0)</f>
        <v>#REF!</v>
      </c>
    </row>
    <row r="2637" spans="1:20" s="301" customFormat="1" x14ac:dyDescent="0.4">
      <c r="A2637" s="322" t="s">
        <v>9980</v>
      </c>
      <c r="B2637" s="322" t="s">
        <v>9981</v>
      </c>
      <c r="C2637" s="322" t="s">
        <v>433</v>
      </c>
      <c r="D2637" s="322" t="s">
        <v>8127</v>
      </c>
      <c r="E2637" s="322" t="s">
        <v>10</v>
      </c>
      <c r="F2637" s="322" t="s">
        <v>8771</v>
      </c>
      <c r="G2637" s="323">
        <v>45243</v>
      </c>
      <c r="H2637" s="322" t="s">
        <v>9982</v>
      </c>
      <c r="I2637" s="322">
        <v>73324</v>
      </c>
      <c r="J2637" s="322" t="s">
        <v>9983</v>
      </c>
      <c r="K2637" s="322" t="s">
        <v>9984</v>
      </c>
      <c r="L2637" s="322" t="s">
        <v>7332</v>
      </c>
      <c r="M2637" s="322" t="s">
        <v>7332</v>
      </c>
      <c r="N2637" s="322" t="s">
        <v>7332</v>
      </c>
      <c r="O2637" s="322" t="s">
        <v>7332</v>
      </c>
      <c r="P2637" s="497" t="s">
        <v>9985</v>
      </c>
      <c r="Q2637" s="322" t="str">
        <f>IF(A2637="SCORTA 15",1,"")</f>
        <v/>
      </c>
      <c r="R2637" s="1">
        <v>1</v>
      </c>
      <c r="S2637" s="1">
        <v>1</v>
      </c>
      <c r="T2637" s="512" t="e">
        <f>_xlfn.XLOOKUP(H2637,#REF!,#REF!,0,0)</f>
        <v>#REF!</v>
      </c>
    </row>
    <row r="2638" spans="1:20" s="376" customFormat="1" ht="18.75" customHeight="1" x14ac:dyDescent="0.4">
      <c r="A2638" s="1" t="s">
        <v>9986</v>
      </c>
      <c r="B2638" s="1" t="s">
        <v>9987</v>
      </c>
      <c r="C2638" s="1" t="s">
        <v>433</v>
      </c>
      <c r="D2638" s="1" t="s">
        <v>9084</v>
      </c>
      <c r="E2638" s="1" t="s">
        <v>10</v>
      </c>
      <c r="F2638" s="1" t="s">
        <v>436</v>
      </c>
      <c r="G2638" s="2">
        <v>45411</v>
      </c>
      <c r="H2638" s="1" t="s">
        <v>313</v>
      </c>
      <c r="I2638" s="1">
        <v>76117</v>
      </c>
      <c r="J2638" s="1" t="s">
        <v>9231</v>
      </c>
      <c r="K2638" s="291" t="s">
        <v>9988</v>
      </c>
      <c r="L2638" s="315" t="s">
        <v>364</v>
      </c>
      <c r="M2638" s="315" t="s">
        <v>364</v>
      </c>
      <c r="N2638" s="315" t="s">
        <v>364</v>
      </c>
      <c r="O2638" s="315" t="s">
        <v>364</v>
      </c>
      <c r="P2638" s="487" t="s">
        <v>9989</v>
      </c>
      <c r="Q2638" s="1"/>
      <c r="R2638" s="1">
        <v>1</v>
      </c>
      <c r="S2638" s="1">
        <v>1</v>
      </c>
      <c r="T2638" s="512" t="e">
        <f>_xlfn.XLOOKUP(H2638,#REF!,#REF!,0,0)</f>
        <v>#REF!</v>
      </c>
    </row>
    <row r="2639" spans="1:20" s="514" customFormat="1" x14ac:dyDescent="0.4">
      <c r="A2639" s="324" t="s">
        <v>9990</v>
      </c>
      <c r="B2639" s="325" t="s">
        <v>9991</v>
      </c>
      <c r="C2639" s="325" t="s">
        <v>433</v>
      </c>
      <c r="D2639" s="325" t="s">
        <v>8127</v>
      </c>
      <c r="E2639" s="325" t="s">
        <v>3720</v>
      </c>
      <c r="F2639" s="325" t="s">
        <v>9992</v>
      </c>
      <c r="G2639" s="325"/>
      <c r="H2639" s="325" t="s">
        <v>9993</v>
      </c>
      <c r="I2639" s="325">
        <v>73604</v>
      </c>
      <c r="J2639" s="325"/>
      <c r="K2639" s="325"/>
      <c r="L2639" s="1" t="s">
        <v>364</v>
      </c>
      <c r="M2639" s="1" t="s">
        <v>364</v>
      </c>
      <c r="N2639" s="1" t="s">
        <v>364</v>
      </c>
      <c r="O2639" s="1" t="s">
        <v>364</v>
      </c>
      <c r="P2639" s="541"/>
      <c r="Q2639" s="324"/>
      <c r="R2639" s="1">
        <v>1</v>
      </c>
      <c r="S2639" s="1">
        <v>1</v>
      </c>
      <c r="T2639" s="512" t="e">
        <f>_xlfn.XLOOKUP(H2639,#REF!,#REF!,0,0)</f>
        <v>#REF!</v>
      </c>
    </row>
    <row r="2640" spans="1:20" s="376" customFormat="1" ht="18.75" customHeight="1" x14ac:dyDescent="0.4">
      <c r="A2640" s="1" t="s">
        <v>9994</v>
      </c>
      <c r="B2640" s="1" t="s">
        <v>9995</v>
      </c>
      <c r="C2640" s="1" t="s">
        <v>433</v>
      </c>
      <c r="D2640" s="1" t="s">
        <v>8127</v>
      </c>
      <c r="E2640" s="1" t="s">
        <v>10</v>
      </c>
      <c r="F2640" s="1" t="s">
        <v>436</v>
      </c>
      <c r="G2640" s="2">
        <v>45566</v>
      </c>
      <c r="H2640" s="1" t="s">
        <v>9996</v>
      </c>
      <c r="I2640" s="1">
        <v>76776</v>
      </c>
      <c r="J2640" s="1" t="s">
        <v>9997</v>
      </c>
      <c r="K2640" s="1" t="s">
        <v>9988</v>
      </c>
      <c r="L2640" s="315" t="s">
        <v>364</v>
      </c>
      <c r="M2640" s="315" t="s">
        <v>364</v>
      </c>
      <c r="N2640" s="315" t="s">
        <v>364</v>
      </c>
      <c r="O2640" s="315" t="s">
        <v>364</v>
      </c>
      <c r="P2640" s="487" t="s">
        <v>9998</v>
      </c>
      <c r="Q2640" s="1"/>
      <c r="R2640" s="1">
        <v>1</v>
      </c>
      <c r="S2640" s="1">
        <v>1</v>
      </c>
      <c r="T2640" s="512" t="e">
        <f>_xlfn.XLOOKUP(H2640,#REF!,#REF!,0,0)</f>
        <v>#REF!</v>
      </c>
    </row>
    <row r="2641" spans="1:20" s="513" customFormat="1" x14ac:dyDescent="0.4">
      <c r="A2641" s="2" t="s">
        <v>9999</v>
      </c>
      <c r="B2641" s="2" t="s">
        <v>10000</v>
      </c>
      <c r="C2641" s="2" t="s">
        <v>433</v>
      </c>
      <c r="D2641" s="315" t="s">
        <v>693</v>
      </c>
      <c r="E2641" s="315" t="s">
        <v>366</v>
      </c>
      <c r="F2641" s="315" t="s">
        <v>367</v>
      </c>
      <c r="G2641" s="315">
        <v>45415</v>
      </c>
      <c r="H2641" s="315" t="s">
        <v>10001</v>
      </c>
      <c r="I2641" s="348">
        <v>73786</v>
      </c>
      <c r="J2641" s="315" t="s">
        <v>10002</v>
      </c>
      <c r="K2641" s="315" t="s">
        <v>10003</v>
      </c>
      <c r="L2641" s="1" t="s">
        <v>364</v>
      </c>
      <c r="M2641" s="1" t="s">
        <v>364</v>
      </c>
      <c r="N2641" s="1" t="s">
        <v>364</v>
      </c>
      <c r="O2641" s="1" t="s">
        <v>364</v>
      </c>
      <c r="P2641" s="492" t="s">
        <v>10004</v>
      </c>
      <c r="Q2641" s="281" t="str">
        <f>IF(A2641="SCORTA 10",1,"")</f>
        <v/>
      </c>
      <c r="R2641" s="1">
        <f>IF(H2641&lt;&gt;"",1,"")</f>
        <v>1</v>
      </c>
      <c r="S2641" s="1">
        <f>IF(I2641&lt;&gt;"",1,"")</f>
        <v>1</v>
      </c>
      <c r="T2641" s="512" t="e">
        <f>_xlfn.XLOOKUP(H2641,#REF!,#REF!,0,0)</f>
        <v>#REF!</v>
      </c>
    </row>
    <row r="2642" spans="1:20" s="376" customFormat="1" x14ac:dyDescent="0.4">
      <c r="A2642" s="1" t="s">
        <v>10005</v>
      </c>
      <c r="B2642" s="1" t="s">
        <v>10006</v>
      </c>
      <c r="C2642" s="1" t="s">
        <v>433</v>
      </c>
      <c r="D2642" s="315" t="s">
        <v>693</v>
      </c>
      <c r="E2642" s="1" t="s">
        <v>10</v>
      </c>
      <c r="F2642" s="1" t="s">
        <v>436</v>
      </c>
      <c r="G2642" s="2">
        <v>45566</v>
      </c>
      <c r="H2642" s="1" t="s">
        <v>10007</v>
      </c>
      <c r="I2642" s="1">
        <v>76780</v>
      </c>
      <c r="J2642" s="1" t="s">
        <v>10008</v>
      </c>
      <c r="K2642" s="291">
        <v>45590</v>
      </c>
      <c r="L2642" s="315" t="s">
        <v>364</v>
      </c>
      <c r="M2642" s="315" t="s">
        <v>364</v>
      </c>
      <c r="N2642" s="315" t="s">
        <v>364</v>
      </c>
      <c r="O2642" s="315" t="s">
        <v>364</v>
      </c>
      <c r="P2642" s="487" t="s">
        <v>10009</v>
      </c>
      <c r="Q2642" s="1"/>
      <c r="R2642" s="1">
        <v>1</v>
      </c>
      <c r="S2642" s="1">
        <v>1</v>
      </c>
      <c r="T2642" s="512" t="e">
        <f>_xlfn.XLOOKUP(H2642,#REF!,#REF!,0,0)</f>
        <v>#REF!</v>
      </c>
    </row>
    <row r="2643" spans="1:20" s="376" customFormat="1" x14ac:dyDescent="0.4">
      <c r="A2643" s="1" t="s">
        <v>10010</v>
      </c>
      <c r="B2643" s="1" t="s">
        <v>10011</v>
      </c>
      <c r="C2643" s="1" t="s">
        <v>433</v>
      </c>
      <c r="D2643" s="1" t="s">
        <v>8127</v>
      </c>
      <c r="E2643" s="1" t="s">
        <v>10</v>
      </c>
      <c r="F2643" s="1" t="s">
        <v>436</v>
      </c>
      <c r="G2643" s="2">
        <v>45566</v>
      </c>
      <c r="H2643" s="1" t="s">
        <v>10012</v>
      </c>
      <c r="I2643" s="1">
        <v>76781</v>
      </c>
      <c r="J2643" s="1" t="s">
        <v>10013</v>
      </c>
      <c r="K2643" s="291"/>
      <c r="L2643" s="1" t="s">
        <v>364</v>
      </c>
      <c r="M2643" s="1" t="s">
        <v>364</v>
      </c>
      <c r="N2643" s="1" t="s">
        <v>364</v>
      </c>
      <c r="O2643" s="1" t="s">
        <v>364</v>
      </c>
      <c r="P2643" s="487"/>
      <c r="Q2643" s="1"/>
      <c r="R2643" s="1">
        <v>1</v>
      </c>
      <c r="S2643" s="1">
        <v>1</v>
      </c>
      <c r="T2643" s="512" t="e">
        <f>_xlfn.XLOOKUP(H2643,#REF!,#REF!,0,0)</f>
        <v>#REF!</v>
      </c>
    </row>
    <row r="2644" spans="1:20" s="376" customFormat="1" x14ac:dyDescent="0.4">
      <c r="A2644" s="1" t="s">
        <v>10014</v>
      </c>
      <c r="B2644" s="1" t="s">
        <v>10015</v>
      </c>
      <c r="C2644" s="1" t="s">
        <v>433</v>
      </c>
      <c r="D2644" s="1" t="s">
        <v>693</v>
      </c>
      <c r="E2644" s="1" t="s">
        <v>10</v>
      </c>
      <c r="F2644" s="1" t="s">
        <v>436</v>
      </c>
      <c r="G2644" s="2">
        <v>45566</v>
      </c>
      <c r="H2644" s="1" t="s">
        <v>10016</v>
      </c>
      <c r="I2644" s="1">
        <v>76778</v>
      </c>
      <c r="J2644" s="1" t="s">
        <v>10017</v>
      </c>
      <c r="K2644" s="1"/>
      <c r="L2644" s="1" t="s">
        <v>364</v>
      </c>
      <c r="M2644" s="1" t="s">
        <v>364</v>
      </c>
      <c r="N2644" s="1" t="s">
        <v>364</v>
      </c>
      <c r="O2644" s="1" t="s">
        <v>364</v>
      </c>
      <c r="P2644" s="487" t="s">
        <v>6278</v>
      </c>
      <c r="Q2644" s="1"/>
      <c r="R2644" s="1">
        <v>1</v>
      </c>
      <c r="S2644" s="1">
        <v>1</v>
      </c>
      <c r="T2644" s="512" t="e">
        <f>_xlfn.XLOOKUP(H2644,#REF!,#REF!,0,0)</f>
        <v>#REF!</v>
      </c>
    </row>
    <row r="2645" spans="1:20" s="513" customFormat="1" x14ac:dyDescent="0.4">
      <c r="A2645" s="2" t="s">
        <v>10018</v>
      </c>
      <c r="B2645" s="2" t="s">
        <v>10019</v>
      </c>
      <c r="C2645" s="2" t="s">
        <v>433</v>
      </c>
      <c r="D2645" s="2" t="s">
        <v>8127</v>
      </c>
      <c r="E2645" s="2" t="s">
        <v>366</v>
      </c>
      <c r="F2645" s="2" t="s">
        <v>367</v>
      </c>
      <c r="G2645" s="2">
        <v>45513</v>
      </c>
      <c r="H2645" s="2" t="s">
        <v>10020</v>
      </c>
      <c r="I2645" s="1">
        <v>76340</v>
      </c>
      <c r="J2645" s="2" t="s">
        <v>10021</v>
      </c>
      <c r="K2645" s="2" t="s">
        <v>10022</v>
      </c>
      <c r="L2645" s="2" t="s">
        <v>364</v>
      </c>
      <c r="M2645" s="2" t="s">
        <v>364</v>
      </c>
      <c r="N2645" s="2" t="s">
        <v>364</v>
      </c>
      <c r="O2645" s="2" t="s">
        <v>364</v>
      </c>
      <c r="P2645" s="488" t="s">
        <v>10023</v>
      </c>
      <c r="Q2645" s="281" t="str">
        <f>IF(A2645="SCORTA 10",1,"")</f>
        <v/>
      </c>
      <c r="R2645" s="1">
        <f>IF(H2645&lt;&gt;"",1,"")</f>
        <v>1</v>
      </c>
      <c r="S2645" s="1">
        <f>IF(I2645&lt;&gt;"",1,"")</f>
        <v>1</v>
      </c>
      <c r="T2645" s="512" t="e">
        <f>_xlfn.XLOOKUP(H2645,#REF!,#REF!,0,0)</f>
        <v>#REF!</v>
      </c>
    </row>
    <row r="2646" spans="1:20" s="376" customFormat="1" ht="18.75" customHeight="1" x14ac:dyDescent="0.4">
      <c r="A2646" s="1" t="s">
        <v>10024</v>
      </c>
      <c r="B2646" s="1" t="s">
        <v>10025</v>
      </c>
      <c r="C2646" s="1" t="s">
        <v>433</v>
      </c>
      <c r="D2646" s="1" t="s">
        <v>8127</v>
      </c>
      <c r="E2646" s="1" t="s">
        <v>10</v>
      </c>
      <c r="F2646" s="1" t="s">
        <v>436</v>
      </c>
      <c r="G2646" s="2">
        <v>45566</v>
      </c>
      <c r="H2646" s="1" t="s">
        <v>10026</v>
      </c>
      <c r="I2646" s="1">
        <v>76779</v>
      </c>
      <c r="J2646" s="1" t="s">
        <v>10027</v>
      </c>
      <c r="K2646" s="1" t="s">
        <v>10028</v>
      </c>
      <c r="L2646" s="1" t="s">
        <v>364</v>
      </c>
      <c r="M2646" s="1" t="s">
        <v>364</v>
      </c>
      <c r="N2646" s="1" t="s">
        <v>364</v>
      </c>
      <c r="O2646" s="1" t="s">
        <v>364</v>
      </c>
      <c r="P2646" s="487" t="s">
        <v>10029</v>
      </c>
      <c r="Q2646" s="1"/>
      <c r="R2646" s="1">
        <v>1</v>
      </c>
      <c r="S2646" s="1">
        <v>1</v>
      </c>
      <c r="T2646" s="512" t="e">
        <f>_xlfn.XLOOKUP(H2646,#REF!,#REF!,0,0)</f>
        <v>#REF!</v>
      </c>
    </row>
    <row r="2647" spans="1:20" s="301" customFormat="1" x14ac:dyDescent="0.4">
      <c r="A2647" s="322" t="s">
        <v>10030</v>
      </c>
      <c r="B2647" s="322" t="s">
        <v>10031</v>
      </c>
      <c r="C2647" s="322" t="s">
        <v>433</v>
      </c>
      <c r="D2647" s="322" t="s">
        <v>8127</v>
      </c>
      <c r="E2647" s="322" t="s">
        <v>10</v>
      </c>
      <c r="F2647" s="322" t="s">
        <v>8771</v>
      </c>
      <c r="G2647" s="323">
        <v>45243</v>
      </c>
      <c r="H2647" s="322" t="s">
        <v>10032</v>
      </c>
      <c r="I2647" s="322">
        <v>73325</v>
      </c>
      <c r="J2647" s="322" t="s">
        <v>10033</v>
      </c>
      <c r="K2647" s="322" t="s">
        <v>10034</v>
      </c>
      <c r="L2647" s="322" t="s">
        <v>7332</v>
      </c>
      <c r="M2647" s="322" t="s">
        <v>7332</v>
      </c>
      <c r="N2647" s="322" t="s">
        <v>7332</v>
      </c>
      <c r="O2647" s="322" t="s">
        <v>7332</v>
      </c>
      <c r="P2647" s="497" t="s">
        <v>10035</v>
      </c>
      <c r="Q2647" s="322" t="str">
        <f>IF(A2647="SCORTA 15",1,"")</f>
        <v/>
      </c>
      <c r="R2647" s="322">
        <v>1</v>
      </c>
      <c r="S2647" s="322">
        <v>1</v>
      </c>
      <c r="T2647" s="512" t="e">
        <f>_xlfn.XLOOKUP(H2647,#REF!,#REF!,0,0)</f>
        <v>#REF!</v>
      </c>
    </row>
    <row r="2648" spans="1:20" s="376" customFormat="1" ht="18.75" customHeight="1" x14ac:dyDescent="0.4">
      <c r="A2648" s="1" t="s">
        <v>10036</v>
      </c>
      <c r="B2648" s="1" t="s">
        <v>10037</v>
      </c>
      <c r="C2648" s="1" t="s">
        <v>433</v>
      </c>
      <c r="D2648" s="1" t="s">
        <v>8127</v>
      </c>
      <c r="E2648" s="1" t="s">
        <v>10</v>
      </c>
      <c r="F2648" s="1" t="s">
        <v>436</v>
      </c>
      <c r="G2648" s="2">
        <v>45566</v>
      </c>
      <c r="H2648" s="1" t="s">
        <v>10038</v>
      </c>
      <c r="I2648" s="1">
        <v>76785</v>
      </c>
      <c r="J2648" s="1" t="s">
        <v>10039</v>
      </c>
      <c r="K2648" s="1" t="s">
        <v>10040</v>
      </c>
      <c r="L2648" s="1" t="s">
        <v>364</v>
      </c>
      <c r="M2648" s="1" t="s">
        <v>364</v>
      </c>
      <c r="N2648" s="1" t="s">
        <v>364</v>
      </c>
      <c r="O2648" s="1" t="s">
        <v>364</v>
      </c>
      <c r="P2648" s="293" t="s">
        <v>10041</v>
      </c>
      <c r="Q2648" s="1" t="str">
        <f>IF(A2648="SCORTA 10",1,"")</f>
        <v/>
      </c>
      <c r="R2648" s="1">
        <f>IF(H2648&lt;&gt;"",1,"")</f>
        <v>1</v>
      </c>
      <c r="S2648" s="1">
        <f>IF(I2648&lt;&gt;"",1,"")</f>
        <v>1</v>
      </c>
      <c r="T2648" s="512" t="e">
        <f>_xlfn.XLOOKUP(H2648,#REF!,#REF!,0,0)</f>
        <v>#REF!</v>
      </c>
    </row>
    <row r="2649" spans="1:20" s="328" customFormat="1" x14ac:dyDescent="0.4">
      <c r="A2649" s="325" t="s">
        <v>10042</v>
      </c>
      <c r="B2649" s="325" t="s">
        <v>10043</v>
      </c>
      <c r="C2649" s="325" t="s">
        <v>433</v>
      </c>
      <c r="D2649" s="325" t="s">
        <v>8127</v>
      </c>
      <c r="E2649" s="325" t="s">
        <v>10</v>
      </c>
      <c r="F2649" s="324" t="s">
        <v>3072</v>
      </c>
      <c r="G2649" s="374"/>
      <c r="H2649" s="325" t="s">
        <v>294</v>
      </c>
      <c r="I2649" s="374">
        <v>71375</v>
      </c>
      <c r="J2649" s="325"/>
      <c r="K2649" s="523">
        <v>44499.583333333336</v>
      </c>
      <c r="L2649" s="325" t="s">
        <v>364</v>
      </c>
      <c r="M2649" s="325" t="s">
        <v>364</v>
      </c>
      <c r="N2649" s="325" t="s">
        <v>364</v>
      </c>
      <c r="O2649" s="325" t="s">
        <v>364</v>
      </c>
      <c r="P2649" s="541" t="s">
        <v>10044</v>
      </c>
      <c r="Q2649" s="325" t="str">
        <f>IF(AND(C2649="Priorità/stagisti/Scorta"),1,"")</f>
        <v/>
      </c>
      <c r="R2649" s="324">
        <f>IF(AND(C2649&lt;&gt;"Priorità/Stagisti/Scorta",C2649&lt;&gt;""),1,"")</f>
        <v>1</v>
      </c>
      <c r="S2649" s="324">
        <f>IF(AND(D2649&lt;&gt;"Priorità/Stagisti/Scorta",D2649&lt;&gt;""),1,"")</f>
        <v>1</v>
      </c>
      <c r="T2649" s="512" t="e">
        <f>_xlfn.XLOOKUP(H2649,#REF!,#REF!,0,0)</f>
        <v>#REF!</v>
      </c>
    </row>
    <row r="2650" spans="1:20" s="286" customFormat="1" x14ac:dyDescent="0.4">
      <c r="A2650" s="2" t="s">
        <v>10045</v>
      </c>
      <c r="B2650" s="2" t="s">
        <v>10046</v>
      </c>
      <c r="C2650" s="2" t="s">
        <v>435</v>
      </c>
      <c r="D2650" s="2" t="s">
        <v>9084</v>
      </c>
      <c r="E2650" s="2" t="s">
        <v>366</v>
      </c>
      <c r="F2650" s="2" t="s">
        <v>367</v>
      </c>
      <c r="G2650" s="2">
        <v>45513</v>
      </c>
      <c r="H2650" s="2" t="s">
        <v>10047</v>
      </c>
      <c r="I2650" s="1">
        <v>76343</v>
      </c>
      <c r="J2650" s="2" t="s">
        <v>10048</v>
      </c>
      <c r="K2650" s="2">
        <v>45600</v>
      </c>
      <c r="L2650" s="2" t="s">
        <v>364</v>
      </c>
      <c r="M2650" s="2" t="s">
        <v>364</v>
      </c>
      <c r="N2650" s="2" t="s">
        <v>364</v>
      </c>
      <c r="O2650" s="2" t="s">
        <v>364</v>
      </c>
      <c r="P2650" s="524" t="s">
        <v>9816</v>
      </c>
      <c r="Q2650" s="281" t="str">
        <f>IF(A2650="SCORTA 10",1,"")</f>
        <v/>
      </c>
      <c r="R2650" s="1">
        <f t="shared" ref="R2650:S2652" si="40">IF(H2650&lt;&gt;"",1,"")</f>
        <v>1</v>
      </c>
      <c r="S2650" s="1">
        <f t="shared" si="40"/>
        <v>1</v>
      </c>
      <c r="T2650" s="512" t="e">
        <f>_xlfn.XLOOKUP(H2650,#REF!,#REF!,0,0)</f>
        <v>#REF!</v>
      </c>
    </row>
    <row r="2651" spans="1:20" s="286" customFormat="1" x14ac:dyDescent="0.4">
      <c r="A2651" s="2" t="s">
        <v>10049</v>
      </c>
      <c r="B2651" s="2" t="s">
        <v>10050</v>
      </c>
      <c r="C2651" s="2" t="s">
        <v>435</v>
      </c>
      <c r="D2651" s="2" t="s">
        <v>9084</v>
      </c>
      <c r="E2651" s="2" t="s">
        <v>366</v>
      </c>
      <c r="F2651" s="2" t="s">
        <v>367</v>
      </c>
      <c r="G2651" s="2">
        <v>45513</v>
      </c>
      <c r="H2651" s="2" t="s">
        <v>10051</v>
      </c>
      <c r="I2651" s="1">
        <v>76344</v>
      </c>
      <c r="J2651" s="2" t="s">
        <v>10052</v>
      </c>
      <c r="K2651" s="2">
        <v>45600</v>
      </c>
      <c r="L2651" s="2" t="s">
        <v>364</v>
      </c>
      <c r="M2651" s="2" t="s">
        <v>364</v>
      </c>
      <c r="N2651" s="2" t="s">
        <v>364</v>
      </c>
      <c r="O2651" s="2" t="s">
        <v>364</v>
      </c>
      <c r="P2651" s="524"/>
      <c r="Q2651" s="281" t="str">
        <f>IF(A2651="SCORTA 10",1,"")</f>
        <v/>
      </c>
      <c r="R2651" s="1">
        <f t="shared" si="40"/>
        <v>1</v>
      </c>
      <c r="S2651" s="1">
        <f t="shared" si="40"/>
        <v>1</v>
      </c>
      <c r="T2651" s="512" t="e">
        <f>_xlfn.XLOOKUP(H2651,#REF!,#REF!,0,0)</f>
        <v>#REF!</v>
      </c>
    </row>
    <row r="2652" spans="1:20" s="376" customFormat="1" x14ac:dyDescent="0.4">
      <c r="A2652" s="1" t="s">
        <v>10053</v>
      </c>
      <c r="B2652" s="1" t="s">
        <v>10054</v>
      </c>
      <c r="C2652" s="1" t="s">
        <v>435</v>
      </c>
      <c r="D2652" s="1" t="s">
        <v>9084</v>
      </c>
      <c r="E2652" s="1" t="s">
        <v>10</v>
      </c>
      <c r="F2652" s="1" t="s">
        <v>436</v>
      </c>
      <c r="G2652" s="2">
        <v>45566</v>
      </c>
      <c r="H2652" s="1" t="s">
        <v>10055</v>
      </c>
      <c r="I2652" s="1">
        <v>76782</v>
      </c>
      <c r="J2652" s="1" t="s">
        <v>10056</v>
      </c>
      <c r="K2652" s="2">
        <v>45600</v>
      </c>
      <c r="L2652" s="1" t="s">
        <v>364</v>
      </c>
      <c r="M2652" s="1" t="s">
        <v>364</v>
      </c>
      <c r="N2652" s="1" t="s">
        <v>364</v>
      </c>
      <c r="O2652" s="1" t="s">
        <v>364</v>
      </c>
      <c r="P2652" s="293" t="s">
        <v>10057</v>
      </c>
      <c r="Q2652" s="1" t="str">
        <f>IF(A2652="SCORTA 10",1,"")</f>
        <v/>
      </c>
      <c r="R2652" s="1">
        <f t="shared" si="40"/>
        <v>1</v>
      </c>
      <c r="S2652" s="1">
        <f t="shared" si="40"/>
        <v>1</v>
      </c>
      <c r="T2652" s="512" t="e">
        <f>_xlfn.XLOOKUP(H2652,#REF!,#REF!,0,0)</f>
        <v>#REF!</v>
      </c>
    </row>
    <row r="2653" spans="1:20" s="328" customFormat="1" x14ac:dyDescent="0.4">
      <c r="A2653" s="324" t="s">
        <v>10058</v>
      </c>
      <c r="B2653" s="325" t="s">
        <v>10059</v>
      </c>
      <c r="C2653" s="324" t="s">
        <v>433</v>
      </c>
      <c r="D2653" s="324" t="s">
        <v>8127</v>
      </c>
      <c r="E2653" s="324" t="s">
        <v>10</v>
      </c>
      <c r="F2653" s="324" t="s">
        <v>10060</v>
      </c>
      <c r="G2653" s="327"/>
      <c r="H2653" s="324" t="s">
        <v>8043</v>
      </c>
      <c r="I2653" s="327">
        <v>71757</v>
      </c>
      <c r="J2653" s="324" t="s">
        <v>8044</v>
      </c>
      <c r="K2653" s="324"/>
      <c r="L2653" s="2" t="s">
        <v>364</v>
      </c>
      <c r="M2653" s="2" t="s">
        <v>364</v>
      </c>
      <c r="N2653" s="2" t="s">
        <v>364</v>
      </c>
      <c r="O2653" s="2" t="s">
        <v>364</v>
      </c>
      <c r="P2653" s="384" t="s">
        <v>6278</v>
      </c>
      <c r="Q2653" s="324" t="str">
        <f>IF(AND(C2653="Priorità/stagisti/Scorta"),1,"")</f>
        <v/>
      </c>
      <c r="R2653" s="324">
        <f t="shared" ref="R2653:S2657" si="41">IF(AND(C2653&lt;&gt;"Priorità/Stagisti/Scorta",C2653&lt;&gt;""),1,"")</f>
        <v>1</v>
      </c>
      <c r="S2653" s="324">
        <f t="shared" si="41"/>
        <v>1</v>
      </c>
      <c r="T2653" s="512" t="e">
        <f>_xlfn.XLOOKUP(H2653,#REF!,#REF!,0,0)</f>
        <v>#REF!</v>
      </c>
    </row>
    <row r="2654" spans="1:20" s="286" customFormat="1" x14ac:dyDescent="0.4">
      <c r="A2654" s="357" t="s">
        <v>10061</v>
      </c>
      <c r="B2654" s="357" t="s">
        <v>10062</v>
      </c>
      <c r="C2654" s="357" t="s">
        <v>433</v>
      </c>
      <c r="D2654" s="357" t="s">
        <v>8127</v>
      </c>
      <c r="E2654" s="357" t="s">
        <v>366</v>
      </c>
      <c r="F2654" s="357" t="s">
        <v>10063</v>
      </c>
      <c r="G2654" s="357">
        <v>45513</v>
      </c>
      <c r="H2654" s="357" t="s">
        <v>10064</v>
      </c>
      <c r="I2654" s="358">
        <v>76369</v>
      </c>
      <c r="J2654" s="357"/>
      <c r="K2654" s="357"/>
      <c r="L2654" s="357" t="s">
        <v>364</v>
      </c>
      <c r="M2654" s="357" t="s">
        <v>364</v>
      </c>
      <c r="N2654" s="357" t="s">
        <v>364</v>
      </c>
      <c r="O2654" s="357" t="s">
        <v>364</v>
      </c>
      <c r="P2654" s="543"/>
      <c r="Q2654" s="359" t="str">
        <f>IF(A2654="SCORTA 10",1,"")</f>
        <v/>
      </c>
      <c r="R2654" s="324">
        <f t="shared" si="41"/>
        <v>1</v>
      </c>
      <c r="S2654" s="324">
        <f t="shared" si="41"/>
        <v>1</v>
      </c>
      <c r="T2654" s="512" t="e">
        <f>_xlfn.XLOOKUP(H2654,#REF!,#REF!,0,0)</f>
        <v>#REF!</v>
      </c>
    </row>
    <row r="2655" spans="1:20" s="286" customFormat="1" x14ac:dyDescent="0.4">
      <c r="A2655" s="2" t="s">
        <v>10065</v>
      </c>
      <c r="B2655" s="2" t="s">
        <v>10066</v>
      </c>
      <c r="C2655" s="2" t="s">
        <v>433</v>
      </c>
      <c r="D2655" s="2" t="s">
        <v>8127</v>
      </c>
      <c r="E2655" s="2" t="s">
        <v>366</v>
      </c>
      <c r="F2655" s="2" t="s">
        <v>367</v>
      </c>
      <c r="G2655" s="2">
        <v>45513</v>
      </c>
      <c r="H2655" s="2" t="s">
        <v>10067</v>
      </c>
      <c r="I2655" s="1">
        <v>76352</v>
      </c>
      <c r="J2655" s="2" t="s">
        <v>10068</v>
      </c>
      <c r="K2655" s="2" t="s">
        <v>10069</v>
      </c>
      <c r="L2655" s="2" t="s">
        <v>364</v>
      </c>
      <c r="M2655" s="2" t="s">
        <v>364</v>
      </c>
      <c r="N2655" s="2" t="s">
        <v>364</v>
      </c>
      <c r="O2655" s="2" t="s">
        <v>364</v>
      </c>
      <c r="P2655" s="524" t="s">
        <v>10070</v>
      </c>
      <c r="Q2655" s="281" t="str">
        <f>IF(A2655="SCORTA 10",1,"")</f>
        <v/>
      </c>
      <c r="R2655" s="324">
        <f t="shared" si="41"/>
        <v>1</v>
      </c>
      <c r="S2655" s="324">
        <f t="shared" si="41"/>
        <v>1</v>
      </c>
      <c r="T2655" s="512" t="e">
        <f>_xlfn.XLOOKUP(H2655,#REF!,#REF!,0,0)</f>
        <v>#REF!</v>
      </c>
    </row>
    <row r="2656" spans="1:20" s="376" customFormat="1" x14ac:dyDescent="0.4">
      <c r="A2656" s="1" t="s">
        <v>10071</v>
      </c>
      <c r="B2656" s="373" t="s">
        <v>10072</v>
      </c>
      <c r="C2656" s="1" t="s">
        <v>433</v>
      </c>
      <c r="D2656" s="1" t="s">
        <v>8127</v>
      </c>
      <c r="E2656" s="1" t="s">
        <v>10</v>
      </c>
      <c r="F2656" s="1" t="s">
        <v>436</v>
      </c>
      <c r="G2656" s="2">
        <v>45566</v>
      </c>
      <c r="H2656" s="1" t="s">
        <v>10073</v>
      </c>
      <c r="I2656" s="1">
        <v>76783</v>
      </c>
      <c r="J2656" s="1" t="s">
        <v>10074</v>
      </c>
      <c r="K2656" s="1" t="s">
        <v>10075</v>
      </c>
      <c r="L2656" s="1" t="s">
        <v>364</v>
      </c>
      <c r="M2656" s="1" t="s">
        <v>364</v>
      </c>
      <c r="N2656" s="1" t="s">
        <v>364</v>
      </c>
      <c r="O2656" s="1" t="s">
        <v>364</v>
      </c>
      <c r="P2656" s="293" t="s">
        <v>10076</v>
      </c>
      <c r="Q2656" s="1" t="str">
        <f>IF(A2656="SCORTA 10",1,"")</f>
        <v/>
      </c>
      <c r="R2656" s="324">
        <f t="shared" si="41"/>
        <v>1</v>
      </c>
      <c r="S2656" s="324">
        <f t="shared" si="41"/>
        <v>1</v>
      </c>
      <c r="T2656" s="512" t="e">
        <f>_xlfn.XLOOKUP(H2656,#REF!,#REF!,0,0)</f>
        <v>#REF!</v>
      </c>
    </row>
    <row r="2657" spans="1:20" s="376" customFormat="1" x14ac:dyDescent="0.4">
      <c r="A2657" s="1" t="s">
        <v>10077</v>
      </c>
      <c r="B2657" s="1" t="s">
        <v>10078</v>
      </c>
      <c r="C2657" s="1" t="s">
        <v>433</v>
      </c>
      <c r="D2657" s="1" t="s">
        <v>9084</v>
      </c>
      <c r="E2657" s="1" t="s">
        <v>10</v>
      </c>
      <c r="F2657" s="1" t="s">
        <v>436</v>
      </c>
      <c r="G2657" s="2">
        <v>45566</v>
      </c>
      <c r="H2657" s="1" t="s">
        <v>10079</v>
      </c>
      <c r="I2657" s="1">
        <v>76786</v>
      </c>
      <c r="J2657" s="1" t="s">
        <v>10080</v>
      </c>
      <c r="K2657" s="1" t="s">
        <v>10081</v>
      </c>
      <c r="L2657" s="1" t="s">
        <v>364</v>
      </c>
      <c r="M2657" s="1" t="s">
        <v>364</v>
      </c>
      <c r="N2657" s="1" t="s">
        <v>364</v>
      </c>
      <c r="O2657" s="1" t="s">
        <v>364</v>
      </c>
      <c r="P2657" s="293" t="s">
        <v>6278</v>
      </c>
      <c r="Q2657" s="1" t="str">
        <f>IF(A2657="SCORTA 10",1,"")</f>
        <v/>
      </c>
      <c r="R2657" s="324">
        <f t="shared" si="41"/>
        <v>1</v>
      </c>
      <c r="S2657" s="324">
        <f t="shared" si="41"/>
        <v>1</v>
      </c>
      <c r="T2657" s="512" t="e">
        <f>_xlfn.XLOOKUP(H2657,#REF!,#REF!,0,0)</f>
        <v>#REF!</v>
      </c>
    </row>
    <row r="2658" spans="1:20" s="328" customFormat="1" x14ac:dyDescent="0.4">
      <c r="A2658" s="324" t="s">
        <v>10082</v>
      </c>
      <c r="B2658" s="522" t="s">
        <v>10083</v>
      </c>
      <c r="C2658" s="324" t="s">
        <v>431</v>
      </c>
      <c r="D2658" s="324" t="s">
        <v>9084</v>
      </c>
      <c r="E2658" s="324" t="s">
        <v>10</v>
      </c>
      <c r="F2658" s="324" t="s">
        <v>3072</v>
      </c>
      <c r="G2658" s="327"/>
      <c r="H2658" s="324" t="s">
        <v>281</v>
      </c>
      <c r="I2658" s="327">
        <v>70986</v>
      </c>
      <c r="J2658" s="324"/>
      <c r="K2658" s="337">
        <v>45600</v>
      </c>
      <c r="L2658" s="324" t="s">
        <v>364</v>
      </c>
      <c r="M2658" s="324" t="s">
        <v>364</v>
      </c>
      <c r="N2658" s="324" t="s">
        <v>364</v>
      </c>
      <c r="O2658" s="324" t="s">
        <v>364</v>
      </c>
      <c r="P2658" s="528" t="s">
        <v>9858</v>
      </c>
      <c r="Q2658" s="324">
        <f>IF(AND(C2658="Priorità/stagisti/Scorta"),1,"")</f>
        <v>1</v>
      </c>
      <c r="R2658" s="324">
        <v>1</v>
      </c>
      <c r="S2658" s="324">
        <v>1</v>
      </c>
      <c r="T2658" s="512" t="e">
        <f>_xlfn.XLOOKUP(H2658,#REF!,#REF!,0,0)</f>
        <v>#REF!</v>
      </c>
    </row>
    <row r="2659" spans="1:20" s="376" customFormat="1" x14ac:dyDescent="0.4">
      <c r="A2659" s="1" t="s">
        <v>10084</v>
      </c>
      <c r="B2659" s="1" t="s">
        <v>10085</v>
      </c>
      <c r="C2659" s="1" t="s">
        <v>435</v>
      </c>
      <c r="D2659" s="1" t="s">
        <v>8127</v>
      </c>
      <c r="E2659" s="1" t="s">
        <v>10</v>
      </c>
      <c r="F2659" s="1" t="s">
        <v>436</v>
      </c>
      <c r="G2659" s="2">
        <v>45566</v>
      </c>
      <c r="H2659" s="1" t="s">
        <v>10086</v>
      </c>
      <c r="I2659" s="1">
        <v>76784</v>
      </c>
      <c r="J2659" s="1" t="s">
        <v>10087</v>
      </c>
      <c r="K2659" s="291">
        <v>45600</v>
      </c>
      <c r="L2659" s="1" t="s">
        <v>364</v>
      </c>
      <c r="M2659" s="1" t="s">
        <v>364</v>
      </c>
      <c r="N2659" s="1" t="s">
        <v>364</v>
      </c>
      <c r="O2659" s="1" t="s">
        <v>364</v>
      </c>
      <c r="P2659" s="293" t="s">
        <v>6148</v>
      </c>
      <c r="Q2659" s="1" t="str">
        <f t="shared" ref="Q2659:Q2664" si="42">IF(A2659="SCORTA 10",1,"")</f>
        <v/>
      </c>
      <c r="R2659" s="324">
        <f t="shared" ref="R2659:R2680" si="43">IF(AND(C2659&lt;&gt;"Priorità/Stagisti/Scorta",C2659&lt;&gt;""),1,"")</f>
        <v>1</v>
      </c>
      <c r="S2659" s="324">
        <f t="shared" ref="S2659:S2680" si="44">IF(AND(D2659&lt;&gt;"Priorità/Stagisti/Scorta",D2659&lt;&gt;""),1,"")</f>
        <v>1</v>
      </c>
      <c r="T2659" s="512" t="e">
        <f>_xlfn.XLOOKUP(H2659,#REF!,#REF!,0,0)</f>
        <v>#REF!</v>
      </c>
    </row>
    <row r="2660" spans="1:20" s="286" customFormat="1" x14ac:dyDescent="0.4">
      <c r="A2660" s="2" t="s">
        <v>10088</v>
      </c>
      <c r="B2660" s="2" t="s">
        <v>10089</v>
      </c>
      <c r="C2660" s="2" t="s">
        <v>433</v>
      </c>
      <c r="D2660" s="2" t="s">
        <v>9084</v>
      </c>
      <c r="E2660" s="2" t="s">
        <v>366</v>
      </c>
      <c r="F2660" s="2" t="s">
        <v>367</v>
      </c>
      <c r="G2660" s="2">
        <v>45513</v>
      </c>
      <c r="H2660" s="2" t="s">
        <v>10090</v>
      </c>
      <c r="I2660" s="1">
        <v>76336</v>
      </c>
      <c r="J2660" s="2" t="s">
        <v>10091</v>
      </c>
      <c r="K2660" s="2" t="s">
        <v>10092</v>
      </c>
      <c r="L2660" s="2" t="s">
        <v>7332</v>
      </c>
      <c r="M2660" s="2" t="s">
        <v>7332</v>
      </c>
      <c r="N2660" s="2" t="s">
        <v>7332</v>
      </c>
      <c r="O2660" s="2" t="s">
        <v>7332</v>
      </c>
      <c r="P2660" s="524"/>
      <c r="Q2660" s="281" t="str">
        <f t="shared" si="42"/>
        <v/>
      </c>
      <c r="R2660" s="324">
        <f t="shared" si="43"/>
        <v>1</v>
      </c>
      <c r="S2660" s="324">
        <f t="shared" si="44"/>
        <v>1</v>
      </c>
      <c r="T2660" s="512" t="e">
        <f>_xlfn.XLOOKUP(H2660,#REF!,#REF!,0,0)</f>
        <v>#REF!</v>
      </c>
    </row>
    <row r="2661" spans="1:20" s="286" customFormat="1" x14ac:dyDescent="0.4">
      <c r="A2661" s="2" t="s">
        <v>10093</v>
      </c>
      <c r="B2661" s="2" t="s">
        <v>10094</v>
      </c>
      <c r="C2661" s="2" t="s">
        <v>433</v>
      </c>
      <c r="D2661" s="2" t="s">
        <v>9084</v>
      </c>
      <c r="E2661" s="2" t="s">
        <v>366</v>
      </c>
      <c r="F2661" s="2" t="s">
        <v>367</v>
      </c>
      <c r="G2661" s="2">
        <v>45513</v>
      </c>
      <c r="H2661" s="2" t="s">
        <v>10095</v>
      </c>
      <c r="I2661" s="1">
        <v>76342</v>
      </c>
      <c r="J2661" s="2" t="s">
        <v>10096</v>
      </c>
      <c r="K2661" s="2" t="s">
        <v>10097</v>
      </c>
      <c r="L2661" s="2" t="s">
        <v>364</v>
      </c>
      <c r="M2661" s="2" t="s">
        <v>364</v>
      </c>
      <c r="N2661" s="2" t="s">
        <v>364</v>
      </c>
      <c r="O2661" s="2" t="s">
        <v>364</v>
      </c>
      <c r="P2661" s="524" t="s">
        <v>10098</v>
      </c>
      <c r="Q2661" s="281" t="str">
        <f t="shared" si="42"/>
        <v/>
      </c>
      <c r="R2661" s="324">
        <f t="shared" si="43"/>
        <v>1</v>
      </c>
      <c r="S2661" s="324">
        <f t="shared" si="44"/>
        <v>1</v>
      </c>
      <c r="T2661" s="512" t="e">
        <f>_xlfn.XLOOKUP(H2661,#REF!,#REF!,0,0)</f>
        <v>#REF!</v>
      </c>
    </row>
    <row r="2662" spans="1:20" s="376" customFormat="1" x14ac:dyDescent="0.4">
      <c r="A2662" s="1" t="s">
        <v>10099</v>
      </c>
      <c r="B2662" s="1" t="s">
        <v>10100</v>
      </c>
      <c r="C2662" s="1" t="s">
        <v>433</v>
      </c>
      <c r="D2662" s="1" t="s">
        <v>8127</v>
      </c>
      <c r="E2662" s="1" t="s">
        <v>10</v>
      </c>
      <c r="F2662" s="1" t="s">
        <v>436</v>
      </c>
      <c r="G2662" s="2">
        <v>45566</v>
      </c>
      <c r="H2662" s="1" t="s">
        <v>10101</v>
      </c>
      <c r="I2662" s="1">
        <v>76787</v>
      </c>
      <c r="J2662" s="1" t="s">
        <v>10102</v>
      </c>
      <c r="K2662" s="338">
        <v>45602.604166666664</v>
      </c>
      <c r="L2662" s="1" t="s">
        <v>364</v>
      </c>
      <c r="M2662" s="1" t="s">
        <v>364</v>
      </c>
      <c r="N2662" s="1" t="s">
        <v>364</v>
      </c>
      <c r="O2662" s="1" t="s">
        <v>364</v>
      </c>
      <c r="P2662" s="293" t="s">
        <v>10103</v>
      </c>
      <c r="Q2662" s="1" t="str">
        <f t="shared" si="42"/>
        <v/>
      </c>
      <c r="R2662" s="324">
        <f t="shared" si="43"/>
        <v>1</v>
      </c>
      <c r="S2662" s="324">
        <f t="shared" si="44"/>
        <v>1</v>
      </c>
      <c r="T2662" s="512" t="e">
        <f>_xlfn.XLOOKUP(H2662,#REF!,#REF!,0,0)</f>
        <v>#REF!</v>
      </c>
    </row>
    <row r="2663" spans="1:20" s="376" customFormat="1" x14ac:dyDescent="0.4">
      <c r="A2663" s="348" t="s">
        <v>10104</v>
      </c>
      <c r="B2663" s="1" t="s">
        <v>10105</v>
      </c>
      <c r="C2663" s="348" t="s">
        <v>433</v>
      </c>
      <c r="D2663" s="348" t="s">
        <v>9084</v>
      </c>
      <c r="E2663" s="1" t="s">
        <v>10</v>
      </c>
      <c r="F2663" s="1" t="s">
        <v>436</v>
      </c>
      <c r="G2663" s="2">
        <v>45566</v>
      </c>
      <c r="H2663" s="1" t="s">
        <v>10106</v>
      </c>
      <c r="I2663" s="1">
        <v>76788</v>
      </c>
      <c r="J2663" s="1" t="s">
        <v>10107</v>
      </c>
      <c r="K2663" s="1" t="s">
        <v>10108</v>
      </c>
      <c r="L2663" s="1" t="s">
        <v>364</v>
      </c>
      <c r="M2663" s="1" t="s">
        <v>364</v>
      </c>
      <c r="N2663" s="1" t="s">
        <v>364</v>
      </c>
      <c r="O2663" s="1" t="s">
        <v>364</v>
      </c>
      <c r="P2663" s="293" t="s">
        <v>10109</v>
      </c>
      <c r="Q2663" s="1" t="str">
        <f t="shared" si="42"/>
        <v/>
      </c>
      <c r="R2663" s="324">
        <f t="shared" si="43"/>
        <v>1</v>
      </c>
      <c r="S2663" s="324">
        <f t="shared" si="44"/>
        <v>1</v>
      </c>
      <c r="T2663" s="512" t="e">
        <f>_xlfn.XLOOKUP(H2663,#REF!,#REF!,0,0)</f>
        <v>#REF!</v>
      </c>
    </row>
    <row r="2664" spans="1:20" s="376" customFormat="1" x14ac:dyDescent="0.4">
      <c r="A2664" s="1" t="s">
        <v>10110</v>
      </c>
      <c r="B2664" s="1" t="s">
        <v>10111</v>
      </c>
      <c r="C2664" s="1" t="s">
        <v>433</v>
      </c>
      <c r="D2664" s="1" t="s">
        <v>9084</v>
      </c>
      <c r="E2664" s="370" t="s">
        <v>10</v>
      </c>
      <c r="F2664" s="1" t="s">
        <v>436</v>
      </c>
      <c r="G2664" s="2">
        <v>45566</v>
      </c>
      <c r="H2664" s="1" t="s">
        <v>10112</v>
      </c>
      <c r="I2664" s="1">
        <v>76791</v>
      </c>
      <c r="J2664" s="1" t="s">
        <v>10113</v>
      </c>
      <c r="K2664" s="2">
        <v>45603</v>
      </c>
      <c r="L2664" s="1" t="s">
        <v>364</v>
      </c>
      <c r="M2664" s="1" t="s">
        <v>364</v>
      </c>
      <c r="N2664" s="1" t="s">
        <v>364</v>
      </c>
      <c r="O2664" s="1" t="s">
        <v>364</v>
      </c>
      <c r="P2664" s="293" t="s">
        <v>10114</v>
      </c>
      <c r="Q2664" s="1" t="str">
        <f t="shared" si="42"/>
        <v/>
      </c>
      <c r="R2664" s="324">
        <f t="shared" si="43"/>
        <v>1</v>
      </c>
      <c r="S2664" s="324">
        <f t="shared" si="44"/>
        <v>1</v>
      </c>
      <c r="T2664" s="512" t="e">
        <f>_xlfn.XLOOKUP(H2664,#REF!,#REF!,0,0)</f>
        <v>#REF!</v>
      </c>
    </row>
    <row r="2665" spans="1:20" s="328" customFormat="1" x14ac:dyDescent="0.4">
      <c r="A2665" s="324" t="s">
        <v>10115</v>
      </c>
      <c r="B2665" s="522" t="s">
        <v>10116</v>
      </c>
      <c r="C2665" s="324" t="s">
        <v>433</v>
      </c>
      <c r="D2665" s="324" t="s">
        <v>9084</v>
      </c>
      <c r="E2665" s="324" t="s">
        <v>10</v>
      </c>
      <c r="F2665" s="324" t="s">
        <v>3072</v>
      </c>
      <c r="G2665" s="327"/>
      <c r="H2665" s="324" t="s">
        <v>298</v>
      </c>
      <c r="I2665" s="327">
        <v>71389</v>
      </c>
      <c r="J2665" s="324"/>
      <c r="K2665" s="324"/>
      <c r="L2665" s="324" t="s">
        <v>364</v>
      </c>
      <c r="M2665" s="324" t="s">
        <v>364</v>
      </c>
      <c r="N2665" s="324" t="s">
        <v>364</v>
      </c>
      <c r="O2665" s="324" t="s">
        <v>364</v>
      </c>
      <c r="P2665" s="528" t="s">
        <v>10117</v>
      </c>
      <c r="Q2665" s="324" t="str">
        <f>IF(AND(C2665="Priorità/stagisti/Scorta"),1,"")</f>
        <v/>
      </c>
      <c r="R2665" s="324">
        <f t="shared" si="43"/>
        <v>1</v>
      </c>
      <c r="S2665" s="324">
        <f t="shared" si="44"/>
        <v>1</v>
      </c>
      <c r="T2665" s="512" t="e">
        <f>_xlfn.XLOOKUP(H2665,#REF!,#REF!,0,0)</f>
        <v>#REF!</v>
      </c>
    </row>
    <row r="2666" spans="1:20" s="328" customFormat="1" x14ac:dyDescent="0.4">
      <c r="A2666" s="324" t="s">
        <v>10118</v>
      </c>
      <c r="B2666" s="522" t="s">
        <v>10116</v>
      </c>
      <c r="C2666" s="324" t="s">
        <v>433</v>
      </c>
      <c r="D2666" s="324" t="s">
        <v>9084</v>
      </c>
      <c r="E2666" s="324" t="s">
        <v>10</v>
      </c>
      <c r="F2666" s="324" t="s">
        <v>3072</v>
      </c>
      <c r="G2666" s="327"/>
      <c r="H2666" s="324" t="s">
        <v>272</v>
      </c>
      <c r="I2666" s="327">
        <v>70770</v>
      </c>
      <c r="J2666" s="324"/>
      <c r="K2666" s="324"/>
      <c r="L2666" s="324" t="s">
        <v>364</v>
      </c>
      <c r="M2666" s="324" t="s">
        <v>364</v>
      </c>
      <c r="N2666" s="324" t="s">
        <v>364</v>
      </c>
      <c r="O2666" s="324" t="s">
        <v>364</v>
      </c>
      <c r="P2666" s="528" t="s">
        <v>10117</v>
      </c>
      <c r="Q2666" s="324" t="str">
        <f>IF(AND(C2666="Priorità/stagisti/Scorta"),1,"")</f>
        <v/>
      </c>
      <c r="R2666" s="324">
        <f t="shared" si="43"/>
        <v>1</v>
      </c>
      <c r="S2666" s="324">
        <f t="shared" si="44"/>
        <v>1</v>
      </c>
      <c r="T2666" s="512" t="e">
        <f>_xlfn.XLOOKUP(H2666,#REF!,#REF!,0,0)</f>
        <v>#REF!</v>
      </c>
    </row>
    <row r="2667" spans="1:20" s="376" customFormat="1" x14ac:dyDescent="0.4">
      <c r="A2667" s="1" t="s">
        <v>10119</v>
      </c>
      <c r="B2667" s="1" t="s">
        <v>10120</v>
      </c>
      <c r="C2667" s="1" t="s">
        <v>433</v>
      </c>
      <c r="D2667" s="1" t="s">
        <v>9084</v>
      </c>
      <c r="E2667" s="370" t="s">
        <v>10</v>
      </c>
      <c r="F2667" s="1" t="s">
        <v>436</v>
      </c>
      <c r="G2667" s="2">
        <v>45566</v>
      </c>
      <c r="H2667" s="1" t="s">
        <v>10121</v>
      </c>
      <c r="I2667" s="1">
        <v>76792</v>
      </c>
      <c r="J2667" s="1" t="s">
        <v>10122</v>
      </c>
      <c r="K2667" s="1" t="s">
        <v>10123</v>
      </c>
      <c r="L2667" s="1" t="s">
        <v>364</v>
      </c>
      <c r="M2667" s="1" t="s">
        <v>364</v>
      </c>
      <c r="N2667" s="1" t="s">
        <v>364</v>
      </c>
      <c r="O2667" s="1" t="s">
        <v>364</v>
      </c>
      <c r="P2667" s="293" t="s">
        <v>523</v>
      </c>
      <c r="Q2667" s="1" t="str">
        <f>IF(A2667="SCORTA 10",1,"")</f>
        <v/>
      </c>
      <c r="R2667" s="324">
        <f t="shared" si="43"/>
        <v>1</v>
      </c>
      <c r="S2667" s="324">
        <f t="shared" si="44"/>
        <v>1</v>
      </c>
      <c r="T2667" s="512" t="e">
        <f>_xlfn.XLOOKUP(H2667,#REF!,#REF!,0,0)</f>
        <v>#REF!</v>
      </c>
    </row>
    <row r="2668" spans="1:20" s="328" customFormat="1" x14ac:dyDescent="0.4">
      <c r="A2668" s="2" t="s">
        <v>10124</v>
      </c>
      <c r="B2668" s="2" t="s">
        <v>10125</v>
      </c>
      <c r="C2668" s="2" t="s">
        <v>435</v>
      </c>
      <c r="D2668" s="2" t="s">
        <v>8127</v>
      </c>
      <c r="E2668" s="2" t="s">
        <v>10</v>
      </c>
      <c r="F2668" s="2" t="s">
        <v>560</v>
      </c>
      <c r="G2668" s="281"/>
      <c r="H2668" s="2" t="s">
        <v>9121</v>
      </c>
      <c r="I2668" s="281">
        <v>73677</v>
      </c>
      <c r="J2668" s="2"/>
      <c r="K2668" s="2">
        <v>45600</v>
      </c>
      <c r="L2668" s="2" t="s">
        <v>364</v>
      </c>
      <c r="M2668" s="2" t="s">
        <v>364</v>
      </c>
      <c r="N2668" s="2" t="s">
        <v>364</v>
      </c>
      <c r="O2668" s="2" t="s">
        <v>364</v>
      </c>
      <c r="P2668" s="488" t="s">
        <v>10126</v>
      </c>
      <c r="Q2668" s="2" t="str">
        <f>IF(AND(C2668="Priorità/stagisti/Scorta"),1,"")</f>
        <v/>
      </c>
      <c r="R2668" s="324">
        <f t="shared" si="43"/>
        <v>1</v>
      </c>
      <c r="S2668" s="324">
        <f t="shared" si="44"/>
        <v>1</v>
      </c>
      <c r="T2668" s="512" t="e">
        <f>_xlfn.XLOOKUP(H2668,#REF!,#REF!,0,0)</f>
        <v>#REF!</v>
      </c>
    </row>
    <row r="2669" spans="1:20" s="328" customFormat="1" x14ac:dyDescent="0.4">
      <c r="A2669" s="2" t="s">
        <v>10127</v>
      </c>
      <c r="B2669" s="2" t="s">
        <v>10128</v>
      </c>
      <c r="C2669" s="2" t="s">
        <v>435</v>
      </c>
      <c r="D2669" s="2" t="s">
        <v>8127</v>
      </c>
      <c r="E2669" s="2" t="s">
        <v>10</v>
      </c>
      <c r="F2669" s="2" t="s">
        <v>560</v>
      </c>
      <c r="G2669" s="281"/>
      <c r="H2669" s="2" t="s">
        <v>9152</v>
      </c>
      <c r="I2669" s="281">
        <v>73682</v>
      </c>
      <c r="J2669" s="2"/>
      <c r="K2669" s="2">
        <v>45600</v>
      </c>
      <c r="L2669" s="2" t="s">
        <v>364</v>
      </c>
      <c r="M2669" s="2" t="s">
        <v>364</v>
      </c>
      <c r="N2669" s="2" t="s">
        <v>364</v>
      </c>
      <c r="O2669" s="2" t="s">
        <v>364</v>
      </c>
      <c r="P2669" s="488" t="s">
        <v>10126</v>
      </c>
      <c r="Q2669" s="2" t="str">
        <f>IF(AND(C2669="Priorità/stagisti/Scorta"),1,"")</f>
        <v/>
      </c>
      <c r="R2669" s="324">
        <f t="shared" si="43"/>
        <v>1</v>
      </c>
      <c r="S2669" s="324">
        <f t="shared" si="44"/>
        <v>1</v>
      </c>
      <c r="T2669" s="512" t="e">
        <f>_xlfn.XLOOKUP(H2669,#REF!,#REF!,0,0)</f>
        <v>#REF!</v>
      </c>
    </row>
    <row r="2670" spans="1:20" s="376" customFormat="1" ht="18.75" customHeight="1" x14ac:dyDescent="0.4">
      <c r="A2670" s="1" t="s">
        <v>10129</v>
      </c>
      <c r="B2670" s="1" t="s">
        <v>10130</v>
      </c>
      <c r="C2670" s="1" t="s">
        <v>433</v>
      </c>
      <c r="D2670" s="1" t="s">
        <v>693</v>
      </c>
      <c r="E2670" s="370" t="s">
        <v>10</v>
      </c>
      <c r="F2670" s="1" t="s">
        <v>436</v>
      </c>
      <c r="G2670" s="2">
        <v>45566</v>
      </c>
      <c r="H2670" s="1" t="s">
        <v>10131</v>
      </c>
      <c r="I2670" s="1">
        <v>76790</v>
      </c>
      <c r="J2670" s="1" t="s">
        <v>10132</v>
      </c>
      <c r="K2670" s="1" t="s">
        <v>10133</v>
      </c>
      <c r="L2670" s="1" t="s">
        <v>364</v>
      </c>
      <c r="M2670" s="1" t="s">
        <v>364</v>
      </c>
      <c r="N2670" s="1" t="s">
        <v>364</v>
      </c>
      <c r="O2670" s="1" t="s">
        <v>364</v>
      </c>
      <c r="P2670" s="293" t="s">
        <v>10134</v>
      </c>
      <c r="Q2670" s="1" t="str">
        <f t="shared" ref="Q2670:Q2675" si="45">IF(A2670="SCORTA 10",1,"")</f>
        <v/>
      </c>
      <c r="R2670" s="324">
        <f t="shared" si="43"/>
        <v>1</v>
      </c>
      <c r="S2670" s="324">
        <f t="shared" si="44"/>
        <v>1</v>
      </c>
      <c r="T2670" s="512" t="e">
        <f>_xlfn.XLOOKUP(H2670,#REF!,#REF!,0,0)</f>
        <v>#REF!</v>
      </c>
    </row>
    <row r="2671" spans="1:20" s="286" customFormat="1" x14ac:dyDescent="0.4">
      <c r="A2671" s="2" t="s">
        <v>10135</v>
      </c>
      <c r="B2671" s="2" t="s">
        <v>10136</v>
      </c>
      <c r="C2671" s="2" t="s">
        <v>433</v>
      </c>
      <c r="D2671" s="2" t="s">
        <v>9084</v>
      </c>
      <c r="E2671" s="2" t="s">
        <v>366</v>
      </c>
      <c r="F2671" s="2" t="s">
        <v>367</v>
      </c>
      <c r="G2671" s="2">
        <v>45513</v>
      </c>
      <c r="H2671" s="2" t="s">
        <v>10137</v>
      </c>
      <c r="I2671" s="1">
        <v>76350</v>
      </c>
      <c r="J2671" s="2" t="s">
        <v>10138</v>
      </c>
      <c r="K2671" s="2" t="s">
        <v>10139</v>
      </c>
      <c r="L2671" s="1" t="s">
        <v>364</v>
      </c>
      <c r="M2671" s="1" t="s">
        <v>364</v>
      </c>
      <c r="N2671" s="1" t="s">
        <v>364</v>
      </c>
      <c r="O2671" s="1" t="s">
        <v>364</v>
      </c>
      <c r="P2671" s="524" t="s">
        <v>10140</v>
      </c>
      <c r="Q2671" s="281" t="str">
        <f t="shared" si="45"/>
        <v/>
      </c>
      <c r="R2671" s="324">
        <f t="shared" si="43"/>
        <v>1</v>
      </c>
      <c r="S2671" s="324">
        <f t="shared" si="44"/>
        <v>1</v>
      </c>
      <c r="T2671" s="512" t="e">
        <f>_xlfn.XLOOKUP(H2671,#REF!,#REF!,0,0)</f>
        <v>#REF!</v>
      </c>
    </row>
    <row r="2672" spans="1:20" s="286" customFormat="1" x14ac:dyDescent="0.4">
      <c r="A2672" s="2" t="s">
        <v>10141</v>
      </c>
      <c r="B2672" s="2" t="s">
        <v>10142</v>
      </c>
      <c r="C2672" s="2" t="s">
        <v>433</v>
      </c>
      <c r="D2672" s="2" t="s">
        <v>9084</v>
      </c>
      <c r="E2672" s="2" t="s">
        <v>366</v>
      </c>
      <c r="F2672" s="2" t="s">
        <v>367</v>
      </c>
      <c r="G2672" s="2">
        <v>45513</v>
      </c>
      <c r="H2672" s="2" t="s">
        <v>10143</v>
      </c>
      <c r="I2672" s="1">
        <v>76348</v>
      </c>
      <c r="J2672" s="2" t="s">
        <v>10144</v>
      </c>
      <c r="K2672" s="2" t="s">
        <v>10145</v>
      </c>
      <c r="L2672" s="1" t="s">
        <v>364</v>
      </c>
      <c r="M2672" s="1" t="s">
        <v>364</v>
      </c>
      <c r="N2672" s="1" t="s">
        <v>364</v>
      </c>
      <c r="O2672" s="1" t="s">
        <v>364</v>
      </c>
      <c r="P2672" s="524" t="s">
        <v>10146</v>
      </c>
      <c r="Q2672" s="281" t="str">
        <f t="shared" si="45"/>
        <v/>
      </c>
      <c r="R2672" s="324">
        <f t="shared" si="43"/>
        <v>1</v>
      </c>
      <c r="S2672" s="324">
        <f t="shared" si="44"/>
        <v>1</v>
      </c>
      <c r="T2672" s="512" t="e">
        <f>_xlfn.XLOOKUP(H2672,#REF!,#REF!,0,0)</f>
        <v>#REF!</v>
      </c>
    </row>
    <row r="2673" spans="1:20" s="286" customFormat="1" x14ac:dyDescent="0.4">
      <c r="A2673" s="2" t="s">
        <v>10147</v>
      </c>
      <c r="B2673" s="2" t="s">
        <v>10148</v>
      </c>
      <c r="C2673" s="2" t="s">
        <v>433</v>
      </c>
      <c r="D2673" s="2"/>
      <c r="E2673" s="2" t="s">
        <v>366</v>
      </c>
      <c r="F2673" s="2" t="s">
        <v>367</v>
      </c>
      <c r="G2673" s="2">
        <v>45513</v>
      </c>
      <c r="H2673" s="2" t="s">
        <v>10149</v>
      </c>
      <c r="I2673" s="1">
        <v>76345</v>
      </c>
      <c r="J2673" s="2" t="s">
        <v>10150</v>
      </c>
      <c r="K2673" s="2" t="s">
        <v>10151</v>
      </c>
      <c r="L2673" s="1" t="s">
        <v>364</v>
      </c>
      <c r="M2673" s="1" t="s">
        <v>364</v>
      </c>
      <c r="N2673" s="1" t="s">
        <v>364</v>
      </c>
      <c r="O2673" s="1" t="s">
        <v>364</v>
      </c>
      <c r="P2673" s="524" t="s">
        <v>10152</v>
      </c>
      <c r="Q2673" s="281" t="str">
        <f t="shared" si="45"/>
        <v/>
      </c>
      <c r="R2673" s="324">
        <f t="shared" si="43"/>
        <v>1</v>
      </c>
      <c r="S2673" s="324" t="str">
        <f t="shared" si="44"/>
        <v/>
      </c>
      <c r="T2673" s="512" t="e">
        <f>_xlfn.XLOOKUP(H2673,#REF!,#REF!,0,0)</f>
        <v>#REF!</v>
      </c>
    </row>
    <row r="2674" spans="1:20" s="286" customFormat="1" x14ac:dyDescent="0.4">
      <c r="A2674" s="367" t="s">
        <v>10153</v>
      </c>
      <c r="B2674" s="2" t="s">
        <v>10154</v>
      </c>
      <c r="C2674" s="368" t="s">
        <v>433</v>
      </c>
      <c r="D2674" s="2" t="s">
        <v>9084</v>
      </c>
      <c r="E2674" s="2" t="s">
        <v>366</v>
      </c>
      <c r="F2674" s="2" t="s">
        <v>367</v>
      </c>
      <c r="G2674" s="2">
        <v>45513</v>
      </c>
      <c r="H2674" s="2" t="s">
        <v>10155</v>
      </c>
      <c r="I2674" s="1">
        <v>76332</v>
      </c>
      <c r="J2674" s="2" t="s">
        <v>10156</v>
      </c>
      <c r="K2674" s="2">
        <v>45610</v>
      </c>
      <c r="L2674" s="1" t="s">
        <v>364</v>
      </c>
      <c r="M2674" s="1" t="s">
        <v>364</v>
      </c>
      <c r="N2674" s="1" t="s">
        <v>364</v>
      </c>
      <c r="O2674" s="1" t="s">
        <v>364</v>
      </c>
      <c r="P2674" s="524"/>
      <c r="Q2674" s="281" t="str">
        <f t="shared" si="45"/>
        <v/>
      </c>
      <c r="R2674" s="324">
        <f t="shared" si="43"/>
        <v>1</v>
      </c>
      <c r="S2674" s="324">
        <f t="shared" si="44"/>
        <v>1</v>
      </c>
      <c r="T2674" s="512" t="e">
        <f>_xlfn.XLOOKUP(H2674,#REF!,#REF!,0,0)</f>
        <v>#REF!</v>
      </c>
    </row>
    <row r="2675" spans="1:20" s="376" customFormat="1" ht="18.75" customHeight="1" x14ac:dyDescent="0.4">
      <c r="A2675" s="1" t="s">
        <v>10157</v>
      </c>
      <c r="B2675" s="1" t="s">
        <v>10158</v>
      </c>
      <c r="C2675" s="1" t="s">
        <v>433</v>
      </c>
      <c r="D2675" s="1" t="s">
        <v>9084</v>
      </c>
      <c r="E2675" s="370" t="s">
        <v>10</v>
      </c>
      <c r="F2675" s="1" t="s">
        <v>436</v>
      </c>
      <c r="G2675" s="2">
        <v>45566</v>
      </c>
      <c r="H2675" s="1" t="s">
        <v>10159</v>
      </c>
      <c r="I2675" s="1">
        <v>76793</v>
      </c>
      <c r="J2675" s="1" t="s">
        <v>10160</v>
      </c>
      <c r="K2675" s="1" t="s">
        <v>10161</v>
      </c>
      <c r="L2675" s="1" t="s">
        <v>364</v>
      </c>
      <c r="M2675" s="1" t="s">
        <v>364</v>
      </c>
      <c r="N2675" s="1" t="s">
        <v>364</v>
      </c>
      <c r="O2675" s="1" t="s">
        <v>364</v>
      </c>
      <c r="P2675" s="293" t="s">
        <v>10162</v>
      </c>
      <c r="Q2675" s="1" t="str">
        <f t="shared" si="45"/>
        <v/>
      </c>
      <c r="R2675" s="324">
        <f t="shared" si="43"/>
        <v>1</v>
      </c>
      <c r="S2675" s="324">
        <f t="shared" si="44"/>
        <v>1</v>
      </c>
      <c r="T2675" s="512" t="e">
        <f>_xlfn.XLOOKUP(H2675,#REF!,#REF!,0,0)</f>
        <v>#REF!</v>
      </c>
    </row>
    <row r="2676" spans="1:20" s="286" customFormat="1" x14ac:dyDescent="0.4">
      <c r="A2676" s="2" t="s">
        <v>10163</v>
      </c>
      <c r="B2676" s="2" t="s">
        <v>10164</v>
      </c>
      <c r="C2676" s="2" t="s">
        <v>433</v>
      </c>
      <c r="D2676" s="2" t="s">
        <v>9084</v>
      </c>
      <c r="E2676" s="2" t="s">
        <v>366</v>
      </c>
      <c r="F2676" s="2" t="s">
        <v>367</v>
      </c>
      <c r="G2676" s="2">
        <v>45513</v>
      </c>
      <c r="H2676" s="2" t="s">
        <v>10165</v>
      </c>
      <c r="I2676" s="1">
        <v>76349</v>
      </c>
      <c r="J2676" s="2" t="s">
        <v>10166</v>
      </c>
      <c r="K2676" s="2" t="s">
        <v>10167</v>
      </c>
      <c r="L2676" s="1" t="s">
        <v>364</v>
      </c>
      <c r="M2676" s="1" t="s">
        <v>364</v>
      </c>
      <c r="N2676" s="1" t="s">
        <v>364</v>
      </c>
      <c r="O2676" s="1" t="s">
        <v>364</v>
      </c>
      <c r="P2676" s="524" t="s">
        <v>523</v>
      </c>
      <c r="Q2676" s="281" t="str">
        <f>IF(A2676="SCORTA 10",1,"")</f>
        <v/>
      </c>
      <c r="R2676" s="324">
        <f t="shared" si="43"/>
        <v>1</v>
      </c>
      <c r="S2676" s="324">
        <f t="shared" si="44"/>
        <v>1</v>
      </c>
      <c r="T2676" s="512" t="e">
        <f>_xlfn.XLOOKUP(H2676,#REF!,#REF!,0,0)</f>
        <v>#REF!</v>
      </c>
    </row>
    <row r="2677" spans="1:20" s="376" customFormat="1" ht="18.75" customHeight="1" x14ac:dyDescent="0.4">
      <c r="A2677" s="1" t="s">
        <v>10168</v>
      </c>
      <c r="B2677" s="1" t="s">
        <v>10169</v>
      </c>
      <c r="C2677" s="1" t="s">
        <v>433</v>
      </c>
      <c r="D2677" s="1" t="s">
        <v>9084</v>
      </c>
      <c r="E2677" s="370" t="s">
        <v>10</v>
      </c>
      <c r="F2677" s="1" t="s">
        <v>436</v>
      </c>
      <c r="G2677" s="2">
        <v>45566</v>
      </c>
      <c r="H2677" s="1" t="s">
        <v>10170</v>
      </c>
      <c r="I2677" s="1">
        <v>76794</v>
      </c>
      <c r="J2677" s="1" t="s">
        <v>10171</v>
      </c>
      <c r="K2677" s="1" t="s">
        <v>10172</v>
      </c>
      <c r="L2677" s="1" t="s">
        <v>364</v>
      </c>
      <c r="M2677" s="1" t="s">
        <v>364</v>
      </c>
      <c r="N2677" s="1" t="s">
        <v>364</v>
      </c>
      <c r="O2677" s="1" t="s">
        <v>364</v>
      </c>
      <c r="P2677" s="293" t="s">
        <v>10173</v>
      </c>
      <c r="Q2677" s="1" t="str">
        <f>IF(A2677="SCORTA 10",1,"")</f>
        <v/>
      </c>
      <c r="R2677" s="324">
        <f t="shared" si="43"/>
        <v>1</v>
      </c>
      <c r="S2677" s="324">
        <f t="shared" si="44"/>
        <v>1</v>
      </c>
      <c r="T2677" s="512" t="e">
        <f>_xlfn.XLOOKUP(H2677,#REF!,#REF!,0,0)</f>
        <v>#REF!</v>
      </c>
    </row>
    <row r="2678" spans="1:20" s="286" customFormat="1" x14ac:dyDescent="0.4">
      <c r="A2678" s="2" t="s">
        <v>10174</v>
      </c>
      <c r="B2678" s="2" t="s">
        <v>10175</v>
      </c>
      <c r="C2678" s="2" t="s">
        <v>433</v>
      </c>
      <c r="D2678" s="2" t="s">
        <v>8127</v>
      </c>
      <c r="E2678" s="2" t="s">
        <v>366</v>
      </c>
      <c r="F2678" s="2" t="s">
        <v>367</v>
      </c>
      <c r="G2678" s="2">
        <v>45513</v>
      </c>
      <c r="H2678" s="2" t="s">
        <v>10176</v>
      </c>
      <c r="I2678" s="1">
        <v>76353</v>
      </c>
      <c r="J2678" s="2" t="s">
        <v>10177</v>
      </c>
      <c r="K2678" s="2" t="s">
        <v>10178</v>
      </c>
      <c r="L2678" s="1" t="s">
        <v>364</v>
      </c>
      <c r="M2678" s="1" t="s">
        <v>364</v>
      </c>
      <c r="N2678" s="1" t="s">
        <v>364</v>
      </c>
      <c r="O2678" s="1" t="s">
        <v>364</v>
      </c>
      <c r="P2678" s="524" t="s">
        <v>5995</v>
      </c>
      <c r="Q2678" s="281" t="str">
        <f>IF(A2678="SCORTA 10",1,"")</f>
        <v/>
      </c>
      <c r="R2678" s="324">
        <f t="shared" si="43"/>
        <v>1</v>
      </c>
      <c r="S2678" s="324">
        <f t="shared" si="44"/>
        <v>1</v>
      </c>
      <c r="T2678" s="512" t="e">
        <f>_xlfn.XLOOKUP(H2678,#REF!,#REF!,0,0)</f>
        <v>#REF!</v>
      </c>
    </row>
    <row r="2679" spans="1:20" s="286" customFormat="1" x14ac:dyDescent="0.4">
      <c r="A2679" s="2" t="s">
        <v>10179</v>
      </c>
      <c r="B2679" s="2" t="s">
        <v>10180</v>
      </c>
      <c r="C2679" s="2" t="s">
        <v>433</v>
      </c>
      <c r="D2679" s="2" t="s">
        <v>8127</v>
      </c>
      <c r="E2679" s="2" t="s">
        <v>366</v>
      </c>
      <c r="F2679" s="2" t="s">
        <v>367</v>
      </c>
      <c r="G2679" s="2">
        <v>45513</v>
      </c>
      <c r="H2679" s="2" t="s">
        <v>10181</v>
      </c>
      <c r="I2679" s="1">
        <v>76355</v>
      </c>
      <c r="J2679" s="2" t="s">
        <v>10182</v>
      </c>
      <c r="K2679" s="2"/>
      <c r="L2679" s="1" t="s">
        <v>364</v>
      </c>
      <c r="M2679" s="1" t="s">
        <v>364</v>
      </c>
      <c r="N2679" s="1" t="s">
        <v>364</v>
      </c>
      <c r="O2679" s="1" t="s">
        <v>364</v>
      </c>
      <c r="P2679" s="524" t="s">
        <v>10183</v>
      </c>
      <c r="Q2679" s="281" t="str">
        <f>IF(A2679="SCORTA 10",1,"")</f>
        <v/>
      </c>
      <c r="R2679" s="324">
        <f t="shared" si="43"/>
        <v>1</v>
      </c>
      <c r="S2679" s="324">
        <f t="shared" si="44"/>
        <v>1</v>
      </c>
      <c r="T2679" s="512" t="e">
        <f>_xlfn.XLOOKUP(H2679,#REF!,#REF!,0,0)</f>
        <v>#REF!</v>
      </c>
    </row>
    <row r="2680" spans="1:20" s="328" customFormat="1" x14ac:dyDescent="0.4">
      <c r="A2680" s="324" t="s">
        <v>10184</v>
      </c>
      <c r="B2680" s="522" t="s">
        <v>9381</v>
      </c>
      <c r="C2680" s="324" t="s">
        <v>433</v>
      </c>
      <c r="D2680" s="324" t="s">
        <v>693</v>
      </c>
      <c r="E2680" s="324" t="s">
        <v>10185</v>
      </c>
      <c r="F2680" s="324" t="s">
        <v>10186</v>
      </c>
      <c r="G2680" s="327"/>
      <c r="H2680" s="324" t="s">
        <v>10187</v>
      </c>
      <c r="I2680" s="327">
        <v>70012</v>
      </c>
      <c r="J2680" s="324" t="s">
        <v>10188</v>
      </c>
      <c r="K2680" s="324"/>
      <c r="L2680" s="1" t="s">
        <v>364</v>
      </c>
      <c r="M2680" s="1" t="s">
        <v>364</v>
      </c>
      <c r="N2680" s="1" t="s">
        <v>364</v>
      </c>
      <c r="O2680" s="1" t="s">
        <v>364</v>
      </c>
      <c r="P2680" s="528"/>
      <c r="Q2680" s="324" t="str">
        <f>IF(AND(C2680="Priorità/stagisti/Scorta"),1,"")</f>
        <v/>
      </c>
      <c r="R2680" s="324">
        <f t="shared" si="43"/>
        <v>1</v>
      </c>
      <c r="S2680" s="324">
        <f t="shared" si="44"/>
        <v>1</v>
      </c>
      <c r="T2680" s="512" t="e">
        <f>_xlfn.XLOOKUP(H2680,#REF!,#REF!,0,0)</f>
        <v>#REF!</v>
      </c>
    </row>
    <row r="2681" spans="1:20" s="286" customFormat="1" x14ac:dyDescent="0.4">
      <c r="A2681" s="2" t="s">
        <v>10189</v>
      </c>
      <c r="B2681" s="2" t="s">
        <v>10190</v>
      </c>
      <c r="C2681" s="2" t="s">
        <v>433</v>
      </c>
      <c r="D2681" s="2" t="s">
        <v>9084</v>
      </c>
      <c r="E2681" s="2" t="s">
        <v>366</v>
      </c>
      <c r="F2681" s="2" t="s">
        <v>367</v>
      </c>
      <c r="G2681" s="2">
        <v>45513</v>
      </c>
      <c r="H2681" s="2" t="s">
        <v>10191</v>
      </c>
      <c r="I2681" s="1">
        <v>76346</v>
      </c>
      <c r="J2681" s="2" t="s">
        <v>10192</v>
      </c>
      <c r="K2681" s="2" t="s">
        <v>10193</v>
      </c>
      <c r="L2681" s="2" t="s">
        <v>364</v>
      </c>
      <c r="M2681" s="2" t="s">
        <v>364</v>
      </c>
      <c r="N2681" s="2"/>
      <c r="O2681" s="2" t="s">
        <v>364</v>
      </c>
      <c r="P2681" s="524"/>
      <c r="Q2681" s="281" t="str">
        <f>IF(A2681="SCORTA 10",1,"")</f>
        <v/>
      </c>
      <c r="R2681" s="1">
        <f>IF(H2681&lt;&gt;"",1,"")</f>
        <v>1</v>
      </c>
      <c r="S2681" s="1">
        <f>IF(I2681&lt;&gt;"",1,"")</f>
        <v>1</v>
      </c>
      <c r="T2681" s="512" t="e">
        <f>_xlfn.XLOOKUP(H2681,#REF!,#REF!,0,0)</f>
        <v>#REF!</v>
      </c>
    </row>
    <row r="2682" spans="1:20" s="297" customFormat="1" x14ac:dyDescent="0.4">
      <c r="A2682" s="325" t="s">
        <v>10194</v>
      </c>
      <c r="B2682" s="325" t="s">
        <v>10195</v>
      </c>
      <c r="C2682" s="325" t="s">
        <v>433</v>
      </c>
      <c r="D2682" s="325" t="s">
        <v>9084</v>
      </c>
      <c r="E2682" s="325" t="s">
        <v>10</v>
      </c>
      <c r="F2682" s="325" t="s">
        <v>8409</v>
      </c>
      <c r="G2682" s="374"/>
      <c r="H2682" s="325" t="s">
        <v>10196</v>
      </c>
      <c r="I2682" s="374">
        <v>76001</v>
      </c>
      <c r="J2682" s="325" t="s">
        <v>10197</v>
      </c>
      <c r="K2682" s="325" t="s">
        <v>10198</v>
      </c>
      <c r="L2682" s="325" t="s">
        <v>364</v>
      </c>
      <c r="M2682" s="325" t="s">
        <v>364</v>
      </c>
      <c r="N2682" s="325" t="s">
        <v>364</v>
      </c>
      <c r="O2682" s="325" t="s">
        <v>364</v>
      </c>
      <c r="P2682" s="541" t="s">
        <v>10199</v>
      </c>
      <c r="Q2682" s="325" t="str">
        <f>IF(AND(C2682="Priorità/stagisti/Scorta"),1,"")</f>
        <v/>
      </c>
      <c r="R2682" s="324">
        <f>IF(AND(C2682&lt;&gt;"Priorità/Stagisti/Scorta",C2682&lt;&gt;""),1,"")</f>
        <v>1</v>
      </c>
      <c r="S2682" s="324">
        <f>IF(AND(D2682&lt;&gt;"Priorità/Stagisti/Scorta",D2682&lt;&gt;""),1,"")</f>
        <v>1</v>
      </c>
      <c r="T2682" s="512" t="e">
        <f>_xlfn.XLOOKUP(H2682,#REF!,#REF!,0,0)</f>
        <v>#REF!</v>
      </c>
    </row>
    <row r="2683" spans="1:20" s="376" customFormat="1" ht="18.75" customHeight="1" x14ac:dyDescent="0.4">
      <c r="A2683" s="1" t="s">
        <v>10200</v>
      </c>
      <c r="B2683" s="1" t="s">
        <v>10201</v>
      </c>
      <c r="C2683" s="1" t="s">
        <v>433</v>
      </c>
      <c r="D2683" s="1" t="s">
        <v>9084</v>
      </c>
      <c r="E2683" s="370" t="s">
        <v>10</v>
      </c>
      <c r="F2683" s="1" t="s">
        <v>436</v>
      </c>
      <c r="G2683" s="2">
        <v>45566</v>
      </c>
      <c r="H2683" s="1" t="s">
        <v>10202</v>
      </c>
      <c r="I2683" s="1">
        <v>76801</v>
      </c>
      <c r="J2683" s="1" t="s">
        <v>10203</v>
      </c>
      <c r="K2683" s="2">
        <v>45610</v>
      </c>
      <c r="L2683" s="1" t="s">
        <v>364</v>
      </c>
      <c r="M2683" s="1" t="s">
        <v>364</v>
      </c>
      <c r="N2683" s="1" t="s">
        <v>364</v>
      </c>
      <c r="O2683" s="1" t="s">
        <v>364</v>
      </c>
      <c r="P2683" s="293" t="s">
        <v>10204</v>
      </c>
      <c r="Q2683" s="1" t="str">
        <f>IF(A2683="SCORTA 10",1,"")</f>
        <v/>
      </c>
      <c r="R2683" s="1">
        <f>IF(H2683&lt;&gt;"",1,"")</f>
        <v>1</v>
      </c>
      <c r="S2683" s="1">
        <f>IF(I2683&lt;&gt;"",1,"")</f>
        <v>1</v>
      </c>
      <c r="T2683" s="512" t="e">
        <f>_xlfn.XLOOKUP(H2683,#REF!,#REF!,0,0)</f>
        <v>#REF!</v>
      </c>
    </row>
    <row r="2684" spans="1:20" s="286" customFormat="1" x14ac:dyDescent="0.4">
      <c r="A2684" s="2" t="s">
        <v>10205</v>
      </c>
      <c r="B2684" s="2" t="s">
        <v>10206</v>
      </c>
      <c r="C2684" s="2" t="s">
        <v>433</v>
      </c>
      <c r="D2684" s="2" t="s">
        <v>9084</v>
      </c>
      <c r="E2684" s="2" t="s">
        <v>366</v>
      </c>
      <c r="F2684" s="2" t="s">
        <v>367</v>
      </c>
      <c r="G2684" s="2">
        <v>45513</v>
      </c>
      <c r="H2684" s="2" t="s">
        <v>10207</v>
      </c>
      <c r="I2684" s="1">
        <v>76354</v>
      </c>
      <c r="J2684" s="2" t="s">
        <v>10208</v>
      </c>
      <c r="K2684" s="2" t="s">
        <v>10209</v>
      </c>
      <c r="L2684" s="2" t="s">
        <v>364</v>
      </c>
      <c r="M2684" s="2" t="s">
        <v>364</v>
      </c>
      <c r="N2684" s="2"/>
      <c r="O2684" s="2"/>
      <c r="P2684" s="524" t="s">
        <v>10210</v>
      </c>
      <c r="Q2684" s="281" t="str">
        <f>IF(A2684="SCORTA 10",1,"")</f>
        <v/>
      </c>
      <c r="R2684" s="1">
        <f>IF(H2684&lt;&gt;"",1,"")</f>
        <v>1</v>
      </c>
      <c r="S2684" s="1">
        <f>IF(I2684&lt;&gt;"",1,"")</f>
        <v>1</v>
      </c>
      <c r="T2684" s="512" t="e">
        <f>_xlfn.XLOOKUP(H2684,#REF!,#REF!,0,0)</f>
        <v>#REF!</v>
      </c>
    </row>
    <row r="2685" spans="1:20" s="297" customFormat="1" x14ac:dyDescent="0.4">
      <c r="A2685" s="325" t="s">
        <v>10211</v>
      </c>
      <c r="B2685" s="325" t="s">
        <v>10212</v>
      </c>
      <c r="C2685" s="325" t="s">
        <v>433</v>
      </c>
      <c r="D2685" s="325" t="s">
        <v>9084</v>
      </c>
      <c r="E2685" s="325" t="s">
        <v>10</v>
      </c>
      <c r="F2685" s="325" t="s">
        <v>8409</v>
      </c>
      <c r="G2685" s="374"/>
      <c r="H2685" s="325" t="s">
        <v>10213</v>
      </c>
      <c r="I2685" s="374">
        <v>76002</v>
      </c>
      <c r="J2685" s="325" t="s">
        <v>10214</v>
      </c>
      <c r="K2685" s="325" t="s">
        <v>10215</v>
      </c>
      <c r="L2685" s="325" t="s">
        <v>364</v>
      </c>
      <c r="M2685" s="325" t="s">
        <v>364</v>
      </c>
      <c r="N2685" s="325" t="s">
        <v>364</v>
      </c>
      <c r="O2685" s="325" t="s">
        <v>364</v>
      </c>
      <c r="P2685" s="544" t="s">
        <v>10216</v>
      </c>
      <c r="Q2685" s="297" t="str">
        <f>IF(AND(C2685="Priorità/stagisti/Scorta"),1,"")</f>
        <v/>
      </c>
      <c r="R2685" s="324">
        <f>IF(AND(C2685&lt;&gt;"Priorità/Stagisti/Scorta",C2685&lt;&gt;""),1,"")</f>
        <v>1</v>
      </c>
      <c r="S2685" s="324">
        <f>IF(AND(D2685&lt;&gt;"Priorità/Stagisti/Scorta",D2685&lt;&gt;""),1,"")</f>
        <v>1</v>
      </c>
      <c r="T2685" s="512" t="e">
        <f>_xlfn.XLOOKUP(H2685,#REF!,#REF!,0,0)</f>
        <v>#REF!</v>
      </c>
    </row>
    <row r="2686" spans="1:20" s="376" customFormat="1" x14ac:dyDescent="0.4">
      <c r="A2686" s="1" t="s">
        <v>10217</v>
      </c>
      <c r="B2686" s="1" t="s">
        <v>10218</v>
      </c>
      <c r="C2686" s="1" t="s">
        <v>433</v>
      </c>
      <c r="D2686" s="1" t="s">
        <v>9084</v>
      </c>
      <c r="E2686" s="370" t="s">
        <v>10</v>
      </c>
      <c r="F2686" s="1" t="s">
        <v>436</v>
      </c>
      <c r="G2686" s="2">
        <v>45411</v>
      </c>
      <c r="H2686" s="1" t="s">
        <v>9366</v>
      </c>
      <c r="I2686" s="1">
        <v>76120</v>
      </c>
      <c r="J2686" s="1" t="s">
        <v>9367</v>
      </c>
      <c r="K2686" s="2">
        <v>45611</v>
      </c>
      <c r="L2686" s="1" t="s">
        <v>364</v>
      </c>
      <c r="M2686" s="1" t="s">
        <v>364</v>
      </c>
      <c r="N2686" s="1" t="s">
        <v>364</v>
      </c>
      <c r="O2686" s="1" t="s">
        <v>364</v>
      </c>
      <c r="P2686" s="545" t="s">
        <v>10219</v>
      </c>
      <c r="Q2686" s="1" t="str">
        <f>IF(A2686="SCORTA 10",1,"")</f>
        <v/>
      </c>
      <c r="R2686" s="1">
        <f t="shared" ref="R2686:S2689" si="46">IF(H2686&lt;&gt;"",1,"")</f>
        <v>1</v>
      </c>
      <c r="S2686" s="1">
        <f t="shared" si="46"/>
        <v>1</v>
      </c>
      <c r="T2686" s="512" t="e">
        <f>_xlfn.XLOOKUP(H2686,#REF!,#REF!,0,0)</f>
        <v>#REF!</v>
      </c>
    </row>
    <row r="2687" spans="1:20" s="286" customFormat="1" x14ac:dyDescent="0.4">
      <c r="A2687" s="2" t="s">
        <v>10220</v>
      </c>
      <c r="B2687" s="2" t="s">
        <v>10221</v>
      </c>
      <c r="C2687" s="2" t="s">
        <v>435</v>
      </c>
      <c r="D2687" s="2" t="s">
        <v>9084</v>
      </c>
      <c r="E2687" s="2" t="s">
        <v>366</v>
      </c>
      <c r="F2687" s="2" t="s">
        <v>367</v>
      </c>
      <c r="G2687" s="2">
        <v>45513</v>
      </c>
      <c r="H2687" s="2" t="s">
        <v>10222</v>
      </c>
      <c r="I2687" s="1">
        <v>76341</v>
      </c>
      <c r="J2687" s="2" t="s">
        <v>10223</v>
      </c>
      <c r="K2687" s="2">
        <v>45614</v>
      </c>
      <c r="L2687" s="2" t="s">
        <v>364</v>
      </c>
      <c r="M2687" s="2" t="s">
        <v>364</v>
      </c>
      <c r="N2687" s="2" t="s">
        <v>364</v>
      </c>
      <c r="O2687" s="2" t="s">
        <v>364</v>
      </c>
      <c r="P2687" s="524" t="s">
        <v>9816</v>
      </c>
      <c r="Q2687" s="281" t="str">
        <f>IF(A2687="SCORTA 10",1,"")</f>
        <v/>
      </c>
      <c r="R2687" s="1">
        <f t="shared" si="46"/>
        <v>1</v>
      </c>
      <c r="S2687" s="1">
        <f t="shared" si="46"/>
        <v>1</v>
      </c>
      <c r="T2687" s="512" t="e">
        <f>_xlfn.XLOOKUP(H2687,#REF!,#REF!,0,0)</f>
        <v>#REF!</v>
      </c>
    </row>
    <row r="2688" spans="1:20" s="295" customFormat="1" ht="18" customHeight="1" x14ac:dyDescent="0.4">
      <c r="A2688" s="2" t="s">
        <v>10224</v>
      </c>
      <c r="B2688" s="2" t="s">
        <v>10225</v>
      </c>
      <c r="C2688" s="2" t="s">
        <v>433</v>
      </c>
      <c r="D2688" s="2" t="s">
        <v>8127</v>
      </c>
      <c r="E2688" s="2" t="s">
        <v>3785</v>
      </c>
      <c r="F2688" s="2" t="s">
        <v>436</v>
      </c>
      <c r="G2688" s="2">
        <v>45278</v>
      </c>
      <c r="H2688" s="2" t="s">
        <v>8894</v>
      </c>
      <c r="I2688" s="1">
        <v>73649</v>
      </c>
      <c r="J2688" s="2" t="s">
        <v>8895</v>
      </c>
      <c r="K2688" s="2">
        <v>45616</v>
      </c>
      <c r="L2688" s="1" t="s">
        <v>364</v>
      </c>
      <c r="M2688" s="1" t="s">
        <v>364</v>
      </c>
      <c r="N2688" s="1" t="s">
        <v>364</v>
      </c>
      <c r="O2688" s="1" t="s">
        <v>364</v>
      </c>
      <c r="P2688" s="488" t="s">
        <v>10226</v>
      </c>
      <c r="Q2688" s="1" t="str">
        <f>IF(A2688="SCORTA 10",1,"")</f>
        <v/>
      </c>
      <c r="R2688" s="1">
        <f t="shared" si="46"/>
        <v>1</v>
      </c>
      <c r="S2688" s="1">
        <f t="shared" si="46"/>
        <v>1</v>
      </c>
      <c r="T2688" s="512" t="e">
        <f>_xlfn.XLOOKUP(H2688,#REF!,#REF!,0,0)</f>
        <v>#REF!</v>
      </c>
    </row>
    <row r="2689" spans="1:20" s="286" customFormat="1" x14ac:dyDescent="0.4">
      <c r="A2689" s="2" t="s">
        <v>10227</v>
      </c>
      <c r="B2689" s="2" t="s">
        <v>10228</v>
      </c>
      <c r="C2689" s="2" t="s">
        <v>433</v>
      </c>
      <c r="D2689" s="2" t="s">
        <v>9084</v>
      </c>
      <c r="E2689" s="2" t="s">
        <v>366</v>
      </c>
      <c r="F2689" s="2" t="s">
        <v>367</v>
      </c>
      <c r="G2689" s="2">
        <v>45513</v>
      </c>
      <c r="H2689" s="2" t="s">
        <v>10229</v>
      </c>
      <c r="I2689" s="1">
        <v>76356</v>
      </c>
      <c r="J2689" s="2" t="s">
        <v>10230</v>
      </c>
      <c r="K2689" s="2" t="s">
        <v>10231</v>
      </c>
      <c r="L2689" s="2" t="s">
        <v>364</v>
      </c>
      <c r="M2689" s="2" t="s">
        <v>364</v>
      </c>
      <c r="N2689" s="2" t="s">
        <v>364</v>
      </c>
      <c r="O2689" s="2" t="s">
        <v>364</v>
      </c>
      <c r="P2689" s="524"/>
      <c r="Q2689" s="281" t="str">
        <f>IF(A2689="SCORTA 10",1,"")</f>
        <v/>
      </c>
      <c r="R2689" s="1">
        <f t="shared" si="46"/>
        <v>1</v>
      </c>
      <c r="S2689" s="1">
        <f t="shared" si="46"/>
        <v>1</v>
      </c>
      <c r="T2689" s="512" t="e">
        <f>_xlfn.XLOOKUP(H2689,#REF!,#REF!,0,0)</f>
        <v>#REF!</v>
      </c>
    </row>
    <row r="2690" spans="1:20" s="328" customFormat="1" x14ac:dyDescent="0.4">
      <c r="A2690" s="360" t="s">
        <v>10232</v>
      </c>
      <c r="B2690" s="525" t="s">
        <v>9721</v>
      </c>
      <c r="C2690" s="360" t="s">
        <v>433</v>
      </c>
      <c r="D2690" s="360" t="s">
        <v>9084</v>
      </c>
      <c r="E2690" s="360" t="s">
        <v>10</v>
      </c>
      <c r="F2690" s="360" t="s">
        <v>10233</v>
      </c>
      <c r="G2690" s="527">
        <v>45542</v>
      </c>
      <c r="H2690" s="360" t="s">
        <v>10234</v>
      </c>
      <c r="I2690" s="526">
        <v>76072</v>
      </c>
      <c r="J2690" s="360" t="s">
        <v>10235</v>
      </c>
      <c r="K2690" s="360"/>
      <c r="L2690" s="360" t="s">
        <v>364</v>
      </c>
      <c r="M2690" s="360" t="s">
        <v>364</v>
      </c>
      <c r="N2690" s="360" t="s">
        <v>570</v>
      </c>
      <c r="O2690" s="360" t="s">
        <v>364</v>
      </c>
      <c r="P2690" s="546" t="s">
        <v>10236</v>
      </c>
      <c r="Q2690" s="360" t="str">
        <f>IF(AND(C2690="Priorità/stagisti/Scorta"),1,"")</f>
        <v/>
      </c>
      <c r="R2690" s="360">
        <f>IF(AND(C2690&lt;&gt;"Priorità/Stagisti/Scorta",C2690&lt;&gt;""),1,"")</f>
        <v>1</v>
      </c>
      <c r="S2690" s="360">
        <f>IF(AND(D2690&lt;&gt;"Priorità/Stagisti/Scorta",D2690&lt;&gt;""),1,"")</f>
        <v>1</v>
      </c>
      <c r="T2690" s="512" t="e">
        <f>_xlfn.XLOOKUP(H2690,#REF!,#REF!,0,0)</f>
        <v>#REF!</v>
      </c>
    </row>
    <row r="2691" spans="1:20" s="286" customFormat="1" x14ac:dyDescent="0.4">
      <c r="A2691" s="2" t="s">
        <v>10237</v>
      </c>
      <c r="B2691" s="2" t="s">
        <v>10238</v>
      </c>
      <c r="C2691" s="2" t="s">
        <v>433</v>
      </c>
      <c r="D2691" s="2" t="s">
        <v>9084</v>
      </c>
      <c r="E2691" s="2" t="s">
        <v>366</v>
      </c>
      <c r="F2691" s="2" t="s">
        <v>367</v>
      </c>
      <c r="G2691" s="2">
        <v>45513</v>
      </c>
      <c r="H2691" s="2" t="s">
        <v>10239</v>
      </c>
      <c r="I2691" s="1">
        <v>76347</v>
      </c>
      <c r="J2691" s="2" t="s">
        <v>10240</v>
      </c>
      <c r="K2691" s="2" t="s">
        <v>10241</v>
      </c>
      <c r="L2691" s="2" t="s">
        <v>364</v>
      </c>
      <c r="M2691" s="2" t="s">
        <v>364</v>
      </c>
      <c r="N2691" s="2" t="s">
        <v>364</v>
      </c>
      <c r="O2691" s="2" t="s">
        <v>364</v>
      </c>
      <c r="P2691" s="524"/>
      <c r="Q2691" s="281" t="str">
        <f t="shared" ref="Q2691:Q2703" si="47">IF(A2691="SCORTA 10",1,"")</f>
        <v/>
      </c>
      <c r="R2691" s="1">
        <f t="shared" ref="R2691:R2703" si="48">IF(H2691&lt;&gt;"",1,"")</f>
        <v>1</v>
      </c>
      <c r="S2691" s="1">
        <f t="shared" ref="S2691:S2703" si="49">IF(I2691&lt;&gt;"",1,"")</f>
        <v>1</v>
      </c>
      <c r="T2691" s="512" t="e">
        <f>_xlfn.XLOOKUP(H2691,#REF!,#REF!,0,0)</f>
        <v>#REF!</v>
      </c>
    </row>
    <row r="2692" spans="1:20" s="376" customFormat="1" x14ac:dyDescent="0.4">
      <c r="A2692" s="1" t="s">
        <v>10242</v>
      </c>
      <c r="B2692" s="1" t="s">
        <v>10243</v>
      </c>
      <c r="C2692" s="1" t="s">
        <v>433</v>
      </c>
      <c r="D2692" s="1" t="s">
        <v>693</v>
      </c>
      <c r="E2692" s="370" t="s">
        <v>10</v>
      </c>
      <c r="F2692" s="1" t="s">
        <v>436</v>
      </c>
      <c r="G2692" s="2">
        <v>45566</v>
      </c>
      <c r="H2692" s="1" t="s">
        <v>10244</v>
      </c>
      <c r="I2692" s="1">
        <v>76805</v>
      </c>
      <c r="J2692" s="1" t="s">
        <v>10245</v>
      </c>
      <c r="K2692" s="1" t="s">
        <v>10246</v>
      </c>
      <c r="L2692" s="1" t="s">
        <v>364</v>
      </c>
      <c r="M2692" s="1" t="s">
        <v>364</v>
      </c>
      <c r="N2692" s="1" t="s">
        <v>364</v>
      </c>
      <c r="O2692" s="1" t="s">
        <v>364</v>
      </c>
      <c r="P2692" s="547" t="s">
        <v>10247</v>
      </c>
      <c r="Q2692" s="1" t="str">
        <f t="shared" si="47"/>
        <v/>
      </c>
      <c r="R2692" s="1">
        <f t="shared" si="48"/>
        <v>1</v>
      </c>
      <c r="S2692" s="1">
        <f t="shared" si="49"/>
        <v>1</v>
      </c>
      <c r="T2692" s="512" t="e">
        <f>_xlfn.XLOOKUP(H2692,#REF!,#REF!,0,0)</f>
        <v>#REF!</v>
      </c>
    </row>
    <row r="2693" spans="1:20" s="376" customFormat="1" ht="18.75" customHeight="1" x14ac:dyDescent="0.4">
      <c r="A2693" s="1" t="s">
        <v>10248</v>
      </c>
      <c r="B2693" s="1" t="s">
        <v>10249</v>
      </c>
      <c r="C2693" s="1" t="s">
        <v>433</v>
      </c>
      <c r="D2693" s="1"/>
      <c r="E2693" s="370" t="s">
        <v>10</v>
      </c>
      <c r="F2693" s="1" t="s">
        <v>436</v>
      </c>
      <c r="G2693" s="2">
        <v>45566</v>
      </c>
      <c r="H2693" s="1" t="s">
        <v>10250</v>
      </c>
      <c r="I2693" s="1">
        <v>76802</v>
      </c>
      <c r="J2693" s="1" t="s">
        <v>10251</v>
      </c>
      <c r="K2693" s="338">
        <v>45617.5625</v>
      </c>
      <c r="L2693" s="1" t="s">
        <v>364</v>
      </c>
      <c r="M2693" s="1" t="s">
        <v>364</v>
      </c>
      <c r="N2693" s="1" t="s">
        <v>364</v>
      </c>
      <c r="O2693" s="1" t="s">
        <v>364</v>
      </c>
      <c r="P2693" s="293" t="s">
        <v>10252</v>
      </c>
      <c r="Q2693" s="1" t="str">
        <f t="shared" si="47"/>
        <v/>
      </c>
      <c r="R2693" s="1">
        <f t="shared" si="48"/>
        <v>1</v>
      </c>
      <c r="S2693" s="1">
        <f t="shared" si="49"/>
        <v>1</v>
      </c>
      <c r="T2693" s="512" t="e">
        <f>_xlfn.XLOOKUP(H2693,#REF!,#REF!,0,0)</f>
        <v>#REF!</v>
      </c>
    </row>
    <row r="2694" spans="1:20" s="376" customFormat="1" ht="18.75" customHeight="1" x14ac:dyDescent="0.4">
      <c r="A2694" s="1" t="s">
        <v>10253</v>
      </c>
      <c r="B2694" s="1" t="s">
        <v>10254</v>
      </c>
      <c r="C2694" s="1" t="s">
        <v>433</v>
      </c>
      <c r="D2694" s="1"/>
      <c r="E2694" s="370" t="s">
        <v>10</v>
      </c>
      <c r="F2694" s="1" t="s">
        <v>436</v>
      </c>
      <c r="G2694" s="2">
        <v>45566</v>
      </c>
      <c r="H2694" s="1" t="s">
        <v>10255</v>
      </c>
      <c r="I2694" s="1">
        <v>76803</v>
      </c>
      <c r="J2694" s="1" t="s">
        <v>10256</v>
      </c>
      <c r="K2694" s="1" t="s">
        <v>10257</v>
      </c>
      <c r="L2694" s="1" t="s">
        <v>364</v>
      </c>
      <c r="M2694" s="1"/>
      <c r="N2694" s="1"/>
      <c r="O2694" s="1"/>
      <c r="P2694" s="293" t="s">
        <v>10258</v>
      </c>
      <c r="Q2694" s="1" t="str">
        <f t="shared" si="47"/>
        <v/>
      </c>
      <c r="R2694" s="1">
        <f t="shared" si="48"/>
        <v>1</v>
      </c>
      <c r="S2694" s="1">
        <f t="shared" si="49"/>
        <v>1</v>
      </c>
      <c r="T2694" s="512" t="e">
        <f>_xlfn.XLOOKUP(H2694,#REF!,#REF!,0,0)</f>
        <v>#REF!</v>
      </c>
    </row>
    <row r="2695" spans="1:20" s="286" customFormat="1" x14ac:dyDescent="0.4">
      <c r="A2695" s="2" t="s">
        <v>10259</v>
      </c>
      <c r="B2695" s="2" t="s">
        <v>10260</v>
      </c>
      <c r="C2695" s="2" t="s">
        <v>435</v>
      </c>
      <c r="D2695" s="2" t="s">
        <v>9084</v>
      </c>
      <c r="E2695" s="2" t="s">
        <v>366</v>
      </c>
      <c r="F2695" s="2" t="s">
        <v>367</v>
      </c>
      <c r="G2695" s="2">
        <v>45513</v>
      </c>
      <c r="H2695" s="2" t="s">
        <v>10261</v>
      </c>
      <c r="I2695" s="1">
        <v>76361</v>
      </c>
      <c r="J2695" s="2" t="s">
        <v>10262</v>
      </c>
      <c r="K2695" s="2">
        <v>45628</v>
      </c>
      <c r="L2695" s="2" t="s">
        <v>364</v>
      </c>
      <c r="M2695" s="2" t="s">
        <v>364</v>
      </c>
      <c r="N2695" s="2" t="s">
        <v>364</v>
      </c>
      <c r="O2695" s="2" t="s">
        <v>364</v>
      </c>
      <c r="P2695" s="524" t="s">
        <v>10263</v>
      </c>
      <c r="Q2695" s="281" t="str">
        <f t="shared" si="47"/>
        <v/>
      </c>
      <c r="R2695" s="1">
        <f t="shared" si="48"/>
        <v>1</v>
      </c>
      <c r="S2695" s="1">
        <f t="shared" si="49"/>
        <v>1</v>
      </c>
      <c r="T2695" s="512" t="e">
        <f>_xlfn.XLOOKUP(H2695,#REF!,#REF!,0,0)</f>
        <v>#REF!</v>
      </c>
    </row>
    <row r="2696" spans="1:20" s="286" customFormat="1" x14ac:dyDescent="0.4">
      <c r="A2696" s="2" t="s">
        <v>10264</v>
      </c>
      <c r="B2696" s="2" t="s">
        <v>10265</v>
      </c>
      <c r="C2696" s="2" t="s">
        <v>435</v>
      </c>
      <c r="D2696" s="2" t="s">
        <v>9084</v>
      </c>
      <c r="E2696" s="2" t="s">
        <v>366</v>
      </c>
      <c r="F2696" s="2" t="s">
        <v>367</v>
      </c>
      <c r="G2696" s="2">
        <v>45513</v>
      </c>
      <c r="H2696" s="2" t="s">
        <v>10266</v>
      </c>
      <c r="I2696" s="1">
        <v>76362</v>
      </c>
      <c r="J2696" s="2" t="s">
        <v>10267</v>
      </c>
      <c r="K2696" s="2">
        <v>45628</v>
      </c>
      <c r="L2696" s="2" t="s">
        <v>364</v>
      </c>
      <c r="M2696" s="2" t="s">
        <v>364</v>
      </c>
      <c r="N2696" s="2" t="s">
        <v>364</v>
      </c>
      <c r="O2696" s="2" t="s">
        <v>364</v>
      </c>
      <c r="P2696" s="524" t="s">
        <v>6008</v>
      </c>
      <c r="Q2696" s="281" t="str">
        <f t="shared" si="47"/>
        <v/>
      </c>
      <c r="R2696" s="1">
        <f t="shared" si="48"/>
        <v>1</v>
      </c>
      <c r="S2696" s="1">
        <f t="shared" si="49"/>
        <v>1</v>
      </c>
      <c r="T2696" s="512" t="e">
        <f>_xlfn.XLOOKUP(H2696,#REF!,#REF!,0,0)</f>
        <v>#REF!</v>
      </c>
    </row>
    <row r="2697" spans="1:20" s="286" customFormat="1" x14ac:dyDescent="0.4">
      <c r="A2697" s="2" t="s">
        <v>10268</v>
      </c>
      <c r="B2697" s="2" t="s">
        <v>10269</v>
      </c>
      <c r="C2697" s="2" t="s">
        <v>435</v>
      </c>
      <c r="D2697" s="2" t="s">
        <v>9084</v>
      </c>
      <c r="E2697" s="2" t="s">
        <v>366</v>
      </c>
      <c r="F2697" s="2" t="s">
        <v>367</v>
      </c>
      <c r="G2697" s="2">
        <v>45513</v>
      </c>
      <c r="H2697" s="2" t="s">
        <v>10270</v>
      </c>
      <c r="I2697" s="1">
        <v>76363</v>
      </c>
      <c r="J2697" s="2" t="s">
        <v>10271</v>
      </c>
      <c r="K2697" s="2">
        <v>45628</v>
      </c>
      <c r="L2697" s="2" t="s">
        <v>364</v>
      </c>
      <c r="M2697" s="2" t="s">
        <v>364</v>
      </c>
      <c r="N2697" s="2" t="s">
        <v>364</v>
      </c>
      <c r="O2697" s="2" t="s">
        <v>364</v>
      </c>
      <c r="P2697" s="524" t="s">
        <v>10272</v>
      </c>
      <c r="Q2697" s="281" t="str">
        <f t="shared" si="47"/>
        <v/>
      </c>
      <c r="R2697" s="1">
        <f t="shared" si="48"/>
        <v>1</v>
      </c>
      <c r="S2697" s="1">
        <f t="shared" si="49"/>
        <v>1</v>
      </c>
      <c r="T2697" s="512" t="e">
        <f>_xlfn.XLOOKUP(H2697,#REF!,#REF!,0,0)</f>
        <v>#REF!</v>
      </c>
    </row>
    <row r="2698" spans="1:20" s="286" customFormat="1" x14ac:dyDescent="0.4">
      <c r="A2698" s="2" t="s">
        <v>10273</v>
      </c>
      <c r="B2698" s="2" t="s">
        <v>10274</v>
      </c>
      <c r="C2698" s="2" t="s">
        <v>435</v>
      </c>
      <c r="D2698" s="2" t="s">
        <v>9084</v>
      </c>
      <c r="E2698" s="2" t="s">
        <v>366</v>
      </c>
      <c r="F2698" s="2" t="s">
        <v>367</v>
      </c>
      <c r="G2698" s="2">
        <v>45513</v>
      </c>
      <c r="H2698" s="2" t="s">
        <v>10275</v>
      </c>
      <c r="I2698" s="1">
        <v>76364</v>
      </c>
      <c r="J2698" s="2" t="s">
        <v>10276</v>
      </c>
      <c r="K2698" s="2">
        <v>45628</v>
      </c>
      <c r="L2698" s="2" t="s">
        <v>364</v>
      </c>
      <c r="M2698" s="2" t="s">
        <v>364</v>
      </c>
      <c r="N2698" s="2" t="s">
        <v>364</v>
      </c>
      <c r="O2698" s="2" t="s">
        <v>364</v>
      </c>
      <c r="P2698" s="524" t="s">
        <v>10272</v>
      </c>
      <c r="Q2698" s="281" t="str">
        <f t="shared" si="47"/>
        <v/>
      </c>
      <c r="R2698" s="1">
        <f t="shared" si="48"/>
        <v>1</v>
      </c>
      <c r="S2698" s="1">
        <f t="shared" si="49"/>
        <v>1</v>
      </c>
      <c r="T2698" s="512" t="e">
        <f>_xlfn.XLOOKUP(H2698,#REF!,#REF!,0,0)</f>
        <v>#REF!</v>
      </c>
    </row>
    <row r="2699" spans="1:20" s="286" customFormat="1" x14ac:dyDescent="0.4">
      <c r="A2699" s="2" t="s">
        <v>10277</v>
      </c>
      <c r="B2699" s="2" t="s">
        <v>10278</v>
      </c>
      <c r="C2699" s="2" t="s">
        <v>435</v>
      </c>
      <c r="D2699" s="2" t="s">
        <v>9084</v>
      </c>
      <c r="E2699" s="2" t="s">
        <v>366</v>
      </c>
      <c r="F2699" s="2" t="s">
        <v>367</v>
      </c>
      <c r="G2699" s="2">
        <v>45513</v>
      </c>
      <c r="H2699" s="2" t="s">
        <v>10279</v>
      </c>
      <c r="I2699" s="1">
        <v>76365</v>
      </c>
      <c r="J2699" s="2" t="s">
        <v>10280</v>
      </c>
      <c r="K2699" s="2">
        <v>45628</v>
      </c>
      <c r="L2699" s="2" t="s">
        <v>364</v>
      </c>
      <c r="M2699" s="2" t="s">
        <v>364</v>
      </c>
      <c r="N2699" s="2" t="s">
        <v>364</v>
      </c>
      <c r="O2699" s="2" t="s">
        <v>364</v>
      </c>
      <c r="P2699" s="524" t="s">
        <v>10272</v>
      </c>
      <c r="Q2699" s="281" t="str">
        <f t="shared" si="47"/>
        <v/>
      </c>
      <c r="R2699" s="1">
        <f t="shared" si="48"/>
        <v>1</v>
      </c>
      <c r="S2699" s="1">
        <f t="shared" si="49"/>
        <v>1</v>
      </c>
      <c r="T2699" s="512" t="e">
        <f>_xlfn.XLOOKUP(H2699,#REF!,#REF!,0,0)</f>
        <v>#REF!</v>
      </c>
    </row>
    <row r="2700" spans="1:20" s="376" customFormat="1" x14ac:dyDescent="0.4">
      <c r="A2700" s="1" t="s">
        <v>10281</v>
      </c>
      <c r="B2700" s="1" t="s">
        <v>10282</v>
      </c>
      <c r="C2700" s="1" t="s">
        <v>435</v>
      </c>
      <c r="D2700" s="1" t="s">
        <v>9084</v>
      </c>
      <c r="E2700" s="370" t="s">
        <v>10</v>
      </c>
      <c r="F2700" s="1" t="s">
        <v>436</v>
      </c>
      <c r="G2700" s="2">
        <v>45566</v>
      </c>
      <c r="H2700" s="1" t="s">
        <v>10283</v>
      </c>
      <c r="I2700" s="1">
        <v>76806</v>
      </c>
      <c r="J2700" s="1" t="s">
        <v>10284</v>
      </c>
      <c r="K2700" s="2">
        <v>45628</v>
      </c>
      <c r="L2700" s="1" t="s">
        <v>364</v>
      </c>
      <c r="M2700" s="1" t="s">
        <v>364</v>
      </c>
      <c r="N2700" s="1" t="s">
        <v>364</v>
      </c>
      <c r="O2700" s="1" t="s">
        <v>364</v>
      </c>
      <c r="P2700" s="293" t="s">
        <v>10285</v>
      </c>
      <c r="Q2700" s="1" t="str">
        <f t="shared" si="47"/>
        <v/>
      </c>
      <c r="R2700" s="1">
        <f t="shared" si="48"/>
        <v>1</v>
      </c>
      <c r="S2700" s="1">
        <f t="shared" si="49"/>
        <v>1</v>
      </c>
      <c r="T2700" s="512" t="e">
        <f>_xlfn.XLOOKUP(H2700,#REF!,#REF!,0,0)</f>
        <v>#REF!</v>
      </c>
    </row>
    <row r="2701" spans="1:20" s="376" customFormat="1" x14ac:dyDescent="0.4">
      <c r="A2701" s="348" t="s">
        <v>10286</v>
      </c>
      <c r="B2701" s="348" t="s">
        <v>10287</v>
      </c>
      <c r="C2701" s="348" t="s">
        <v>435</v>
      </c>
      <c r="D2701" s="348" t="s">
        <v>9084</v>
      </c>
      <c r="E2701" s="530" t="s">
        <v>10</v>
      </c>
      <c r="F2701" s="348" t="s">
        <v>436</v>
      </c>
      <c r="G2701" s="315">
        <v>45566</v>
      </c>
      <c r="H2701" s="348" t="s">
        <v>10288</v>
      </c>
      <c r="I2701" s="348">
        <v>76807</v>
      </c>
      <c r="J2701" s="348" t="s">
        <v>10289</v>
      </c>
      <c r="K2701" s="315">
        <v>45628</v>
      </c>
      <c r="L2701" s="348" t="s">
        <v>364</v>
      </c>
      <c r="M2701" s="348" t="s">
        <v>364</v>
      </c>
      <c r="N2701" s="348" t="s">
        <v>364</v>
      </c>
      <c r="O2701" s="348" t="s">
        <v>364</v>
      </c>
      <c r="P2701" s="548" t="s">
        <v>10285</v>
      </c>
      <c r="Q2701" s="348" t="str">
        <f t="shared" si="47"/>
        <v/>
      </c>
      <c r="R2701" s="348">
        <f t="shared" si="48"/>
        <v>1</v>
      </c>
      <c r="S2701" s="348">
        <f t="shared" si="49"/>
        <v>1</v>
      </c>
      <c r="T2701" s="512" t="e">
        <f>_xlfn.XLOOKUP(H2701,#REF!,#REF!,0,0)</f>
        <v>#REF!</v>
      </c>
    </row>
    <row r="2702" spans="1:20" s="376" customFormat="1" x14ac:dyDescent="0.4">
      <c r="A2702" s="1" t="s">
        <v>10290</v>
      </c>
      <c r="B2702" s="1" t="s">
        <v>10291</v>
      </c>
      <c r="C2702" s="1" t="s">
        <v>435</v>
      </c>
      <c r="D2702" s="1" t="s">
        <v>9084</v>
      </c>
      <c r="E2702" s="1" t="s">
        <v>10</v>
      </c>
      <c r="F2702" s="1" t="s">
        <v>436</v>
      </c>
      <c r="G2702" s="2">
        <v>45566</v>
      </c>
      <c r="H2702" s="1" t="s">
        <v>10292</v>
      </c>
      <c r="I2702" s="1">
        <v>76808</v>
      </c>
      <c r="J2702" s="1" t="s">
        <v>10293</v>
      </c>
      <c r="K2702" s="2">
        <v>45628</v>
      </c>
      <c r="L2702" s="1" t="s">
        <v>364</v>
      </c>
      <c r="M2702" s="1" t="s">
        <v>364</v>
      </c>
      <c r="N2702" s="1" t="s">
        <v>364</v>
      </c>
      <c r="O2702" s="1" t="s">
        <v>364</v>
      </c>
      <c r="P2702" s="293" t="s">
        <v>10294</v>
      </c>
      <c r="Q2702" s="1" t="str">
        <f t="shared" si="47"/>
        <v/>
      </c>
      <c r="R2702" s="1">
        <f t="shared" si="48"/>
        <v>1</v>
      </c>
      <c r="S2702" s="1">
        <f t="shared" si="49"/>
        <v>1</v>
      </c>
      <c r="T2702" s="512" t="e">
        <f>_xlfn.XLOOKUP(H2702,#REF!,#REF!,0,0)</f>
        <v>#REF!</v>
      </c>
    </row>
    <row r="2703" spans="1:20" s="376" customFormat="1" x14ac:dyDescent="0.4">
      <c r="A2703" s="1" t="s">
        <v>10295</v>
      </c>
      <c r="B2703" s="1" t="s">
        <v>10296</v>
      </c>
      <c r="C2703" s="1" t="s">
        <v>435</v>
      </c>
      <c r="D2703" s="1" t="s">
        <v>9084</v>
      </c>
      <c r="E2703" s="1" t="s">
        <v>10</v>
      </c>
      <c r="F2703" s="1" t="s">
        <v>436</v>
      </c>
      <c r="G2703" s="2">
        <v>45566</v>
      </c>
      <c r="H2703" s="1" t="s">
        <v>10297</v>
      </c>
      <c r="I2703" s="1">
        <v>76809</v>
      </c>
      <c r="J2703" s="1" t="s">
        <v>10298</v>
      </c>
      <c r="K2703" s="2">
        <v>45628</v>
      </c>
      <c r="L2703" s="1" t="s">
        <v>364</v>
      </c>
      <c r="M2703" s="1" t="s">
        <v>364</v>
      </c>
      <c r="N2703" s="1" t="s">
        <v>364</v>
      </c>
      <c r="O2703" s="1" t="s">
        <v>364</v>
      </c>
      <c r="P2703" s="293" t="s">
        <v>5255</v>
      </c>
      <c r="Q2703" s="1" t="str">
        <f t="shared" si="47"/>
        <v/>
      </c>
      <c r="R2703" s="1">
        <f t="shared" si="48"/>
        <v>1</v>
      </c>
      <c r="S2703" s="1">
        <f t="shared" si="49"/>
        <v>1</v>
      </c>
      <c r="T2703" s="512" t="e">
        <f>_xlfn.XLOOKUP(H2703,#REF!,#REF!,0,0)</f>
        <v>#REF!</v>
      </c>
    </row>
    <row r="2704" spans="1:20" s="328" customFormat="1" x14ac:dyDescent="0.4">
      <c r="A2704" s="324" t="s">
        <v>10299</v>
      </c>
      <c r="B2704" s="324" t="s">
        <v>10300</v>
      </c>
      <c r="C2704" s="324" t="s">
        <v>431</v>
      </c>
      <c r="D2704" s="324" t="s">
        <v>8127</v>
      </c>
      <c r="E2704" s="324" t="s">
        <v>10</v>
      </c>
      <c r="F2704" s="324" t="s">
        <v>10301</v>
      </c>
      <c r="G2704" s="327"/>
      <c r="H2704" s="324" t="s">
        <v>7476</v>
      </c>
      <c r="I2704" s="327">
        <v>72444</v>
      </c>
      <c r="J2704" s="324"/>
      <c r="K2704" s="337">
        <v>45628</v>
      </c>
      <c r="L2704" s="324" t="s">
        <v>364</v>
      </c>
      <c r="M2704" s="324" t="s">
        <v>364</v>
      </c>
      <c r="N2704" s="324" t="s">
        <v>364</v>
      </c>
      <c r="O2704" s="324" t="s">
        <v>364</v>
      </c>
      <c r="P2704" s="528"/>
      <c r="Q2704" s="324">
        <f>IF(AND(C2704="Priorità/stagisti/Scorta"),1,"")</f>
        <v>1</v>
      </c>
      <c r="R2704" s="324" t="str">
        <f>IF(AND(C2704&lt;&gt;"Priorità/Stagisti/Scorta",C2704&lt;&gt;""),1,"")</f>
        <v/>
      </c>
      <c r="S2704" s="324">
        <f>IF(AND(D2704&lt;&gt;"Priorità/Stagisti/Scorta",D2704&lt;&gt;""),1,"")</f>
        <v>1</v>
      </c>
      <c r="T2704" s="512" t="e">
        <f>_xlfn.XLOOKUP(H2704,#REF!,#REF!,0,0)</f>
        <v>#REF!</v>
      </c>
    </row>
    <row r="2705" spans="1:20" s="286" customFormat="1" x14ac:dyDescent="0.4">
      <c r="A2705" s="2" t="s">
        <v>10302</v>
      </c>
      <c r="B2705" s="2" t="s">
        <v>10303</v>
      </c>
      <c r="C2705" s="2" t="s">
        <v>433</v>
      </c>
      <c r="D2705" s="2" t="s">
        <v>693</v>
      </c>
      <c r="E2705" s="2" t="s">
        <v>366</v>
      </c>
      <c r="F2705" s="2" t="s">
        <v>367</v>
      </c>
      <c r="G2705" s="2">
        <v>45513</v>
      </c>
      <c r="H2705" s="2" t="s">
        <v>10304</v>
      </c>
      <c r="I2705" s="1">
        <v>76358</v>
      </c>
      <c r="J2705" s="2" t="s">
        <v>10305</v>
      </c>
      <c r="K2705" s="2" t="s">
        <v>10306</v>
      </c>
      <c r="L2705" s="2" t="s">
        <v>364</v>
      </c>
      <c r="M2705" s="2" t="s">
        <v>364</v>
      </c>
      <c r="N2705" s="2" t="s">
        <v>364</v>
      </c>
      <c r="O2705" s="2" t="s">
        <v>364</v>
      </c>
      <c r="P2705" s="524" t="s">
        <v>10307</v>
      </c>
      <c r="Q2705" s="281" t="str">
        <f>IF(A2705="SCORTA 10",1,"")</f>
        <v/>
      </c>
      <c r="R2705" s="1">
        <f>IF(H2705&lt;&gt;"",1,"")</f>
        <v>1</v>
      </c>
      <c r="S2705" s="1">
        <f>IF(I2705&lt;&gt;"",1,"")</f>
        <v>1</v>
      </c>
      <c r="T2705" s="512" t="e">
        <f>_xlfn.XLOOKUP(H2705,#REF!,#REF!,0,0)</f>
        <v>#REF!</v>
      </c>
    </row>
    <row r="2706" spans="1:20" s="286" customFormat="1" x14ac:dyDescent="0.4">
      <c r="A2706" s="2" t="s">
        <v>10308</v>
      </c>
      <c r="B2706" s="2" t="s">
        <v>10309</v>
      </c>
      <c r="C2706" s="2" t="s">
        <v>433</v>
      </c>
      <c r="D2706" s="2" t="s">
        <v>9084</v>
      </c>
      <c r="E2706" s="2" t="s">
        <v>366</v>
      </c>
      <c r="F2706" s="2" t="s">
        <v>367</v>
      </c>
      <c r="G2706" s="2">
        <v>45513</v>
      </c>
      <c r="H2706" s="2" t="s">
        <v>10310</v>
      </c>
      <c r="I2706" s="1">
        <v>76351</v>
      </c>
      <c r="J2706" s="2" t="s">
        <v>10311</v>
      </c>
      <c r="K2706" s="2" t="s">
        <v>10312</v>
      </c>
      <c r="L2706" s="2" t="s">
        <v>364</v>
      </c>
      <c r="M2706" s="2" t="s">
        <v>364</v>
      </c>
      <c r="N2706" s="2" t="s">
        <v>364</v>
      </c>
      <c r="O2706" s="2" t="s">
        <v>364</v>
      </c>
      <c r="P2706" s="524" t="s">
        <v>10313</v>
      </c>
      <c r="Q2706" s="281" t="str">
        <f>IF(A2706="SCORTA 10",1,"")</f>
        <v/>
      </c>
      <c r="R2706" s="1">
        <f>IF(H2706&lt;&gt;"",1,"")</f>
        <v>1</v>
      </c>
      <c r="S2706" s="1">
        <f>IF(I2706&lt;&gt;"",1,"")</f>
        <v>1</v>
      </c>
      <c r="T2706" s="512" t="e">
        <f>_xlfn.XLOOKUP(H2706,#REF!,#REF!,0,0)</f>
        <v>#REF!</v>
      </c>
    </row>
    <row r="2707" spans="1:20" s="328" customFormat="1" x14ac:dyDescent="0.4">
      <c r="A2707" s="324" t="s">
        <v>10314</v>
      </c>
      <c r="B2707" s="522" t="s">
        <v>10315</v>
      </c>
      <c r="C2707" s="324" t="s">
        <v>433</v>
      </c>
      <c r="D2707" s="324" t="s">
        <v>9084</v>
      </c>
      <c r="E2707" s="324" t="s">
        <v>10316</v>
      </c>
      <c r="F2707" s="529" t="s">
        <v>10317</v>
      </c>
      <c r="G2707" s="327"/>
      <c r="H2707" s="324"/>
      <c r="I2707" s="327"/>
      <c r="J2707" s="324"/>
      <c r="K2707" s="324"/>
      <c r="L2707" s="324"/>
      <c r="M2707" s="324"/>
      <c r="N2707" s="324"/>
      <c r="O2707" s="324"/>
      <c r="P2707" s="528"/>
      <c r="Q2707" s="324" t="str">
        <f>IF(AND(C2707="Priorità/stagisti/Scorta"),1,"")</f>
        <v/>
      </c>
      <c r="R2707" s="324">
        <f>IF(AND(C2707&lt;&gt;"Priorità/Stagisti/Scorta",C2707&lt;&gt;""),1,"")</f>
        <v>1</v>
      </c>
      <c r="S2707" s="324">
        <f>IF(AND(D2707&lt;&gt;"Priorità/Stagisti/Scorta",D2707&lt;&gt;""),1,"")</f>
        <v>1</v>
      </c>
      <c r="T2707" s="512" t="e">
        <f>_xlfn.XLOOKUP(H2707,#REF!,#REF!,0,0)</f>
        <v>#REF!</v>
      </c>
    </row>
    <row r="2708" spans="1:20" s="286" customFormat="1" x14ac:dyDescent="0.4">
      <c r="A2708" s="2" t="s">
        <v>10318</v>
      </c>
      <c r="B2708" s="2" t="s">
        <v>10319</v>
      </c>
      <c r="C2708" s="2" t="s">
        <v>433</v>
      </c>
      <c r="D2708" s="2" t="s">
        <v>9084</v>
      </c>
      <c r="E2708" s="2" t="s">
        <v>366</v>
      </c>
      <c r="F2708" s="2" t="s">
        <v>367</v>
      </c>
      <c r="G2708" s="2">
        <v>45513</v>
      </c>
      <c r="H2708" s="2" t="s">
        <v>10320</v>
      </c>
      <c r="I2708" s="1">
        <v>76359</v>
      </c>
      <c r="J2708" s="2" t="s">
        <v>10321</v>
      </c>
      <c r="K2708" s="2" t="s">
        <v>10322</v>
      </c>
      <c r="L2708" s="2" t="s">
        <v>364</v>
      </c>
      <c r="M2708" s="2" t="s">
        <v>364</v>
      </c>
      <c r="N2708" s="2" t="s">
        <v>364</v>
      </c>
      <c r="O2708" s="2" t="s">
        <v>364</v>
      </c>
      <c r="P2708" s="524" t="s">
        <v>10323</v>
      </c>
      <c r="Q2708" s="281" t="str">
        <f>IF(A2708="SCORTA 10",1,"")</f>
        <v/>
      </c>
      <c r="R2708" s="1">
        <f>IF(H2708&lt;&gt;"",1,"")</f>
        <v>1</v>
      </c>
      <c r="S2708" s="1">
        <f>IF(I2708&lt;&gt;"",1,"")</f>
        <v>1</v>
      </c>
      <c r="T2708" s="512" t="e">
        <f>_xlfn.XLOOKUP(H2708,#REF!,#REF!,0,0)</f>
        <v>#REF!</v>
      </c>
    </row>
    <row r="2709" spans="1:20" s="328" customFormat="1" x14ac:dyDescent="0.4">
      <c r="A2709" s="324" t="s">
        <v>10324</v>
      </c>
      <c r="B2709" s="522" t="s">
        <v>10325</v>
      </c>
      <c r="C2709" s="324" t="s">
        <v>433</v>
      </c>
      <c r="D2709" s="324"/>
      <c r="E2709" s="324" t="s">
        <v>10</v>
      </c>
      <c r="F2709" s="324" t="s">
        <v>3072</v>
      </c>
      <c r="G2709" s="327"/>
      <c r="H2709" s="324" t="s">
        <v>5371</v>
      </c>
      <c r="I2709" s="327">
        <v>70733</v>
      </c>
      <c r="J2709" s="324" t="s">
        <v>5372</v>
      </c>
      <c r="K2709" s="324"/>
      <c r="L2709" s="324" t="s">
        <v>364</v>
      </c>
      <c r="M2709" s="324" t="s">
        <v>364</v>
      </c>
      <c r="N2709" s="324"/>
      <c r="O2709" s="324"/>
      <c r="P2709" s="528" t="s">
        <v>10326</v>
      </c>
      <c r="Q2709" s="324" t="str">
        <f t="shared" ref="Q2709:Q2721" si="50">IF(AND(C2709="Priorità/stagisti/Scorta"),1,"")</f>
        <v/>
      </c>
      <c r="R2709" s="324">
        <f t="shared" ref="R2709:R2721" si="51">IF(AND(C2709&lt;&gt;"Priorità/Stagisti/Scorta",C2709&lt;&gt;""),1,"")</f>
        <v>1</v>
      </c>
      <c r="S2709" s="324" t="str">
        <f t="shared" ref="S2709:S2721" si="52">IF(AND(D2709&lt;&gt;"Priorità/Stagisti/Scorta",D2709&lt;&gt;""),1,"")</f>
        <v/>
      </c>
      <c r="T2709" s="512" t="e">
        <f>_xlfn.XLOOKUP(H2709,#REF!,#REF!,0,0)</f>
        <v>#REF!</v>
      </c>
    </row>
    <row r="2710" spans="1:20" s="328" customFormat="1" x14ac:dyDescent="0.4">
      <c r="A2710" s="324" t="s">
        <v>10327</v>
      </c>
      <c r="B2710" s="522" t="s">
        <v>10325</v>
      </c>
      <c r="C2710" s="324" t="s">
        <v>433</v>
      </c>
      <c r="D2710" s="324"/>
      <c r="E2710" s="324" t="s">
        <v>10</v>
      </c>
      <c r="F2710" s="324" t="s">
        <v>3072</v>
      </c>
      <c r="G2710" s="327"/>
      <c r="H2710" s="324" t="s">
        <v>6849</v>
      </c>
      <c r="I2710" s="327">
        <v>71351</v>
      </c>
      <c r="J2710" s="324" t="s">
        <v>6850</v>
      </c>
      <c r="K2710" s="324"/>
      <c r="L2710" s="324" t="s">
        <v>364</v>
      </c>
      <c r="M2710" s="324" t="s">
        <v>364</v>
      </c>
      <c r="N2710" s="324"/>
      <c r="O2710" s="324"/>
      <c r="P2710" s="528" t="s">
        <v>10326</v>
      </c>
      <c r="Q2710" s="324" t="str">
        <f t="shared" si="50"/>
        <v/>
      </c>
      <c r="R2710" s="324">
        <f t="shared" si="51"/>
        <v>1</v>
      </c>
      <c r="S2710" s="324" t="str">
        <f t="shared" si="52"/>
        <v/>
      </c>
      <c r="T2710" s="512" t="e">
        <f>_xlfn.XLOOKUP(H2710,#REF!,#REF!,0,0)</f>
        <v>#REF!</v>
      </c>
    </row>
    <row r="2711" spans="1:20" s="328" customFormat="1" x14ac:dyDescent="0.4">
      <c r="A2711" s="324" t="s">
        <v>10328</v>
      </c>
      <c r="B2711" s="522" t="s">
        <v>10325</v>
      </c>
      <c r="C2711" s="324" t="s">
        <v>433</v>
      </c>
      <c r="D2711" s="324"/>
      <c r="E2711" s="324" t="s">
        <v>10</v>
      </c>
      <c r="F2711" s="324" t="s">
        <v>3072</v>
      </c>
      <c r="G2711" s="327"/>
      <c r="H2711" s="324" t="s">
        <v>8110</v>
      </c>
      <c r="I2711" s="327">
        <v>71765</v>
      </c>
      <c r="J2711" s="324" t="s">
        <v>8111</v>
      </c>
      <c r="K2711" s="324"/>
      <c r="L2711" s="324" t="s">
        <v>364</v>
      </c>
      <c r="M2711" s="324" t="s">
        <v>364</v>
      </c>
      <c r="N2711" s="324"/>
      <c r="O2711" s="324"/>
      <c r="P2711" s="528" t="s">
        <v>10326</v>
      </c>
      <c r="Q2711" s="324" t="str">
        <f t="shared" si="50"/>
        <v/>
      </c>
      <c r="R2711" s="324">
        <f t="shared" si="51"/>
        <v>1</v>
      </c>
      <c r="S2711" s="324" t="str">
        <f t="shared" si="52"/>
        <v/>
      </c>
      <c r="T2711" s="512" t="e">
        <f>_xlfn.XLOOKUP(H2711,#REF!,#REF!,0,0)</f>
        <v>#REF!</v>
      </c>
    </row>
    <row r="2712" spans="1:20" s="328" customFormat="1" x14ac:dyDescent="0.4">
      <c r="A2712" s="324" t="s">
        <v>10329</v>
      </c>
      <c r="B2712" s="522" t="s">
        <v>10330</v>
      </c>
      <c r="C2712" s="324" t="s">
        <v>433</v>
      </c>
      <c r="D2712" s="324" t="s">
        <v>447</v>
      </c>
      <c r="E2712" s="324" t="s">
        <v>10</v>
      </c>
      <c r="F2712" s="324" t="s">
        <v>10331</v>
      </c>
      <c r="G2712" s="327"/>
      <c r="H2712" s="324" t="s">
        <v>10332</v>
      </c>
      <c r="I2712" s="327">
        <v>76693</v>
      </c>
      <c r="J2712" s="324" t="s">
        <v>10333</v>
      </c>
      <c r="K2712" s="337">
        <v>45631</v>
      </c>
      <c r="L2712" s="324" t="s">
        <v>364</v>
      </c>
      <c r="M2712" s="324" t="s">
        <v>364</v>
      </c>
      <c r="N2712" s="324" t="s">
        <v>364</v>
      </c>
      <c r="O2712" s="324"/>
      <c r="P2712" s="528" t="s">
        <v>10334</v>
      </c>
      <c r="Q2712" s="324" t="str">
        <f t="shared" si="50"/>
        <v/>
      </c>
      <c r="R2712" s="324">
        <f t="shared" si="51"/>
        <v>1</v>
      </c>
      <c r="S2712" s="324">
        <f t="shared" si="52"/>
        <v>1</v>
      </c>
      <c r="T2712" s="512" t="e">
        <f>_xlfn.XLOOKUP(H2712,#REF!,#REF!,0,0)</f>
        <v>#REF!</v>
      </c>
    </row>
    <row r="2713" spans="1:20" s="328" customFormat="1" x14ac:dyDescent="0.4">
      <c r="A2713" s="324" t="s">
        <v>10335</v>
      </c>
      <c r="B2713" s="522" t="s">
        <v>10330</v>
      </c>
      <c r="C2713" s="324" t="s">
        <v>433</v>
      </c>
      <c r="D2713" s="324" t="s">
        <v>447</v>
      </c>
      <c r="E2713" s="324" t="s">
        <v>10</v>
      </c>
      <c r="F2713" s="324" t="s">
        <v>10331</v>
      </c>
      <c r="G2713" s="327"/>
      <c r="H2713" s="324" t="s">
        <v>10336</v>
      </c>
      <c r="I2713" s="327">
        <v>76694</v>
      </c>
      <c r="J2713" s="324" t="s">
        <v>10337</v>
      </c>
      <c r="K2713" s="337">
        <v>45631</v>
      </c>
      <c r="L2713" s="324" t="s">
        <v>364</v>
      </c>
      <c r="M2713" s="324" t="s">
        <v>364</v>
      </c>
      <c r="N2713" s="324" t="s">
        <v>364</v>
      </c>
      <c r="O2713" s="324"/>
      <c r="P2713" s="528" t="s">
        <v>10334</v>
      </c>
      <c r="Q2713" s="324" t="str">
        <f t="shared" si="50"/>
        <v/>
      </c>
      <c r="R2713" s="324">
        <f t="shared" si="51"/>
        <v>1</v>
      </c>
      <c r="S2713" s="324">
        <f t="shared" si="52"/>
        <v>1</v>
      </c>
      <c r="T2713" s="512" t="e">
        <f>_xlfn.XLOOKUP(H2713,#REF!,#REF!,0,0)</f>
        <v>#REF!</v>
      </c>
    </row>
    <row r="2714" spans="1:20" s="328" customFormat="1" x14ac:dyDescent="0.4">
      <c r="A2714" s="324" t="s">
        <v>10338</v>
      </c>
      <c r="B2714" s="522" t="s">
        <v>10330</v>
      </c>
      <c r="C2714" s="324" t="s">
        <v>433</v>
      </c>
      <c r="D2714" s="324" t="s">
        <v>455</v>
      </c>
      <c r="E2714" s="324" t="s">
        <v>10</v>
      </c>
      <c r="F2714" s="324" t="s">
        <v>10331</v>
      </c>
      <c r="G2714" s="327"/>
      <c r="H2714" s="324" t="s">
        <v>10339</v>
      </c>
      <c r="I2714" s="327">
        <v>76695</v>
      </c>
      <c r="J2714" s="324" t="s">
        <v>10340</v>
      </c>
      <c r="K2714" s="337">
        <v>45631</v>
      </c>
      <c r="L2714" s="324" t="s">
        <v>364</v>
      </c>
      <c r="M2714" s="324" t="s">
        <v>364</v>
      </c>
      <c r="N2714" s="324" t="s">
        <v>364</v>
      </c>
      <c r="O2714" s="324"/>
      <c r="P2714" s="528" t="s">
        <v>10334</v>
      </c>
      <c r="Q2714" s="324" t="str">
        <f t="shared" si="50"/>
        <v/>
      </c>
      <c r="R2714" s="324">
        <f t="shared" si="51"/>
        <v>1</v>
      </c>
      <c r="S2714" s="324">
        <f t="shared" si="52"/>
        <v>1</v>
      </c>
      <c r="T2714" s="512" t="e">
        <f>_xlfn.XLOOKUP(H2714,#REF!,#REF!,0,0)</f>
        <v>#REF!</v>
      </c>
    </row>
    <row r="2715" spans="1:20" s="328" customFormat="1" x14ac:dyDescent="0.4">
      <c r="A2715" s="324" t="s">
        <v>10341</v>
      </c>
      <c r="B2715" s="522" t="s">
        <v>10330</v>
      </c>
      <c r="C2715" s="324" t="s">
        <v>433</v>
      </c>
      <c r="D2715" s="324" t="s">
        <v>455</v>
      </c>
      <c r="E2715" s="324" t="s">
        <v>10</v>
      </c>
      <c r="F2715" s="324" t="s">
        <v>10331</v>
      </c>
      <c r="G2715" s="327"/>
      <c r="H2715" s="324" t="s">
        <v>10342</v>
      </c>
      <c r="I2715" s="327">
        <v>76696</v>
      </c>
      <c r="J2715" s="324" t="s">
        <v>10343</v>
      </c>
      <c r="K2715" s="337">
        <v>45631</v>
      </c>
      <c r="L2715" s="324" t="s">
        <v>364</v>
      </c>
      <c r="M2715" s="324" t="s">
        <v>364</v>
      </c>
      <c r="N2715" s="324" t="s">
        <v>364</v>
      </c>
      <c r="O2715" s="324"/>
      <c r="P2715" s="528" t="s">
        <v>10334</v>
      </c>
      <c r="Q2715" s="324" t="str">
        <f t="shared" si="50"/>
        <v/>
      </c>
      <c r="R2715" s="324">
        <f t="shared" si="51"/>
        <v>1</v>
      </c>
      <c r="S2715" s="324">
        <f t="shared" si="52"/>
        <v>1</v>
      </c>
      <c r="T2715" s="512" t="e">
        <f>_xlfn.XLOOKUP(H2715,#REF!,#REF!,0,0)</f>
        <v>#REF!</v>
      </c>
    </row>
    <row r="2716" spans="1:20" s="328" customFormat="1" x14ac:dyDescent="0.4">
      <c r="A2716" s="324" t="s">
        <v>10344</v>
      </c>
      <c r="B2716" s="522" t="s">
        <v>10330</v>
      </c>
      <c r="C2716" s="324" t="s">
        <v>433</v>
      </c>
      <c r="D2716" s="324" t="s">
        <v>455</v>
      </c>
      <c r="E2716" s="324" t="s">
        <v>10</v>
      </c>
      <c r="F2716" s="324" t="s">
        <v>10331</v>
      </c>
      <c r="G2716" s="327"/>
      <c r="H2716" s="324" t="s">
        <v>10345</v>
      </c>
      <c r="I2716" s="327">
        <v>76697</v>
      </c>
      <c r="J2716" s="324" t="s">
        <v>10346</v>
      </c>
      <c r="K2716" s="337">
        <v>45631</v>
      </c>
      <c r="L2716" s="324" t="s">
        <v>364</v>
      </c>
      <c r="M2716" s="324" t="s">
        <v>364</v>
      </c>
      <c r="N2716" s="324" t="s">
        <v>364</v>
      </c>
      <c r="O2716" s="324"/>
      <c r="P2716" s="528" t="s">
        <v>10334</v>
      </c>
      <c r="Q2716" s="324" t="str">
        <f t="shared" si="50"/>
        <v/>
      </c>
      <c r="R2716" s="324">
        <f t="shared" si="51"/>
        <v>1</v>
      </c>
      <c r="S2716" s="324">
        <f t="shared" si="52"/>
        <v>1</v>
      </c>
      <c r="T2716" s="512" t="e">
        <f>_xlfn.XLOOKUP(H2716,#REF!,#REF!,0,0)</f>
        <v>#REF!</v>
      </c>
    </row>
    <row r="2717" spans="1:20" s="328" customFormat="1" x14ac:dyDescent="0.4">
      <c r="A2717" s="324" t="s">
        <v>10347</v>
      </c>
      <c r="B2717" s="522" t="s">
        <v>10330</v>
      </c>
      <c r="C2717" s="324" t="s">
        <v>433</v>
      </c>
      <c r="D2717" s="324" t="s">
        <v>455</v>
      </c>
      <c r="E2717" s="324" t="s">
        <v>10</v>
      </c>
      <c r="F2717" s="324" t="s">
        <v>10331</v>
      </c>
      <c r="G2717" s="327"/>
      <c r="H2717" s="324" t="s">
        <v>10348</v>
      </c>
      <c r="I2717" s="327">
        <v>76698</v>
      </c>
      <c r="J2717" s="324" t="s">
        <v>10349</v>
      </c>
      <c r="K2717" s="337">
        <v>45631</v>
      </c>
      <c r="L2717" s="324" t="s">
        <v>364</v>
      </c>
      <c r="M2717" s="324" t="s">
        <v>364</v>
      </c>
      <c r="N2717" s="324" t="s">
        <v>364</v>
      </c>
      <c r="O2717" s="324"/>
      <c r="P2717" s="528" t="s">
        <v>10334</v>
      </c>
      <c r="Q2717" s="324" t="str">
        <f t="shared" si="50"/>
        <v/>
      </c>
      <c r="R2717" s="324">
        <f t="shared" si="51"/>
        <v>1</v>
      </c>
      <c r="S2717" s="324">
        <f t="shared" si="52"/>
        <v>1</v>
      </c>
      <c r="T2717" s="512" t="e">
        <f>_xlfn.XLOOKUP(H2717,#REF!,#REF!,0,0)</f>
        <v>#REF!</v>
      </c>
    </row>
    <row r="2718" spans="1:20" s="328" customFormat="1" x14ac:dyDescent="0.4">
      <c r="A2718" s="324" t="s">
        <v>10350</v>
      </c>
      <c r="B2718" s="522" t="s">
        <v>10330</v>
      </c>
      <c r="C2718" s="324" t="s">
        <v>433</v>
      </c>
      <c r="D2718" s="324" t="s">
        <v>455</v>
      </c>
      <c r="E2718" s="324" t="s">
        <v>10</v>
      </c>
      <c r="F2718" s="324" t="s">
        <v>10331</v>
      </c>
      <c r="G2718" s="327"/>
      <c r="H2718" s="324" t="s">
        <v>10351</v>
      </c>
      <c r="I2718" s="327">
        <v>76699</v>
      </c>
      <c r="J2718" s="324" t="s">
        <v>10352</v>
      </c>
      <c r="K2718" s="337">
        <v>45631</v>
      </c>
      <c r="L2718" s="324" t="s">
        <v>364</v>
      </c>
      <c r="M2718" s="324" t="s">
        <v>364</v>
      </c>
      <c r="N2718" s="324" t="s">
        <v>364</v>
      </c>
      <c r="O2718" s="324"/>
      <c r="P2718" s="528" t="s">
        <v>10334</v>
      </c>
      <c r="Q2718" s="324" t="str">
        <f t="shared" si="50"/>
        <v/>
      </c>
      <c r="R2718" s="324">
        <f t="shared" si="51"/>
        <v>1</v>
      </c>
      <c r="S2718" s="324">
        <f t="shared" si="52"/>
        <v>1</v>
      </c>
      <c r="T2718" s="512" t="e">
        <f>_xlfn.XLOOKUP(H2718,#REF!,#REF!,0,0)</f>
        <v>#REF!</v>
      </c>
    </row>
    <row r="2719" spans="1:20" s="328" customFormat="1" x14ac:dyDescent="0.4">
      <c r="A2719" s="324" t="s">
        <v>10353</v>
      </c>
      <c r="B2719" s="522" t="s">
        <v>10330</v>
      </c>
      <c r="C2719" s="324" t="s">
        <v>433</v>
      </c>
      <c r="D2719" s="324" t="s">
        <v>455</v>
      </c>
      <c r="E2719" s="324" t="s">
        <v>10</v>
      </c>
      <c r="F2719" s="324" t="s">
        <v>10331</v>
      </c>
      <c r="G2719" s="327"/>
      <c r="H2719" s="324" t="s">
        <v>10354</v>
      </c>
      <c r="I2719" s="327">
        <v>76700</v>
      </c>
      <c r="J2719" s="324" t="s">
        <v>10355</v>
      </c>
      <c r="K2719" s="337">
        <v>45631</v>
      </c>
      <c r="L2719" s="324" t="s">
        <v>364</v>
      </c>
      <c r="M2719" s="324" t="s">
        <v>364</v>
      </c>
      <c r="N2719" s="324" t="s">
        <v>364</v>
      </c>
      <c r="O2719" s="324"/>
      <c r="P2719" s="528" t="s">
        <v>10334</v>
      </c>
      <c r="Q2719" s="324" t="str">
        <f t="shared" si="50"/>
        <v/>
      </c>
      <c r="R2719" s="324">
        <f t="shared" si="51"/>
        <v>1</v>
      </c>
      <c r="S2719" s="324">
        <f t="shared" si="52"/>
        <v>1</v>
      </c>
      <c r="T2719" s="512" t="e">
        <f>_xlfn.XLOOKUP(H2719,#REF!,#REF!,0,0)</f>
        <v>#REF!</v>
      </c>
    </row>
    <row r="2720" spans="1:20" s="328" customFormat="1" x14ac:dyDescent="0.4">
      <c r="A2720" s="360" t="s">
        <v>10356</v>
      </c>
      <c r="B2720" s="525" t="s">
        <v>10330</v>
      </c>
      <c r="C2720" s="324" t="s">
        <v>433</v>
      </c>
      <c r="D2720" s="324" t="s">
        <v>455</v>
      </c>
      <c r="E2720" s="360" t="s">
        <v>10</v>
      </c>
      <c r="F2720" s="360" t="s">
        <v>10331</v>
      </c>
      <c r="G2720" s="526"/>
      <c r="H2720" s="360" t="s">
        <v>10357</v>
      </c>
      <c r="I2720" s="526">
        <v>76701</v>
      </c>
      <c r="J2720" s="360" t="s">
        <v>10358</v>
      </c>
      <c r="K2720" s="337">
        <v>45631</v>
      </c>
      <c r="L2720" s="324" t="s">
        <v>364</v>
      </c>
      <c r="M2720" s="324" t="s">
        <v>364</v>
      </c>
      <c r="N2720" s="324" t="s">
        <v>364</v>
      </c>
      <c r="O2720" s="360"/>
      <c r="P2720" s="528" t="s">
        <v>10334</v>
      </c>
      <c r="Q2720" s="360" t="str">
        <f t="shared" si="50"/>
        <v/>
      </c>
      <c r="R2720" s="360">
        <f t="shared" si="51"/>
        <v>1</v>
      </c>
      <c r="S2720" s="360">
        <f t="shared" si="52"/>
        <v>1</v>
      </c>
      <c r="T2720" s="512" t="e">
        <f>_xlfn.XLOOKUP(H2720,#REF!,#REF!,0,0)</f>
        <v>#REF!</v>
      </c>
    </row>
    <row r="2721" spans="1:20" s="328" customFormat="1" x14ac:dyDescent="0.4">
      <c r="A2721" s="324" t="s">
        <v>10359</v>
      </c>
      <c r="B2721" s="522" t="s">
        <v>10330</v>
      </c>
      <c r="C2721" s="324" t="s">
        <v>433</v>
      </c>
      <c r="D2721" s="324" t="s">
        <v>455</v>
      </c>
      <c r="E2721" s="324" t="s">
        <v>10</v>
      </c>
      <c r="F2721" s="324" t="s">
        <v>10331</v>
      </c>
      <c r="G2721" s="327"/>
      <c r="H2721" s="324" t="s">
        <v>10360</v>
      </c>
      <c r="I2721" s="327">
        <v>76702</v>
      </c>
      <c r="J2721" s="324" t="s">
        <v>10361</v>
      </c>
      <c r="K2721" s="337">
        <v>45631</v>
      </c>
      <c r="L2721" s="324" t="s">
        <v>364</v>
      </c>
      <c r="M2721" s="324" t="s">
        <v>364</v>
      </c>
      <c r="N2721" s="324" t="s">
        <v>364</v>
      </c>
      <c r="O2721" s="324"/>
      <c r="P2721" s="528" t="s">
        <v>10334</v>
      </c>
      <c r="Q2721" s="324" t="str">
        <f t="shared" si="50"/>
        <v/>
      </c>
      <c r="R2721" s="324">
        <f t="shared" si="51"/>
        <v>1</v>
      </c>
      <c r="S2721" s="324">
        <f t="shared" si="52"/>
        <v>1</v>
      </c>
      <c r="T2721" s="512" t="e">
        <f>_xlfn.XLOOKUP(H2721,#REF!,#REF!,0,0)</f>
        <v>#REF!</v>
      </c>
    </row>
    <row r="2722" spans="1:20" s="286" customFormat="1" x14ac:dyDescent="0.4">
      <c r="A2722" s="2" t="s">
        <v>10362</v>
      </c>
      <c r="B2722" s="2" t="s">
        <v>10363</v>
      </c>
      <c r="C2722" s="2" t="s">
        <v>433</v>
      </c>
      <c r="D2722" s="2" t="s">
        <v>9084</v>
      </c>
      <c r="E2722" s="2" t="s">
        <v>366</v>
      </c>
      <c r="F2722" s="2" t="s">
        <v>367</v>
      </c>
      <c r="G2722" s="2">
        <v>45513</v>
      </c>
      <c r="H2722" s="2" t="s">
        <v>10364</v>
      </c>
      <c r="I2722" s="1">
        <v>76360</v>
      </c>
      <c r="J2722" s="2" t="s">
        <v>10365</v>
      </c>
      <c r="K2722" s="2" t="s">
        <v>10366</v>
      </c>
      <c r="L2722" s="2" t="s">
        <v>364</v>
      </c>
      <c r="M2722" s="2" t="s">
        <v>364</v>
      </c>
      <c r="N2722" s="2" t="s">
        <v>364</v>
      </c>
      <c r="O2722" s="2" t="s">
        <v>364</v>
      </c>
      <c r="P2722" s="524" t="s">
        <v>10367</v>
      </c>
      <c r="Q2722" s="281" t="str">
        <f t="shared" ref="Q2722:Q2727" si="53">IF(A2722="SCORTA 10",1,"")</f>
        <v/>
      </c>
      <c r="R2722" s="1">
        <f t="shared" ref="R2722:R2727" si="54">IF(H2722&lt;&gt;"",1,"")</f>
        <v>1</v>
      </c>
      <c r="S2722" s="1">
        <f t="shared" ref="S2722:S2727" si="55">IF(I2722&lt;&gt;"",1,"")</f>
        <v>1</v>
      </c>
      <c r="T2722" s="512" t="e">
        <f>_xlfn.XLOOKUP(H2722,#REF!,#REF!,0,0)</f>
        <v>#REF!</v>
      </c>
    </row>
    <row r="2723" spans="1:20" s="286" customFormat="1" x14ac:dyDescent="0.4">
      <c r="A2723" s="2" t="s">
        <v>10368</v>
      </c>
      <c r="B2723" s="2" t="s">
        <v>10369</v>
      </c>
      <c r="C2723" s="2" t="s">
        <v>433</v>
      </c>
      <c r="D2723" s="2" t="s">
        <v>9084</v>
      </c>
      <c r="E2723" s="2" t="s">
        <v>366</v>
      </c>
      <c r="F2723" s="2" t="s">
        <v>367</v>
      </c>
      <c r="G2723" s="2">
        <v>45513</v>
      </c>
      <c r="H2723" s="2" t="s">
        <v>10370</v>
      </c>
      <c r="I2723" s="1">
        <v>76368</v>
      </c>
      <c r="J2723" s="2" t="s">
        <v>10371</v>
      </c>
      <c r="K2723" s="2">
        <v>45631</v>
      </c>
      <c r="L2723" s="2" t="s">
        <v>364</v>
      </c>
      <c r="M2723" s="2" t="s">
        <v>364</v>
      </c>
      <c r="N2723" s="2" t="s">
        <v>364</v>
      </c>
      <c r="O2723" s="2" t="s">
        <v>364</v>
      </c>
      <c r="P2723" s="524"/>
      <c r="Q2723" s="281" t="str">
        <f t="shared" si="53"/>
        <v/>
      </c>
      <c r="R2723" s="1">
        <f t="shared" si="54"/>
        <v>1</v>
      </c>
      <c r="S2723" s="1">
        <f t="shared" si="55"/>
        <v>1</v>
      </c>
      <c r="T2723" s="512" t="e">
        <f>_xlfn.XLOOKUP(H2723,#REF!,#REF!,0,0)</f>
        <v>#REF!</v>
      </c>
    </row>
    <row r="2724" spans="1:20" s="376" customFormat="1" ht="18.75" customHeight="1" x14ac:dyDescent="0.4">
      <c r="A2724" s="1" t="s">
        <v>10372</v>
      </c>
      <c r="B2724" s="1" t="s">
        <v>10373</v>
      </c>
      <c r="C2724" s="1" t="s">
        <v>433</v>
      </c>
      <c r="D2724" s="1" t="s">
        <v>9084</v>
      </c>
      <c r="E2724" s="370" t="s">
        <v>10</v>
      </c>
      <c r="F2724" s="1" t="s">
        <v>436</v>
      </c>
      <c r="G2724" s="2">
        <v>45566</v>
      </c>
      <c r="H2724" s="1" t="s">
        <v>10374</v>
      </c>
      <c r="I2724" s="1">
        <v>76798</v>
      </c>
      <c r="J2724" s="1" t="s">
        <v>10375</v>
      </c>
      <c r="K2724" s="1" t="s">
        <v>10376</v>
      </c>
      <c r="L2724" s="1" t="s">
        <v>364</v>
      </c>
      <c r="M2724" s="1" t="s">
        <v>864</v>
      </c>
      <c r="N2724" s="1"/>
      <c r="O2724" s="1"/>
      <c r="P2724" s="293" t="s">
        <v>10377</v>
      </c>
      <c r="Q2724" s="1" t="str">
        <f t="shared" si="53"/>
        <v/>
      </c>
      <c r="R2724" s="1">
        <f t="shared" si="54"/>
        <v>1</v>
      </c>
      <c r="S2724" s="1">
        <f t="shared" si="55"/>
        <v>1</v>
      </c>
      <c r="T2724" s="512" t="e">
        <f>_xlfn.XLOOKUP(H2724,#REF!,#REF!,0,0)</f>
        <v>#REF!</v>
      </c>
    </row>
    <row r="2725" spans="1:20" s="286" customFormat="1" x14ac:dyDescent="0.4">
      <c r="A2725" s="2" t="s">
        <v>10378</v>
      </c>
      <c r="B2725" s="2" t="s">
        <v>10379</v>
      </c>
      <c r="C2725" s="2" t="s">
        <v>433</v>
      </c>
      <c r="D2725" s="2" t="s">
        <v>9084</v>
      </c>
      <c r="E2725" s="2" t="s">
        <v>366</v>
      </c>
      <c r="F2725" s="2" t="s">
        <v>367</v>
      </c>
      <c r="G2725" s="2">
        <v>45513</v>
      </c>
      <c r="H2725" s="2" t="s">
        <v>10380</v>
      </c>
      <c r="I2725" s="1">
        <v>76366</v>
      </c>
      <c r="J2725" s="2" t="s">
        <v>10381</v>
      </c>
      <c r="K2725" s="2"/>
      <c r="L2725" s="2"/>
      <c r="M2725" s="2"/>
      <c r="N2725" s="2"/>
      <c r="O2725" s="2"/>
      <c r="P2725" s="524"/>
      <c r="Q2725" s="281" t="str">
        <f t="shared" si="53"/>
        <v/>
      </c>
      <c r="R2725" s="1">
        <f t="shared" si="54"/>
        <v>1</v>
      </c>
      <c r="S2725" s="1">
        <f t="shared" si="55"/>
        <v>1</v>
      </c>
      <c r="T2725" s="512" t="e">
        <f>_xlfn.XLOOKUP(H2725,#REF!,#REF!,0,0)</f>
        <v>#REF!</v>
      </c>
    </row>
    <row r="2726" spans="1:20" s="376" customFormat="1" ht="18.75" customHeight="1" x14ac:dyDescent="0.4">
      <c r="A2726" s="1" t="s">
        <v>10382</v>
      </c>
      <c r="B2726" s="1" t="s">
        <v>10383</v>
      </c>
      <c r="C2726" s="1" t="s">
        <v>433</v>
      </c>
      <c r="D2726" s="1" t="s">
        <v>9084</v>
      </c>
      <c r="E2726" s="370" t="s">
        <v>10</v>
      </c>
      <c r="F2726" s="1" t="s">
        <v>436</v>
      </c>
      <c r="G2726" s="2">
        <v>45566</v>
      </c>
      <c r="H2726" s="1" t="s">
        <v>10384</v>
      </c>
      <c r="I2726" s="1">
        <v>76789</v>
      </c>
      <c r="J2726" s="1" t="s">
        <v>10385</v>
      </c>
      <c r="K2726" s="1" t="s">
        <v>10386</v>
      </c>
      <c r="L2726" s="1" t="s">
        <v>364</v>
      </c>
      <c r="M2726" s="1" t="s">
        <v>364</v>
      </c>
      <c r="N2726" s="1" t="s">
        <v>364</v>
      </c>
      <c r="O2726" s="1" t="s">
        <v>364</v>
      </c>
      <c r="P2726" s="293" t="s">
        <v>7623</v>
      </c>
      <c r="Q2726" s="1" t="str">
        <f t="shared" si="53"/>
        <v/>
      </c>
      <c r="R2726" s="1">
        <f t="shared" si="54"/>
        <v>1</v>
      </c>
      <c r="S2726" s="1">
        <f t="shared" si="55"/>
        <v>1</v>
      </c>
      <c r="T2726" s="512" t="e">
        <f>_xlfn.XLOOKUP(H2726,#REF!,#REF!,0,0)</f>
        <v>#REF!</v>
      </c>
    </row>
    <row r="2727" spans="1:20" s="286" customFormat="1" x14ac:dyDescent="0.4">
      <c r="A2727" s="2" t="s">
        <v>10387</v>
      </c>
      <c r="B2727" s="2" t="s">
        <v>10388</v>
      </c>
      <c r="C2727" s="2" t="s">
        <v>435</v>
      </c>
      <c r="D2727" s="2"/>
      <c r="E2727" s="2" t="s">
        <v>366</v>
      </c>
      <c r="F2727" s="2" t="s">
        <v>367</v>
      </c>
      <c r="G2727" s="2">
        <v>45566</v>
      </c>
      <c r="H2727" s="2" t="s">
        <v>10389</v>
      </c>
      <c r="I2727" s="281">
        <v>76843</v>
      </c>
      <c r="J2727" s="2" t="s">
        <v>10390</v>
      </c>
      <c r="K2727" s="2">
        <v>45635</v>
      </c>
      <c r="L2727" s="2" t="s">
        <v>364</v>
      </c>
      <c r="M2727" s="2" t="s">
        <v>364</v>
      </c>
      <c r="N2727" s="2" t="s">
        <v>570</v>
      </c>
      <c r="O2727" s="2" t="s">
        <v>364</v>
      </c>
      <c r="P2727" s="524"/>
      <c r="Q2727" s="281" t="str">
        <f t="shared" si="53"/>
        <v/>
      </c>
      <c r="R2727" s="1">
        <f t="shared" si="54"/>
        <v>1</v>
      </c>
      <c r="S2727" s="1">
        <f t="shared" si="55"/>
        <v>1</v>
      </c>
      <c r="T2727" s="512" t="e">
        <f>_xlfn.XLOOKUP(H2727,#REF!,#REF!,0,0)</f>
        <v>#REF!</v>
      </c>
    </row>
    <row r="2728" spans="1:20" s="328" customFormat="1" x14ac:dyDescent="0.4">
      <c r="A2728" s="324" t="s">
        <v>10391</v>
      </c>
      <c r="B2728" s="324" t="s">
        <v>10392</v>
      </c>
      <c r="C2728" s="324" t="s">
        <v>431</v>
      </c>
      <c r="D2728" s="324" t="s">
        <v>447</v>
      </c>
      <c r="E2728" s="324" t="s">
        <v>10</v>
      </c>
      <c r="F2728" s="324" t="s">
        <v>10301</v>
      </c>
      <c r="G2728" s="326"/>
      <c r="H2728" s="324" t="s">
        <v>299</v>
      </c>
      <c r="I2728" s="324">
        <v>71527</v>
      </c>
      <c r="J2728" s="324"/>
      <c r="K2728" s="337">
        <v>45635</v>
      </c>
      <c r="L2728" s="324" t="s">
        <v>364</v>
      </c>
      <c r="M2728" s="324" t="s">
        <v>364</v>
      </c>
      <c r="N2728" s="324" t="s">
        <v>364</v>
      </c>
      <c r="O2728" s="324" t="s">
        <v>364</v>
      </c>
      <c r="P2728" s="528"/>
      <c r="Q2728" s="324">
        <f>IF(AND(C2728="Priorità/stagisti/Scorta"),1,"")</f>
        <v>1</v>
      </c>
      <c r="R2728" s="324" t="str">
        <f>IF(AND(C2728&lt;&gt;"Priorità/Stagisti/Scorta",C2728&lt;&gt;""),1,"")</f>
        <v/>
      </c>
      <c r="S2728" s="324">
        <f>IF(AND(D2728&lt;&gt;"Priorità/Stagisti/Scorta",D2728&lt;&gt;""),1,"")</f>
        <v>1</v>
      </c>
      <c r="T2728" s="512" t="e">
        <f>_xlfn.XLOOKUP(H2728,#REF!,#REF!,0,0)</f>
        <v>#REF!</v>
      </c>
    </row>
    <row r="2729" spans="1:20" s="376" customFormat="1" ht="18.75" customHeight="1" x14ac:dyDescent="0.4">
      <c r="A2729" s="1" t="s">
        <v>10393</v>
      </c>
      <c r="B2729" s="1" t="s">
        <v>10394</v>
      </c>
      <c r="C2729" s="1" t="s">
        <v>433</v>
      </c>
      <c r="D2729" s="1" t="s">
        <v>447</v>
      </c>
      <c r="E2729" s="370" t="s">
        <v>10</v>
      </c>
      <c r="F2729" s="1" t="s">
        <v>436</v>
      </c>
      <c r="G2729" s="2">
        <v>45566</v>
      </c>
      <c r="H2729" s="1" t="s">
        <v>10395</v>
      </c>
      <c r="I2729" s="1">
        <v>76800</v>
      </c>
      <c r="J2729" s="1" t="s">
        <v>10396</v>
      </c>
      <c r="K2729" s="291" t="s">
        <v>10397</v>
      </c>
      <c r="L2729" s="1" t="s">
        <v>364</v>
      </c>
      <c r="M2729" s="1" t="s">
        <v>364</v>
      </c>
      <c r="N2729" s="1" t="s">
        <v>364</v>
      </c>
      <c r="O2729" s="1" t="s">
        <v>364</v>
      </c>
      <c r="P2729" s="293" t="s">
        <v>10398</v>
      </c>
      <c r="Q2729" s="1" t="str">
        <f>IF(A2729="SCORTA 10",1,"")</f>
        <v/>
      </c>
      <c r="R2729" s="1">
        <f t="shared" ref="R2729:S2731" si="56">IF(H2729&lt;&gt;"",1,"")</f>
        <v>1</v>
      </c>
      <c r="S2729" s="1">
        <f t="shared" si="56"/>
        <v>1</v>
      </c>
      <c r="T2729" s="512" t="e">
        <f>_xlfn.XLOOKUP(H2729,#REF!,#REF!,0,0)</f>
        <v>#REF!</v>
      </c>
    </row>
    <row r="2730" spans="1:20" s="376" customFormat="1" ht="18.75" customHeight="1" x14ac:dyDescent="0.4">
      <c r="A2730" s="1" t="s">
        <v>10399</v>
      </c>
      <c r="B2730" s="1" t="s">
        <v>10400</v>
      </c>
      <c r="C2730" s="1" t="s">
        <v>435</v>
      </c>
      <c r="D2730" s="1" t="s">
        <v>9084</v>
      </c>
      <c r="E2730" s="370" t="s">
        <v>10</v>
      </c>
      <c r="F2730" s="1" t="s">
        <v>436</v>
      </c>
      <c r="G2730" s="2">
        <v>45566</v>
      </c>
      <c r="H2730" s="1" t="s">
        <v>10401</v>
      </c>
      <c r="I2730" s="1">
        <v>76797</v>
      </c>
      <c r="J2730" s="1" t="s">
        <v>10402</v>
      </c>
      <c r="K2730" s="291">
        <v>45642</v>
      </c>
      <c r="L2730" s="1" t="s">
        <v>364</v>
      </c>
      <c r="M2730" s="1" t="s">
        <v>364</v>
      </c>
      <c r="N2730" s="1"/>
      <c r="O2730" s="1"/>
      <c r="P2730" s="293" t="s">
        <v>10403</v>
      </c>
      <c r="Q2730" s="1" t="str">
        <f>IF(A2730="SCORTA 10",1,"")</f>
        <v/>
      </c>
      <c r="R2730" s="1">
        <f t="shared" si="56"/>
        <v>1</v>
      </c>
      <c r="S2730" s="1">
        <f t="shared" si="56"/>
        <v>1</v>
      </c>
      <c r="T2730" s="512" t="e">
        <f>_xlfn.XLOOKUP(H2730,#REF!,#REF!,0,0)</f>
        <v>#REF!</v>
      </c>
    </row>
    <row r="2731" spans="1:20" s="376" customFormat="1" ht="18.75" customHeight="1" x14ac:dyDescent="0.4">
      <c r="A2731" s="1" t="s">
        <v>10404</v>
      </c>
      <c r="B2731" s="1" t="s">
        <v>10405</v>
      </c>
      <c r="C2731" s="1" t="s">
        <v>435</v>
      </c>
      <c r="D2731" s="1" t="s">
        <v>9084</v>
      </c>
      <c r="E2731" s="370" t="s">
        <v>10</v>
      </c>
      <c r="F2731" s="1" t="s">
        <v>436</v>
      </c>
      <c r="G2731" s="2">
        <v>45566</v>
      </c>
      <c r="H2731" s="1" t="s">
        <v>10406</v>
      </c>
      <c r="I2731" s="1">
        <v>76815</v>
      </c>
      <c r="J2731" s="1" t="s">
        <v>10407</v>
      </c>
      <c r="K2731" s="291">
        <v>45642</v>
      </c>
      <c r="L2731" s="1" t="s">
        <v>364</v>
      </c>
      <c r="M2731" s="1"/>
      <c r="N2731" s="1"/>
      <c r="O2731" s="1"/>
      <c r="P2731" s="293" t="s">
        <v>10408</v>
      </c>
      <c r="Q2731" s="1" t="str">
        <f>IF(A2731="SCORTA 10",1,"")</f>
        <v/>
      </c>
      <c r="R2731" s="1">
        <f t="shared" si="56"/>
        <v>1</v>
      </c>
      <c r="S2731" s="1">
        <f t="shared" si="56"/>
        <v>1</v>
      </c>
      <c r="T2731" s="512" t="e">
        <f>_xlfn.XLOOKUP(H2731,#REF!,#REF!,0,0)</f>
        <v>#REF!</v>
      </c>
    </row>
    <row r="2732" spans="1:20" s="328" customFormat="1" x14ac:dyDescent="0.4">
      <c r="A2732" s="324" t="s">
        <v>10409</v>
      </c>
      <c r="B2732" s="522" t="s">
        <v>8857</v>
      </c>
      <c r="C2732" s="324" t="s">
        <v>434</v>
      </c>
      <c r="D2732" s="324" t="s">
        <v>9084</v>
      </c>
      <c r="E2732" s="324" t="s">
        <v>10</v>
      </c>
      <c r="F2732" s="324" t="s">
        <v>10410</v>
      </c>
      <c r="G2732" s="326"/>
      <c r="H2732" s="324" t="s">
        <v>10411</v>
      </c>
      <c r="I2732" s="327">
        <v>76073</v>
      </c>
      <c r="J2732" s="324" t="s">
        <v>10412</v>
      </c>
      <c r="K2732" s="324"/>
      <c r="L2732" s="324" t="s">
        <v>364</v>
      </c>
      <c r="M2732" s="324" t="s">
        <v>364</v>
      </c>
      <c r="N2732" s="529" t="s">
        <v>1</v>
      </c>
      <c r="O2732" s="324" t="s">
        <v>364</v>
      </c>
      <c r="P2732" s="528"/>
      <c r="Q2732" s="324" t="str">
        <f>IF(AND(C2732="Priorità/stagisti/Scorta"),1,"")</f>
        <v/>
      </c>
      <c r="R2732" s="324">
        <f>IF(AND(C2732&lt;&gt;"Priorità/Stagisti/Scorta",C2732&lt;&gt;""),1,"")</f>
        <v>1</v>
      </c>
      <c r="S2732" s="324">
        <f>IF(AND(D2732&lt;&gt;"Priorità/Stagisti/Scorta",D2732&lt;&gt;""),1,"")</f>
        <v>1</v>
      </c>
      <c r="T2732" s="512" t="e">
        <f>_xlfn.XLOOKUP(H2732,#REF!,#REF!,0,0)</f>
        <v>#REF!</v>
      </c>
    </row>
    <row r="2733" spans="1:20" s="328" customFormat="1" x14ac:dyDescent="0.4">
      <c r="A2733" s="324" t="s">
        <v>10413</v>
      </c>
      <c r="B2733" s="522" t="s">
        <v>10414</v>
      </c>
      <c r="C2733" s="324" t="s">
        <v>435</v>
      </c>
      <c r="D2733" s="324" t="s">
        <v>10415</v>
      </c>
      <c r="E2733" s="324" t="s">
        <v>10</v>
      </c>
      <c r="F2733" s="324" t="s">
        <v>10301</v>
      </c>
      <c r="G2733" s="326"/>
      <c r="H2733" s="324" t="s">
        <v>9097</v>
      </c>
      <c r="I2733" s="327">
        <v>73671</v>
      </c>
      <c r="J2733" s="324" t="s">
        <v>9098</v>
      </c>
      <c r="K2733" s="337">
        <v>45642</v>
      </c>
      <c r="L2733" s="324" t="s">
        <v>364</v>
      </c>
      <c r="M2733" s="324" t="s">
        <v>364</v>
      </c>
      <c r="N2733" s="324" t="s">
        <v>364</v>
      </c>
      <c r="O2733" s="324" t="s">
        <v>364</v>
      </c>
      <c r="P2733" s="528" t="s">
        <v>10416</v>
      </c>
      <c r="Q2733" s="324" t="str">
        <f>IF(AND(C2733="Priorità/stagisti/Scorta"),1,"")</f>
        <v/>
      </c>
      <c r="R2733" s="324">
        <f>IF(AND(C2733&lt;&gt;"Priorità/Stagisti/Scorta",C2733&lt;&gt;""),1,"")</f>
        <v>1</v>
      </c>
      <c r="S2733" s="324">
        <f>IF(AND(D2733&lt;&gt;"Priorità/Stagisti/Scorta",D2733&lt;&gt;""),1,"")</f>
        <v>1</v>
      </c>
      <c r="T2733" s="512" t="e">
        <f>_xlfn.XLOOKUP(H2733,#REF!,#REF!,0,0)</f>
        <v>#REF!</v>
      </c>
    </row>
    <row r="2734" spans="1:20" s="376" customFormat="1" ht="18.75" customHeight="1" x14ac:dyDescent="0.4">
      <c r="A2734" s="1" t="s">
        <v>10417</v>
      </c>
      <c r="B2734" s="1" t="s">
        <v>10418</v>
      </c>
      <c r="C2734" s="1" t="s">
        <v>433</v>
      </c>
      <c r="D2734" s="1" t="s">
        <v>693</v>
      </c>
      <c r="E2734" s="370" t="s">
        <v>10</v>
      </c>
      <c r="F2734" s="1" t="s">
        <v>436</v>
      </c>
      <c r="G2734" s="2">
        <v>45566</v>
      </c>
      <c r="H2734" s="1" t="s">
        <v>10419</v>
      </c>
      <c r="I2734" s="1">
        <v>76799</v>
      </c>
      <c r="J2734" s="1" t="s">
        <v>10420</v>
      </c>
      <c r="K2734" s="338">
        <v>45643.354166666664</v>
      </c>
      <c r="L2734" s="1" t="s">
        <v>364</v>
      </c>
      <c r="M2734" s="1" t="s">
        <v>364</v>
      </c>
      <c r="N2734" s="1" t="s">
        <v>364</v>
      </c>
      <c r="O2734" s="1" t="s">
        <v>364</v>
      </c>
      <c r="P2734" s="293" t="s">
        <v>10421</v>
      </c>
      <c r="Q2734" s="1" t="str">
        <f t="shared" ref="Q2734:Q2740" si="57">IF(A2734="SCORTA 10",1,"")</f>
        <v/>
      </c>
      <c r="R2734" s="1">
        <f t="shared" ref="R2734:R2740" si="58">IF(H2734&lt;&gt;"",1,"")</f>
        <v>1</v>
      </c>
      <c r="S2734" s="1">
        <f t="shared" ref="S2734:S2742" si="59">IF(I2734&lt;&gt;"",1,"")</f>
        <v>1</v>
      </c>
      <c r="T2734" s="512" t="e">
        <f>_xlfn.XLOOKUP(H2734,#REF!,#REF!,0,0)</f>
        <v>#REF!</v>
      </c>
    </row>
    <row r="2735" spans="1:20" s="376" customFormat="1" ht="18.75" customHeight="1" x14ac:dyDescent="0.4">
      <c r="A2735" s="1" t="s">
        <v>10422</v>
      </c>
      <c r="B2735" s="1" t="s">
        <v>10423</v>
      </c>
      <c r="C2735" s="1" t="s">
        <v>433</v>
      </c>
      <c r="D2735" s="1" t="s">
        <v>9084</v>
      </c>
      <c r="E2735" s="370" t="s">
        <v>10</v>
      </c>
      <c r="F2735" s="1" t="s">
        <v>436</v>
      </c>
      <c r="G2735" s="2">
        <v>45566</v>
      </c>
      <c r="H2735" s="1" t="s">
        <v>10424</v>
      </c>
      <c r="I2735" s="1">
        <v>76819</v>
      </c>
      <c r="J2735" s="1" t="s">
        <v>10425</v>
      </c>
      <c r="K2735" s="291">
        <v>45643</v>
      </c>
      <c r="L2735" s="1"/>
      <c r="M2735" s="1" t="s">
        <v>364</v>
      </c>
      <c r="N2735" s="1" t="s">
        <v>364</v>
      </c>
      <c r="O2735" s="1" t="s">
        <v>364</v>
      </c>
      <c r="P2735" s="293" t="s">
        <v>10426</v>
      </c>
      <c r="Q2735" s="1" t="str">
        <f t="shared" si="57"/>
        <v/>
      </c>
      <c r="R2735" s="1">
        <f t="shared" si="58"/>
        <v>1</v>
      </c>
      <c r="S2735" s="1">
        <f t="shared" si="59"/>
        <v>1</v>
      </c>
      <c r="T2735" s="512" t="e">
        <f>_xlfn.XLOOKUP(H2735,#REF!,#REF!,0,0)</f>
        <v>#REF!</v>
      </c>
    </row>
    <row r="2736" spans="1:20" s="286" customFormat="1" x14ac:dyDescent="0.4">
      <c r="A2736" s="2" t="s">
        <v>10427</v>
      </c>
      <c r="B2736" s="2" t="s">
        <v>10428</v>
      </c>
      <c r="C2736" s="2" t="s">
        <v>433</v>
      </c>
      <c r="D2736" s="2" t="s">
        <v>9084</v>
      </c>
      <c r="E2736" s="2" t="s">
        <v>366</v>
      </c>
      <c r="F2736" s="2" t="s">
        <v>367</v>
      </c>
      <c r="G2736" s="2">
        <v>45513</v>
      </c>
      <c r="H2736" s="2" t="s">
        <v>10429</v>
      </c>
      <c r="I2736" s="1">
        <v>76367</v>
      </c>
      <c r="J2736" s="2" t="s">
        <v>10430</v>
      </c>
      <c r="K2736" s="2" t="s">
        <v>10431</v>
      </c>
      <c r="L2736" s="2" t="s">
        <v>364</v>
      </c>
      <c r="M2736" s="2" t="s">
        <v>364</v>
      </c>
      <c r="N2736" s="2" t="s">
        <v>364</v>
      </c>
      <c r="O2736" s="2" t="s">
        <v>364</v>
      </c>
      <c r="P2736" s="524" t="s">
        <v>6008</v>
      </c>
      <c r="Q2736" s="281" t="str">
        <f t="shared" si="57"/>
        <v/>
      </c>
      <c r="R2736" s="1">
        <f t="shared" si="58"/>
        <v>1</v>
      </c>
      <c r="S2736" s="1">
        <f t="shared" si="59"/>
        <v>1</v>
      </c>
      <c r="T2736" s="512" t="e">
        <f>_xlfn.XLOOKUP(H2736,#REF!,#REF!,0,0)</f>
        <v>#REF!</v>
      </c>
    </row>
    <row r="2737" spans="1:20" s="286" customFormat="1" x14ac:dyDescent="0.4">
      <c r="A2737" s="2" t="s">
        <v>10432</v>
      </c>
      <c r="B2737" s="2" t="s">
        <v>10433</v>
      </c>
      <c r="C2737" s="2" t="s">
        <v>433</v>
      </c>
      <c r="D2737" s="2" t="s">
        <v>8127</v>
      </c>
      <c r="E2737" s="2" t="s">
        <v>366</v>
      </c>
      <c r="F2737" s="2" t="s">
        <v>367</v>
      </c>
      <c r="G2737" s="2">
        <v>45566</v>
      </c>
      <c r="H2737" s="2" t="s">
        <v>10434</v>
      </c>
      <c r="I2737" s="281">
        <v>76849</v>
      </c>
      <c r="J2737" s="2" t="s">
        <v>10435</v>
      </c>
      <c r="K2737" s="2">
        <v>45644</v>
      </c>
      <c r="L2737" s="2" t="s">
        <v>364</v>
      </c>
      <c r="M2737" s="2" t="s">
        <v>364</v>
      </c>
      <c r="N2737" s="2" t="s">
        <v>364</v>
      </c>
      <c r="O2737" s="2" t="s">
        <v>364</v>
      </c>
      <c r="P2737" s="524" t="s">
        <v>6008</v>
      </c>
      <c r="Q2737" s="281" t="str">
        <f t="shared" si="57"/>
        <v/>
      </c>
      <c r="R2737" s="1">
        <f t="shared" si="58"/>
        <v>1</v>
      </c>
      <c r="S2737" s="1">
        <f t="shared" si="59"/>
        <v>1</v>
      </c>
      <c r="T2737" s="512" t="e">
        <f>_xlfn.XLOOKUP(H2737,#REF!,#REF!,0,0)</f>
        <v>#REF!</v>
      </c>
    </row>
    <row r="2738" spans="1:20" s="286" customFormat="1" x14ac:dyDescent="0.4">
      <c r="A2738" s="2" t="s">
        <v>10436</v>
      </c>
      <c r="B2738" s="2" t="s">
        <v>10437</v>
      </c>
      <c r="C2738" s="2" t="s">
        <v>433</v>
      </c>
      <c r="D2738" s="2" t="s">
        <v>9084</v>
      </c>
      <c r="E2738" s="2" t="s">
        <v>366</v>
      </c>
      <c r="F2738" s="2" t="s">
        <v>367</v>
      </c>
      <c r="G2738" s="2">
        <v>45566</v>
      </c>
      <c r="H2738" s="2" t="s">
        <v>10438</v>
      </c>
      <c r="I2738" s="281">
        <v>76844</v>
      </c>
      <c r="J2738" s="2" t="s">
        <v>10439</v>
      </c>
      <c r="K2738" s="2" t="s">
        <v>10440</v>
      </c>
      <c r="L2738" s="2" t="s">
        <v>364</v>
      </c>
      <c r="M2738" s="2" t="s">
        <v>364</v>
      </c>
      <c r="N2738" s="2" t="s">
        <v>364</v>
      </c>
      <c r="O2738" s="2" t="s">
        <v>364</v>
      </c>
      <c r="P2738" s="524" t="s">
        <v>10441</v>
      </c>
      <c r="Q2738" s="281" t="str">
        <f t="shared" si="57"/>
        <v/>
      </c>
      <c r="R2738" s="1">
        <f t="shared" si="58"/>
        <v>1</v>
      </c>
      <c r="S2738" s="1">
        <f t="shared" si="59"/>
        <v>1</v>
      </c>
      <c r="T2738" s="512" t="e">
        <f>_xlfn.XLOOKUP(H2738,#REF!,#REF!,0,0)</f>
        <v>#REF!</v>
      </c>
    </row>
    <row r="2739" spans="1:20" s="286" customFormat="1" x14ac:dyDescent="0.4">
      <c r="A2739" s="2" t="s">
        <v>10442</v>
      </c>
      <c r="B2739" s="2" t="s">
        <v>10443</v>
      </c>
      <c r="C2739" s="2" t="s">
        <v>433</v>
      </c>
      <c r="D2739" s="2" t="s">
        <v>9084</v>
      </c>
      <c r="E2739" s="2" t="s">
        <v>366</v>
      </c>
      <c r="F2739" s="2" t="s">
        <v>367</v>
      </c>
      <c r="G2739" s="2">
        <v>45566</v>
      </c>
      <c r="H2739" s="2" t="s">
        <v>10444</v>
      </c>
      <c r="I2739" s="281">
        <v>76847</v>
      </c>
      <c r="J2739" s="2" t="s">
        <v>10445</v>
      </c>
      <c r="K2739" s="2" t="s">
        <v>10446</v>
      </c>
      <c r="L2739" s="2" t="s">
        <v>364</v>
      </c>
      <c r="M2739" s="2" t="s">
        <v>364</v>
      </c>
      <c r="N2739" s="2" t="s">
        <v>364</v>
      </c>
      <c r="O2739" s="2" t="s">
        <v>364</v>
      </c>
      <c r="P2739" s="524" t="s">
        <v>10447</v>
      </c>
      <c r="Q2739" s="281" t="str">
        <f t="shared" si="57"/>
        <v/>
      </c>
      <c r="R2739" s="1">
        <f t="shared" si="58"/>
        <v>1</v>
      </c>
      <c r="S2739" s="1">
        <f t="shared" si="59"/>
        <v>1</v>
      </c>
      <c r="T2739" s="512" t="e">
        <f>_xlfn.XLOOKUP(H2739,#REF!,#REF!,0,0)</f>
        <v>#REF!</v>
      </c>
    </row>
    <row r="2740" spans="1:20" s="286" customFormat="1" x14ac:dyDescent="0.4">
      <c r="A2740" s="2" t="s">
        <v>10448</v>
      </c>
      <c r="B2740" s="2" t="s">
        <v>10449</v>
      </c>
      <c r="C2740" s="2" t="s">
        <v>433</v>
      </c>
      <c r="D2740" s="2" t="s">
        <v>10450</v>
      </c>
      <c r="E2740" s="2" t="s">
        <v>366</v>
      </c>
      <c r="F2740" s="2" t="s">
        <v>367</v>
      </c>
      <c r="G2740" s="2">
        <v>45566</v>
      </c>
      <c r="H2740" s="2" t="s">
        <v>10451</v>
      </c>
      <c r="I2740" s="281">
        <v>76848</v>
      </c>
      <c r="J2740" s="2" t="s">
        <v>10452</v>
      </c>
      <c r="K2740" s="2">
        <v>45644</v>
      </c>
      <c r="L2740" s="2" t="s">
        <v>364</v>
      </c>
      <c r="M2740" s="2" t="s">
        <v>364</v>
      </c>
      <c r="N2740" s="2" t="s">
        <v>364</v>
      </c>
      <c r="O2740" s="2" t="s">
        <v>364</v>
      </c>
      <c r="P2740" s="524"/>
      <c r="Q2740" s="281" t="str">
        <f t="shared" si="57"/>
        <v/>
      </c>
      <c r="R2740" s="1">
        <f t="shared" si="58"/>
        <v>1</v>
      </c>
      <c r="S2740" s="1">
        <f t="shared" si="59"/>
        <v>1</v>
      </c>
      <c r="T2740" s="512" t="e">
        <f>_xlfn.XLOOKUP(H2740,#REF!,#REF!,0,0)</f>
        <v>#REF!</v>
      </c>
    </row>
    <row r="2741" spans="1:20" s="286" customFormat="1" x14ac:dyDescent="0.4">
      <c r="A2741" s="2" t="s">
        <v>10453</v>
      </c>
      <c r="B2741" s="2" t="s">
        <v>10454</v>
      </c>
      <c r="C2741" s="2" t="s">
        <v>433</v>
      </c>
      <c r="D2741" s="2" t="s">
        <v>8008</v>
      </c>
      <c r="E2741" s="2" t="s">
        <v>366</v>
      </c>
      <c r="F2741" s="2" t="s">
        <v>367</v>
      </c>
      <c r="G2741" s="2">
        <v>45566</v>
      </c>
      <c r="H2741" s="2" t="s">
        <v>10455</v>
      </c>
      <c r="I2741" s="281">
        <v>76842</v>
      </c>
      <c r="J2741" s="2" t="s">
        <v>10456</v>
      </c>
      <c r="K2741" s="2">
        <v>45645</v>
      </c>
      <c r="L2741" s="2" t="s">
        <v>364</v>
      </c>
      <c r="M2741" s="2" t="s">
        <v>364</v>
      </c>
      <c r="N2741" s="2" t="s">
        <v>364</v>
      </c>
      <c r="O2741" s="2" t="s">
        <v>364</v>
      </c>
      <c r="P2741" s="524"/>
      <c r="Q2741" s="281" t="str">
        <f>IF(A2741="SCORTA 10",1,"")</f>
        <v/>
      </c>
      <c r="R2741" s="1">
        <f>IF(H2741&lt;&gt;"",1,"")</f>
        <v>1</v>
      </c>
      <c r="S2741" s="1">
        <f t="shared" si="59"/>
        <v>1</v>
      </c>
      <c r="T2741" s="512" t="e">
        <f>_xlfn.XLOOKUP(H2741,#REF!,#REF!,0,0)</f>
        <v>#REF!</v>
      </c>
    </row>
    <row r="2742" spans="1:20" s="286" customFormat="1" x14ac:dyDescent="0.4">
      <c r="A2742" s="2" t="s">
        <v>10457</v>
      </c>
      <c r="B2742" s="2" t="s">
        <v>10458</v>
      </c>
      <c r="C2742" s="2" t="s">
        <v>433</v>
      </c>
      <c r="D2742" s="2" t="s">
        <v>9084</v>
      </c>
      <c r="E2742" s="2" t="s">
        <v>366</v>
      </c>
      <c r="F2742" s="2" t="s">
        <v>367</v>
      </c>
      <c r="G2742" s="2">
        <v>45566</v>
      </c>
      <c r="H2742" s="2" t="s">
        <v>10459</v>
      </c>
      <c r="I2742" s="281">
        <v>76850</v>
      </c>
      <c r="J2742" s="2" t="s">
        <v>10460</v>
      </c>
      <c r="K2742" s="2">
        <v>45659</v>
      </c>
      <c r="L2742" s="2" t="s">
        <v>364</v>
      </c>
      <c r="M2742" s="2" t="s">
        <v>364</v>
      </c>
      <c r="N2742" s="2" t="s">
        <v>364</v>
      </c>
      <c r="O2742" s="2" t="s">
        <v>364</v>
      </c>
      <c r="P2742" s="524"/>
      <c r="Q2742" s="281" t="str">
        <f>IF(A2742="SCORTA 10",1,"")</f>
        <v/>
      </c>
      <c r="R2742" s="1">
        <f>IF(H2742&lt;&gt;"",1,"")</f>
        <v>1</v>
      </c>
      <c r="S2742" s="1">
        <f t="shared" si="59"/>
        <v>1</v>
      </c>
      <c r="T2742" s="512" t="e">
        <f>_xlfn.XLOOKUP(H2742,#REF!,#REF!,0,0)</f>
        <v>#REF!</v>
      </c>
    </row>
    <row r="2743" spans="1:20" s="328" customFormat="1" x14ac:dyDescent="0.4">
      <c r="A2743" s="324" t="s">
        <v>10461</v>
      </c>
      <c r="B2743" s="522" t="s">
        <v>10462</v>
      </c>
      <c r="C2743" s="324" t="s">
        <v>434</v>
      </c>
      <c r="D2743" s="324" t="s">
        <v>9084</v>
      </c>
      <c r="E2743" s="324" t="s">
        <v>10</v>
      </c>
      <c r="F2743" s="324" t="s">
        <v>10410</v>
      </c>
      <c r="G2743" s="326">
        <v>45643</v>
      </c>
      <c r="H2743" s="324" t="s">
        <v>10463</v>
      </c>
      <c r="I2743" s="327">
        <v>76607</v>
      </c>
      <c r="J2743" s="324" t="s">
        <v>10464</v>
      </c>
      <c r="K2743" s="326">
        <v>45659</v>
      </c>
      <c r="L2743" s="324" t="s">
        <v>364</v>
      </c>
      <c r="M2743" s="324" t="s">
        <v>364</v>
      </c>
      <c r="N2743" s="324" t="s">
        <v>364</v>
      </c>
      <c r="O2743" s="324" t="s">
        <v>364</v>
      </c>
      <c r="P2743" s="528" t="s">
        <v>10465</v>
      </c>
      <c r="Q2743" s="324" t="str">
        <f>IF(AND(C2743="Priorità/stagisti/Scorta"),1,"")</f>
        <v/>
      </c>
      <c r="R2743" s="324">
        <f>IF(AND(C2743&lt;&gt;"Priorità/Stagisti/Scorta",C2743&lt;&gt;""),1,"")</f>
        <v>1</v>
      </c>
      <c r="S2743" s="324">
        <f>IF(AND(D2743&lt;&gt;"Priorità/Stagisti/Scorta",D2743&lt;&gt;""),1,"")</f>
        <v>1</v>
      </c>
      <c r="T2743" s="512" t="e">
        <f>_xlfn.XLOOKUP(H2743,#REF!,#REF!,0,0)</f>
        <v>#REF!</v>
      </c>
    </row>
    <row r="2744" spans="1:20" s="286" customFormat="1" x14ac:dyDescent="0.4">
      <c r="A2744" s="2" t="s">
        <v>10466</v>
      </c>
      <c r="B2744" s="2" t="s">
        <v>10467</v>
      </c>
      <c r="C2744" s="2" t="s">
        <v>433</v>
      </c>
      <c r="D2744" s="2" t="s">
        <v>9084</v>
      </c>
      <c r="E2744" s="2" t="s">
        <v>366</v>
      </c>
      <c r="F2744" s="2" t="s">
        <v>367</v>
      </c>
      <c r="G2744" s="2">
        <v>45566</v>
      </c>
      <c r="H2744" s="2" t="s">
        <v>10468</v>
      </c>
      <c r="I2744" s="281">
        <v>76845</v>
      </c>
      <c r="J2744" s="2" t="s">
        <v>10469</v>
      </c>
      <c r="K2744" s="2" t="s">
        <v>10470</v>
      </c>
      <c r="L2744" s="2" t="s">
        <v>364</v>
      </c>
      <c r="M2744" s="2" t="s">
        <v>364</v>
      </c>
      <c r="N2744" s="2" t="s">
        <v>364</v>
      </c>
      <c r="O2744" s="2" t="s">
        <v>364</v>
      </c>
      <c r="P2744" s="524" t="s">
        <v>10471</v>
      </c>
      <c r="Q2744" s="281" t="str">
        <f t="shared" ref="Q2744:Q2749" si="60">IF(A2744="SCORTA 10",1,"")</f>
        <v/>
      </c>
      <c r="R2744" s="1">
        <f t="shared" ref="R2744:R2749" si="61">IF(H2744&lt;&gt;"",1,"")</f>
        <v>1</v>
      </c>
      <c r="S2744" s="1">
        <f t="shared" ref="S2744:S2749" si="62">IF(I2744&lt;&gt;"",1,"")</f>
        <v>1</v>
      </c>
      <c r="T2744" s="512" t="e">
        <f>_xlfn.XLOOKUP(H2744,#REF!,#REF!,0,0)</f>
        <v>#REF!</v>
      </c>
    </row>
    <row r="2745" spans="1:20" s="286" customFormat="1" x14ac:dyDescent="0.4">
      <c r="A2745" s="2" t="s">
        <v>10472</v>
      </c>
      <c r="B2745" s="2" t="s">
        <v>10473</v>
      </c>
      <c r="C2745" s="2" t="s">
        <v>433</v>
      </c>
      <c r="D2745" s="2" t="s">
        <v>9084</v>
      </c>
      <c r="E2745" s="2" t="s">
        <v>366</v>
      </c>
      <c r="F2745" s="2" t="s">
        <v>367</v>
      </c>
      <c r="G2745" s="2">
        <v>45566</v>
      </c>
      <c r="H2745" s="2" t="s">
        <v>10474</v>
      </c>
      <c r="I2745" s="281">
        <v>76846</v>
      </c>
      <c r="J2745" s="2" t="s">
        <v>10475</v>
      </c>
      <c r="K2745" s="2" t="s">
        <v>10476</v>
      </c>
      <c r="L2745" s="2" t="s">
        <v>364</v>
      </c>
      <c r="M2745" s="2" t="s">
        <v>364</v>
      </c>
      <c r="N2745" s="2" t="s">
        <v>364</v>
      </c>
      <c r="O2745" s="2" t="s">
        <v>364</v>
      </c>
      <c r="P2745" s="524" t="s">
        <v>10477</v>
      </c>
      <c r="Q2745" s="281" t="str">
        <f t="shared" si="60"/>
        <v/>
      </c>
      <c r="R2745" s="1">
        <f t="shared" si="61"/>
        <v>1</v>
      </c>
      <c r="S2745" s="1">
        <f t="shared" si="62"/>
        <v>1</v>
      </c>
      <c r="T2745" s="512" t="e">
        <f>_xlfn.XLOOKUP(H2745,#REF!,#REF!,0,0)</f>
        <v>#REF!</v>
      </c>
    </row>
    <row r="2746" spans="1:20" s="376" customFormat="1" ht="18.75" customHeight="1" x14ac:dyDescent="0.4">
      <c r="A2746" s="1" t="s">
        <v>10478</v>
      </c>
      <c r="B2746" s="1" t="s">
        <v>10479</v>
      </c>
      <c r="C2746" s="1" t="s">
        <v>433</v>
      </c>
      <c r="D2746" s="1" t="s">
        <v>9084</v>
      </c>
      <c r="E2746" s="1" t="s">
        <v>10</v>
      </c>
      <c r="F2746" s="1" t="s">
        <v>436</v>
      </c>
      <c r="G2746" s="2">
        <v>45566</v>
      </c>
      <c r="H2746" s="1" t="s">
        <v>10480</v>
      </c>
      <c r="I2746" s="1">
        <v>76824</v>
      </c>
      <c r="J2746" s="1" t="s">
        <v>10481</v>
      </c>
      <c r="K2746" s="1" t="s">
        <v>10482</v>
      </c>
      <c r="L2746" s="1" t="s">
        <v>364</v>
      </c>
      <c r="M2746" s="1" t="s">
        <v>364</v>
      </c>
      <c r="N2746" s="1" t="s">
        <v>364</v>
      </c>
      <c r="O2746" s="1" t="s">
        <v>364</v>
      </c>
      <c r="P2746" s="293" t="s">
        <v>10483</v>
      </c>
      <c r="Q2746" s="1" t="str">
        <f t="shared" si="60"/>
        <v/>
      </c>
      <c r="R2746" s="1">
        <f t="shared" si="61"/>
        <v>1</v>
      </c>
      <c r="S2746" s="1">
        <f t="shared" si="62"/>
        <v>1</v>
      </c>
      <c r="T2746" s="512" t="e">
        <f>_xlfn.XLOOKUP(H2746,#REF!,#REF!,0,0)</f>
        <v>#REF!</v>
      </c>
    </row>
    <row r="2747" spans="1:20" s="376" customFormat="1" ht="18.75" customHeight="1" x14ac:dyDescent="0.4">
      <c r="A2747" s="1" t="s">
        <v>10484</v>
      </c>
      <c r="B2747" s="1" t="s">
        <v>10485</v>
      </c>
      <c r="C2747" s="1" t="s">
        <v>433</v>
      </c>
      <c r="D2747" s="1" t="s">
        <v>9084</v>
      </c>
      <c r="E2747" s="1" t="s">
        <v>10</v>
      </c>
      <c r="F2747" s="1" t="s">
        <v>436</v>
      </c>
      <c r="G2747" s="2">
        <v>45566</v>
      </c>
      <c r="H2747" s="1" t="s">
        <v>10486</v>
      </c>
      <c r="I2747" s="1">
        <v>76795</v>
      </c>
      <c r="J2747" s="1" t="s">
        <v>10487</v>
      </c>
      <c r="K2747" s="291" t="s">
        <v>10488</v>
      </c>
      <c r="L2747" s="1" t="s">
        <v>364</v>
      </c>
      <c r="M2747" s="1" t="s">
        <v>364</v>
      </c>
      <c r="N2747" s="1" t="s">
        <v>364</v>
      </c>
      <c r="O2747" s="1" t="s">
        <v>364</v>
      </c>
      <c r="P2747" s="293" t="s">
        <v>10489</v>
      </c>
      <c r="Q2747" s="1" t="str">
        <f t="shared" si="60"/>
        <v/>
      </c>
      <c r="R2747" s="1">
        <f t="shared" si="61"/>
        <v>1</v>
      </c>
      <c r="S2747" s="1">
        <f t="shared" si="62"/>
        <v>1</v>
      </c>
      <c r="T2747" s="512" t="e">
        <f>_xlfn.XLOOKUP(H2747,#REF!,#REF!,0,0)</f>
        <v>#REF!</v>
      </c>
    </row>
    <row r="2748" spans="1:20" s="286" customFormat="1" x14ac:dyDescent="0.4">
      <c r="A2748" s="2" t="s">
        <v>10490</v>
      </c>
      <c r="B2748" s="2" t="s">
        <v>10491</v>
      </c>
      <c r="C2748" s="2" t="s">
        <v>435</v>
      </c>
      <c r="D2748" s="2" t="s">
        <v>693</v>
      </c>
      <c r="E2748" s="2" t="s">
        <v>366</v>
      </c>
      <c r="F2748" s="2" t="s">
        <v>367</v>
      </c>
      <c r="G2748" s="2">
        <v>45566</v>
      </c>
      <c r="H2748" s="2" t="s">
        <v>10492</v>
      </c>
      <c r="I2748" s="281">
        <v>76851</v>
      </c>
      <c r="J2748" s="2" t="s">
        <v>10493</v>
      </c>
      <c r="K2748" s="2">
        <v>45659</v>
      </c>
      <c r="L2748" s="2" t="s">
        <v>364</v>
      </c>
      <c r="M2748" s="2" t="s">
        <v>364</v>
      </c>
      <c r="N2748" s="2" t="s">
        <v>364</v>
      </c>
      <c r="O2748" s="2" t="s">
        <v>364</v>
      </c>
      <c r="P2748" s="524" t="s">
        <v>7518</v>
      </c>
      <c r="Q2748" s="281" t="str">
        <f t="shared" si="60"/>
        <v/>
      </c>
      <c r="R2748" s="1">
        <f t="shared" si="61"/>
        <v>1</v>
      </c>
      <c r="S2748" s="1">
        <f t="shared" si="62"/>
        <v>1</v>
      </c>
      <c r="T2748" s="512" t="e">
        <f>_xlfn.XLOOKUP(H2748,#REF!,#REF!,0,0)</f>
        <v>#REF!</v>
      </c>
    </row>
    <row r="2749" spans="1:20" s="286" customFormat="1" x14ac:dyDescent="0.4">
      <c r="A2749" s="2" t="s">
        <v>10494</v>
      </c>
      <c r="B2749" s="2" t="s">
        <v>10495</v>
      </c>
      <c r="C2749" s="2" t="s">
        <v>435</v>
      </c>
      <c r="D2749" s="2" t="s">
        <v>1097</v>
      </c>
      <c r="E2749" s="2" t="s">
        <v>10</v>
      </c>
      <c r="F2749" s="2" t="s">
        <v>10496</v>
      </c>
      <c r="G2749" s="2">
        <v>44771</v>
      </c>
      <c r="H2749" s="2" t="s">
        <v>6677</v>
      </c>
      <c r="I2749" s="281">
        <v>71521</v>
      </c>
      <c r="J2749" s="2"/>
      <c r="K2749" s="2">
        <v>45670</v>
      </c>
      <c r="L2749" s="2" t="s">
        <v>364</v>
      </c>
      <c r="M2749" s="2" t="s">
        <v>364</v>
      </c>
      <c r="N2749" s="2" t="s">
        <v>364</v>
      </c>
      <c r="O2749" s="2" t="s">
        <v>364</v>
      </c>
      <c r="P2749" s="524"/>
      <c r="Q2749" s="281" t="str">
        <f t="shared" si="60"/>
        <v/>
      </c>
      <c r="R2749" s="1">
        <f t="shared" si="61"/>
        <v>1</v>
      </c>
      <c r="S2749" s="1">
        <f t="shared" si="62"/>
        <v>1</v>
      </c>
      <c r="T2749" s="512" t="e">
        <f>_xlfn.XLOOKUP(H2749,#REF!,#REF!,0,0)</f>
        <v>#REF!</v>
      </c>
    </row>
    <row r="2750" spans="1:20" s="328" customFormat="1" x14ac:dyDescent="0.4">
      <c r="A2750" s="324" t="s">
        <v>10497</v>
      </c>
      <c r="B2750" s="2" t="s">
        <v>10498</v>
      </c>
      <c r="C2750" s="324" t="s">
        <v>431</v>
      </c>
      <c r="D2750" s="324" t="s">
        <v>1097</v>
      </c>
      <c r="E2750" s="324" t="s">
        <v>10</v>
      </c>
      <c r="F2750" s="324" t="s">
        <v>10301</v>
      </c>
      <c r="G2750" s="326"/>
      <c r="H2750" s="324" t="s">
        <v>7304</v>
      </c>
      <c r="I2750" s="327">
        <v>72428</v>
      </c>
      <c r="J2750" s="324"/>
      <c r="K2750" s="326">
        <v>45670</v>
      </c>
      <c r="L2750" s="324" t="s">
        <v>364</v>
      </c>
      <c r="M2750" s="324" t="s">
        <v>364</v>
      </c>
      <c r="N2750" s="324" t="s">
        <v>364</v>
      </c>
      <c r="O2750" s="324" t="s">
        <v>364</v>
      </c>
      <c r="P2750" s="528" t="s">
        <v>7518</v>
      </c>
      <c r="Q2750" s="324">
        <f>IF(AND(C2750="Priorità/stagisti/Scorta"),1,"")</f>
        <v>1</v>
      </c>
      <c r="R2750" s="324" t="str">
        <f>IF(AND(C2750&lt;&gt;"Priorità/Stagisti/Scorta",C2750&lt;&gt;""),1,"")</f>
        <v/>
      </c>
      <c r="S2750" s="324">
        <f>IF(AND(D2750&lt;&gt;"Priorità/Stagisti/Scorta",D2750&lt;&gt;""),1,"")</f>
        <v>1</v>
      </c>
      <c r="T2750" s="512" t="e">
        <f>_xlfn.XLOOKUP(H2750,#REF!,#REF!,0,0)</f>
        <v>#REF!</v>
      </c>
    </row>
    <row r="2751" spans="1:20" s="376" customFormat="1" ht="18.75" customHeight="1" x14ac:dyDescent="0.4">
      <c r="A2751" s="1" t="s">
        <v>10499</v>
      </c>
      <c r="B2751" s="1" t="s">
        <v>10500</v>
      </c>
      <c r="C2751" s="1" t="s">
        <v>433</v>
      </c>
      <c r="D2751" s="1" t="s">
        <v>455</v>
      </c>
      <c r="E2751" s="1" t="s">
        <v>10</v>
      </c>
      <c r="F2751" s="1" t="s">
        <v>436</v>
      </c>
      <c r="G2751" s="2">
        <v>45566</v>
      </c>
      <c r="H2751" s="1" t="s">
        <v>10501</v>
      </c>
      <c r="I2751" s="1">
        <v>76821</v>
      </c>
      <c r="J2751" s="1" t="s">
        <v>10502</v>
      </c>
      <c r="K2751" s="1" t="s">
        <v>10503</v>
      </c>
      <c r="L2751" s="1" t="s">
        <v>364</v>
      </c>
      <c r="M2751" s="1" t="s">
        <v>364</v>
      </c>
      <c r="N2751" s="1" t="s">
        <v>364</v>
      </c>
      <c r="O2751" s="1" t="s">
        <v>364</v>
      </c>
      <c r="P2751" s="293" t="s">
        <v>10504</v>
      </c>
      <c r="Q2751" s="1" t="str">
        <f t="shared" ref="Q2751:Q2757" si="63">IF(A2751="SCORTA 10",1,"")</f>
        <v/>
      </c>
      <c r="R2751" s="1">
        <f t="shared" ref="R2751:R2757" si="64">IF(H2751&lt;&gt;"",1,"")</f>
        <v>1</v>
      </c>
      <c r="S2751" s="1">
        <f t="shared" ref="S2751:S2757" si="65">IF(I2751&lt;&gt;"",1,"")</f>
        <v>1</v>
      </c>
      <c r="T2751" s="512" t="e">
        <f>_xlfn.XLOOKUP(H2751,#REF!,#REF!,0,0)</f>
        <v>#REF!</v>
      </c>
    </row>
    <row r="2752" spans="1:20" s="376" customFormat="1" x14ac:dyDescent="0.4">
      <c r="A2752" s="1" t="s">
        <v>10505</v>
      </c>
      <c r="B2752" s="1" t="s">
        <v>10506</v>
      </c>
      <c r="C2752" s="1" t="s">
        <v>433</v>
      </c>
      <c r="D2752" s="1" t="s">
        <v>9084</v>
      </c>
      <c r="E2752" s="1" t="s">
        <v>10</v>
      </c>
      <c r="F2752" s="1" t="s">
        <v>436</v>
      </c>
      <c r="G2752" s="2">
        <v>45566</v>
      </c>
      <c r="H2752" s="1" t="s">
        <v>8915</v>
      </c>
      <c r="I2752" s="1">
        <v>73637</v>
      </c>
      <c r="J2752" s="1" t="s">
        <v>8916</v>
      </c>
      <c r="K2752" s="1"/>
      <c r="L2752" s="1" t="s">
        <v>364</v>
      </c>
      <c r="M2752" s="1" t="s">
        <v>364</v>
      </c>
      <c r="N2752" s="1" t="s">
        <v>364</v>
      </c>
      <c r="O2752" s="1" t="s">
        <v>364</v>
      </c>
      <c r="P2752" s="293" t="s">
        <v>10507</v>
      </c>
      <c r="Q2752" s="1" t="str">
        <f t="shared" si="63"/>
        <v/>
      </c>
      <c r="R2752" s="1">
        <f t="shared" si="64"/>
        <v>1</v>
      </c>
      <c r="S2752" s="1">
        <f t="shared" si="65"/>
        <v>1</v>
      </c>
      <c r="T2752" s="512" t="e">
        <f>_xlfn.XLOOKUP(H2752,#REF!,#REF!,0,0)</f>
        <v>#REF!</v>
      </c>
    </row>
    <row r="2753" spans="1:20" s="376" customFormat="1" x14ac:dyDescent="0.4">
      <c r="A2753" s="1" t="s">
        <v>10508</v>
      </c>
      <c r="B2753" s="1" t="s">
        <v>10509</v>
      </c>
      <c r="C2753" s="1" t="s">
        <v>433</v>
      </c>
      <c r="D2753" s="1" t="s">
        <v>9084</v>
      </c>
      <c r="E2753" s="1" t="s">
        <v>10</v>
      </c>
      <c r="F2753" s="1" t="s">
        <v>436</v>
      </c>
      <c r="G2753" s="2">
        <v>45566</v>
      </c>
      <c r="H2753" s="1" t="s">
        <v>10510</v>
      </c>
      <c r="I2753" s="1">
        <v>76825</v>
      </c>
      <c r="J2753" s="1" t="s">
        <v>10511</v>
      </c>
      <c r="K2753" s="338" t="s">
        <v>10512</v>
      </c>
      <c r="L2753" s="1" t="s">
        <v>7332</v>
      </c>
      <c r="M2753" s="1" t="s">
        <v>364</v>
      </c>
      <c r="N2753" s="1" t="s">
        <v>364</v>
      </c>
      <c r="O2753" s="1" t="s">
        <v>364</v>
      </c>
      <c r="P2753" s="293" t="s">
        <v>10513</v>
      </c>
      <c r="Q2753" s="1" t="str">
        <f t="shared" si="63"/>
        <v/>
      </c>
      <c r="R2753" s="1">
        <f t="shared" si="64"/>
        <v>1</v>
      </c>
      <c r="S2753" s="1">
        <f t="shared" si="65"/>
        <v>1</v>
      </c>
      <c r="T2753" s="512" t="e">
        <f>_xlfn.XLOOKUP(H2753,#REF!,#REF!,0,0)</f>
        <v>#REF!</v>
      </c>
    </row>
    <row r="2754" spans="1:20" s="376" customFormat="1" ht="18.75" customHeight="1" x14ac:dyDescent="0.4">
      <c r="A2754" s="1" t="s">
        <v>10514</v>
      </c>
      <c r="B2754" s="1" t="s">
        <v>10515</v>
      </c>
      <c r="C2754" s="1" t="s">
        <v>433</v>
      </c>
      <c r="D2754" s="1" t="s">
        <v>9084</v>
      </c>
      <c r="E2754" s="1" t="s">
        <v>10</v>
      </c>
      <c r="F2754" s="1" t="s">
        <v>436</v>
      </c>
      <c r="G2754" s="2">
        <v>45566</v>
      </c>
      <c r="H2754" s="1" t="s">
        <v>10516</v>
      </c>
      <c r="I2754" s="1">
        <v>76816</v>
      </c>
      <c r="J2754" s="1" t="s">
        <v>10517</v>
      </c>
      <c r="K2754" s="338" t="s">
        <v>10518</v>
      </c>
      <c r="L2754" s="1" t="s">
        <v>364</v>
      </c>
      <c r="M2754" s="1" t="s">
        <v>364</v>
      </c>
      <c r="N2754" s="1" t="s">
        <v>364</v>
      </c>
      <c r="O2754" s="1" t="s">
        <v>364</v>
      </c>
      <c r="P2754" s="293" t="s">
        <v>5255</v>
      </c>
      <c r="Q2754" s="1" t="str">
        <f t="shared" si="63"/>
        <v/>
      </c>
      <c r="R2754" s="1">
        <f t="shared" si="64"/>
        <v>1</v>
      </c>
      <c r="S2754" s="1">
        <f t="shared" si="65"/>
        <v>1</v>
      </c>
      <c r="T2754" s="512" t="e">
        <f>_xlfn.XLOOKUP(H2754,#REF!,#REF!,0,0)</f>
        <v>#REF!</v>
      </c>
    </row>
    <row r="2755" spans="1:20" s="376" customFormat="1" ht="18.75" customHeight="1" x14ac:dyDescent="0.4">
      <c r="A2755" s="1" t="s">
        <v>10519</v>
      </c>
      <c r="B2755" s="1" t="s">
        <v>10520</v>
      </c>
      <c r="C2755" s="1" t="s">
        <v>433</v>
      </c>
      <c r="D2755" s="1" t="s">
        <v>9084</v>
      </c>
      <c r="E2755" s="1" t="s">
        <v>10</v>
      </c>
      <c r="F2755" s="1" t="s">
        <v>436</v>
      </c>
      <c r="G2755" s="2">
        <v>45566</v>
      </c>
      <c r="H2755" s="1" t="s">
        <v>10521</v>
      </c>
      <c r="I2755" s="1">
        <v>76828</v>
      </c>
      <c r="J2755" s="1" t="s">
        <v>10522</v>
      </c>
      <c r="K2755" s="1" t="s">
        <v>10523</v>
      </c>
      <c r="L2755" s="1" t="s">
        <v>364</v>
      </c>
      <c r="M2755" s="1" t="s">
        <v>364</v>
      </c>
      <c r="N2755" s="1" t="s">
        <v>364</v>
      </c>
      <c r="O2755" s="1" t="s">
        <v>364</v>
      </c>
      <c r="P2755" s="293" t="s">
        <v>10524</v>
      </c>
      <c r="Q2755" s="1" t="str">
        <f t="shared" si="63"/>
        <v/>
      </c>
      <c r="R2755" s="1">
        <f t="shared" si="64"/>
        <v>1</v>
      </c>
      <c r="S2755" s="1">
        <f t="shared" si="65"/>
        <v>1</v>
      </c>
      <c r="T2755" s="512" t="e">
        <f>_xlfn.XLOOKUP(H2755,#REF!,#REF!,0,0)</f>
        <v>#REF!</v>
      </c>
    </row>
    <row r="2756" spans="1:20" s="286" customFormat="1" x14ac:dyDescent="0.4">
      <c r="A2756" s="2" t="s">
        <v>10525</v>
      </c>
      <c r="B2756" s="2" t="s">
        <v>10526</v>
      </c>
      <c r="C2756" s="2" t="s">
        <v>433</v>
      </c>
      <c r="D2756" s="2" t="s">
        <v>9084</v>
      </c>
      <c r="E2756" s="2" t="s">
        <v>366</v>
      </c>
      <c r="F2756" s="2" t="s">
        <v>367</v>
      </c>
      <c r="G2756" s="2">
        <v>45566</v>
      </c>
      <c r="H2756" s="2" t="s">
        <v>10527</v>
      </c>
      <c r="I2756" s="281">
        <v>76852</v>
      </c>
      <c r="J2756" s="2" t="s">
        <v>10528</v>
      </c>
      <c r="K2756" s="2" t="s">
        <v>10529</v>
      </c>
      <c r="L2756" s="2" t="s">
        <v>364</v>
      </c>
      <c r="M2756" s="2" t="s">
        <v>364</v>
      </c>
      <c r="N2756" s="2" t="s">
        <v>364</v>
      </c>
      <c r="O2756" s="2" t="s">
        <v>364</v>
      </c>
      <c r="P2756" s="524" t="s">
        <v>7518</v>
      </c>
      <c r="Q2756" s="281" t="str">
        <f t="shared" si="63"/>
        <v/>
      </c>
      <c r="R2756" s="1">
        <f t="shared" si="64"/>
        <v>1</v>
      </c>
      <c r="S2756" s="1">
        <f t="shared" si="65"/>
        <v>1</v>
      </c>
      <c r="T2756" s="512" t="e">
        <f>_xlfn.XLOOKUP(H2756,#REF!,#REF!,0,0)</f>
        <v>#REF!</v>
      </c>
    </row>
    <row r="2757" spans="1:20" s="286" customFormat="1" x14ac:dyDescent="0.4">
      <c r="A2757" s="357" t="s">
        <v>10530</v>
      </c>
      <c r="B2757" s="357" t="s">
        <v>10531</v>
      </c>
      <c r="C2757" s="357" t="s">
        <v>433</v>
      </c>
      <c r="D2757" s="357" t="s">
        <v>9084</v>
      </c>
      <c r="E2757" s="357" t="s">
        <v>366</v>
      </c>
      <c r="F2757" s="357" t="s">
        <v>10063</v>
      </c>
      <c r="G2757" s="357">
        <v>45513</v>
      </c>
      <c r="H2757" s="357" t="s">
        <v>10532</v>
      </c>
      <c r="I2757" s="358">
        <v>76370</v>
      </c>
      <c r="J2757" s="357" t="s">
        <v>10533</v>
      </c>
      <c r="K2757" s="357"/>
      <c r="L2757" s="357" t="s">
        <v>364</v>
      </c>
      <c r="M2757" s="357"/>
      <c r="N2757" s="357"/>
      <c r="O2757" s="357"/>
      <c r="P2757" s="543" t="s">
        <v>10534</v>
      </c>
      <c r="Q2757" s="358" t="str">
        <f t="shared" si="63"/>
        <v/>
      </c>
      <c r="R2757" s="289">
        <f t="shared" si="64"/>
        <v>1</v>
      </c>
      <c r="S2757" s="289">
        <f t="shared" si="65"/>
        <v>1</v>
      </c>
      <c r="T2757" s="512" t="e">
        <f>_xlfn.XLOOKUP(H2757,#REF!,#REF!,0,0)</f>
        <v>#REF!</v>
      </c>
    </row>
    <row r="2758" spans="1:20" s="328" customFormat="1" x14ac:dyDescent="0.4">
      <c r="A2758" s="324" t="s">
        <v>10535</v>
      </c>
      <c r="B2758" s="324" t="s">
        <v>10536</v>
      </c>
      <c r="C2758" s="324" t="s">
        <v>431</v>
      </c>
      <c r="D2758" s="324" t="s">
        <v>9084</v>
      </c>
      <c r="E2758" s="324" t="s">
        <v>10</v>
      </c>
      <c r="F2758" s="324" t="s">
        <v>244</v>
      </c>
      <c r="G2758" s="326"/>
      <c r="H2758" s="324" t="s">
        <v>277</v>
      </c>
      <c r="I2758" s="327">
        <v>70966</v>
      </c>
      <c r="J2758" s="324"/>
      <c r="K2758" s="326">
        <v>45677</v>
      </c>
      <c r="L2758" s="324" t="s">
        <v>364</v>
      </c>
      <c r="M2758" s="324" t="s">
        <v>364</v>
      </c>
      <c r="N2758" s="324" t="s">
        <v>364</v>
      </c>
      <c r="O2758" s="324" t="s">
        <v>364</v>
      </c>
      <c r="P2758" s="528" t="s">
        <v>10537</v>
      </c>
      <c r="Q2758" s="324">
        <v>1</v>
      </c>
      <c r="R2758" s="324"/>
      <c r="S2758" s="324"/>
      <c r="T2758" s="512" t="e">
        <f>_xlfn.XLOOKUP(H2758,#REF!,#REF!,0,0)</f>
        <v>#REF!</v>
      </c>
    </row>
    <row r="2759" spans="1:20" s="376" customFormat="1" ht="18.75" customHeight="1" x14ac:dyDescent="0.4">
      <c r="A2759" s="1" t="s">
        <v>10538</v>
      </c>
      <c r="B2759" s="1" t="s">
        <v>10539</v>
      </c>
      <c r="C2759" s="1" t="s">
        <v>433</v>
      </c>
      <c r="D2759" s="1" t="s">
        <v>9084</v>
      </c>
      <c r="E2759" s="1" t="s">
        <v>10</v>
      </c>
      <c r="F2759" s="1" t="s">
        <v>436</v>
      </c>
      <c r="G2759" s="2">
        <v>45566</v>
      </c>
      <c r="H2759" s="1" t="s">
        <v>10540</v>
      </c>
      <c r="I2759" s="1">
        <v>76820</v>
      </c>
      <c r="J2759" s="1" t="s">
        <v>10541</v>
      </c>
      <c r="K2759" s="1"/>
      <c r="L2759" s="1" t="s">
        <v>364</v>
      </c>
      <c r="M2759" s="1" t="s">
        <v>364</v>
      </c>
      <c r="N2759" s="1" t="s">
        <v>364</v>
      </c>
      <c r="O2759" s="1" t="s">
        <v>364</v>
      </c>
      <c r="P2759" s="293" t="s">
        <v>9232</v>
      </c>
      <c r="Q2759" s="1" t="str">
        <f>IF(A2759="SCORTA 10",1,"")</f>
        <v/>
      </c>
      <c r="R2759" s="1">
        <f>IF(H2759&lt;&gt;"",1,"")</f>
        <v>1</v>
      </c>
      <c r="S2759" s="1">
        <f>IF(I2759&lt;&gt;"",1,"")</f>
        <v>1</v>
      </c>
      <c r="T2759" s="512" t="e">
        <f>_xlfn.XLOOKUP(H2759,#REF!,#REF!,0,0)</f>
        <v>#REF!</v>
      </c>
    </row>
    <row r="2760" spans="1:20" s="376" customFormat="1" ht="18.75" customHeight="1" x14ac:dyDescent="0.4">
      <c r="A2760" s="1" t="s">
        <v>10542</v>
      </c>
      <c r="B2760" s="1" t="s">
        <v>10543</v>
      </c>
      <c r="C2760" s="1" t="s">
        <v>433</v>
      </c>
      <c r="D2760" s="1" t="s">
        <v>9084</v>
      </c>
      <c r="E2760" s="1" t="s">
        <v>10</v>
      </c>
      <c r="F2760" s="1" t="s">
        <v>436</v>
      </c>
      <c r="G2760" s="2">
        <v>45566</v>
      </c>
      <c r="H2760" s="1" t="s">
        <v>10544</v>
      </c>
      <c r="I2760" s="1">
        <v>76826</v>
      </c>
      <c r="J2760" s="1" t="s">
        <v>10545</v>
      </c>
      <c r="K2760" s="1" t="s">
        <v>10546</v>
      </c>
      <c r="L2760" s="1" t="s">
        <v>364</v>
      </c>
      <c r="M2760" s="1" t="s">
        <v>364</v>
      </c>
      <c r="N2760" s="1" t="s">
        <v>364</v>
      </c>
      <c r="O2760" s="1" t="s">
        <v>364</v>
      </c>
      <c r="P2760" s="293" t="s">
        <v>10547</v>
      </c>
      <c r="Q2760" s="1" t="str">
        <f>IF(A2760="SCORTA 10",1,"")</f>
        <v/>
      </c>
      <c r="R2760" s="1">
        <f>IF(H2760&lt;&gt;"",1,"")</f>
        <v>1</v>
      </c>
      <c r="S2760" s="1">
        <f>IF(I2760&lt;&gt;"",1,"")</f>
        <v>1</v>
      </c>
      <c r="T2760" s="512" t="e">
        <f>_xlfn.XLOOKUP(H2760,#REF!,#REF!,0,0)</f>
        <v>#REF!</v>
      </c>
    </row>
    <row r="2761" spans="1:20" s="328" customFormat="1" x14ac:dyDescent="0.4">
      <c r="A2761" s="324" t="s">
        <v>10548</v>
      </c>
      <c r="B2761" s="522" t="s">
        <v>10549</v>
      </c>
      <c r="C2761" s="324" t="s">
        <v>433</v>
      </c>
      <c r="D2761" s="324" t="s">
        <v>447</v>
      </c>
      <c r="E2761" s="324" t="s">
        <v>10550</v>
      </c>
      <c r="F2761" s="324" t="s">
        <v>10551</v>
      </c>
      <c r="G2761" s="326"/>
      <c r="H2761" s="324" t="s">
        <v>10552</v>
      </c>
      <c r="I2761" s="327"/>
      <c r="J2761" s="324" t="s">
        <v>10553</v>
      </c>
      <c r="K2761" s="324"/>
      <c r="L2761" s="324" t="s">
        <v>364</v>
      </c>
      <c r="M2761" s="324"/>
      <c r="N2761" s="324"/>
      <c r="O2761" s="324"/>
      <c r="P2761" s="528" t="s">
        <v>10554</v>
      </c>
      <c r="Q2761" s="324"/>
      <c r="R2761" s="324">
        <v>1</v>
      </c>
      <c r="S2761" s="324">
        <v>1</v>
      </c>
      <c r="T2761" s="512" t="e">
        <f>_xlfn.XLOOKUP(H2761,#REF!,#REF!,0,0)</f>
        <v>#REF!</v>
      </c>
    </row>
    <row r="2762" spans="1:20" s="376" customFormat="1" ht="18.75" customHeight="1" x14ac:dyDescent="0.4">
      <c r="A2762" s="1" t="s">
        <v>10555</v>
      </c>
      <c r="B2762" s="1" t="s">
        <v>10556</v>
      </c>
      <c r="C2762" s="1" t="s">
        <v>433</v>
      </c>
      <c r="D2762" s="1" t="s">
        <v>9084</v>
      </c>
      <c r="E2762" s="1" t="s">
        <v>10</v>
      </c>
      <c r="F2762" s="1" t="s">
        <v>436</v>
      </c>
      <c r="G2762" s="2">
        <v>45566</v>
      </c>
      <c r="H2762" s="1" t="s">
        <v>10557</v>
      </c>
      <c r="I2762" s="1">
        <v>76818</v>
      </c>
      <c r="J2762" s="1" t="s">
        <v>10558</v>
      </c>
      <c r="K2762" s="322" t="s">
        <v>10559</v>
      </c>
      <c r="L2762" s="1" t="s">
        <v>364</v>
      </c>
      <c r="M2762" s="1" t="s">
        <v>364</v>
      </c>
      <c r="N2762" s="1" t="s">
        <v>364</v>
      </c>
      <c r="O2762" s="1" t="s">
        <v>364</v>
      </c>
      <c r="P2762" s="293" t="s">
        <v>6278</v>
      </c>
      <c r="Q2762" s="1" t="str">
        <f>IF(A2762="SCORTA 10",1,"")</f>
        <v/>
      </c>
      <c r="R2762" s="1">
        <f>IF(H2762&lt;&gt;"",1,"")</f>
        <v>1</v>
      </c>
      <c r="S2762" s="1">
        <f>IF(I2762&lt;&gt;"",1,"")</f>
        <v>1</v>
      </c>
      <c r="T2762" s="512" t="e">
        <f>_xlfn.XLOOKUP(H2762,#REF!,#REF!,0,0)</f>
        <v>#REF!</v>
      </c>
    </row>
    <row r="2763" spans="1:20" s="286" customFormat="1" x14ac:dyDescent="0.4">
      <c r="A2763" s="2" t="s">
        <v>10560</v>
      </c>
      <c r="B2763" s="2" t="s">
        <v>10561</v>
      </c>
      <c r="C2763" s="2" t="s">
        <v>433</v>
      </c>
      <c r="D2763" s="2" t="s">
        <v>9084</v>
      </c>
      <c r="E2763" s="2" t="s">
        <v>366</v>
      </c>
      <c r="F2763" s="2" t="s">
        <v>367</v>
      </c>
      <c r="G2763" s="2">
        <v>45566</v>
      </c>
      <c r="H2763" s="2" t="s">
        <v>10562</v>
      </c>
      <c r="I2763" s="281">
        <v>76856</v>
      </c>
      <c r="J2763" s="2" t="s">
        <v>10563</v>
      </c>
      <c r="K2763" s="2" t="s">
        <v>10564</v>
      </c>
      <c r="L2763" s="2" t="s">
        <v>364</v>
      </c>
      <c r="M2763" s="2"/>
      <c r="N2763" s="2"/>
      <c r="O2763" s="2"/>
      <c r="P2763" s="524" t="s">
        <v>10565</v>
      </c>
      <c r="Q2763" s="281" t="str">
        <f>IF(A2763="SCORTA 10",1,"")</f>
        <v/>
      </c>
      <c r="R2763" s="1">
        <f>IF(H2763&lt;&gt;"",1,"")</f>
        <v>1</v>
      </c>
      <c r="S2763" s="1">
        <f>IF(I2763&lt;&gt;"",1,"")</f>
        <v>1</v>
      </c>
      <c r="T2763" s="512" t="e">
        <f>_xlfn.XLOOKUP(H2763,#REF!,#REF!,0,0)</f>
        <v>#REF!</v>
      </c>
    </row>
    <row r="2764" spans="1:20" s="328" customFormat="1" x14ac:dyDescent="0.4">
      <c r="A2764" s="324" t="s">
        <v>10566</v>
      </c>
      <c r="B2764" s="522" t="s">
        <v>10567</v>
      </c>
      <c r="C2764" s="324" t="s">
        <v>433</v>
      </c>
      <c r="D2764" s="324" t="s">
        <v>447</v>
      </c>
      <c r="E2764" s="324" t="s">
        <v>10</v>
      </c>
      <c r="F2764" s="324" t="s">
        <v>68</v>
      </c>
      <c r="G2764" s="326"/>
      <c r="H2764" s="324" t="s">
        <v>9097</v>
      </c>
      <c r="I2764" s="327">
        <v>73671</v>
      </c>
      <c r="J2764" s="324"/>
      <c r="K2764" s="337" t="s">
        <v>10568</v>
      </c>
      <c r="L2764" s="324" t="s">
        <v>364</v>
      </c>
      <c r="M2764" s="324" t="s">
        <v>364</v>
      </c>
      <c r="N2764" s="324" t="s">
        <v>364</v>
      </c>
      <c r="O2764" s="324" t="s">
        <v>364</v>
      </c>
      <c r="P2764" s="528"/>
      <c r="Q2764" s="324"/>
      <c r="R2764" s="324"/>
      <c r="S2764" s="324"/>
      <c r="T2764" s="512" t="e">
        <f>_xlfn.XLOOKUP(H2764,#REF!,#REF!,0,0)</f>
        <v>#REF!</v>
      </c>
    </row>
    <row r="2765" spans="1:20" x14ac:dyDescent="0.4">
      <c r="A2765" s="27" t="s">
        <v>10569</v>
      </c>
      <c r="B2765" s="27" t="s">
        <v>10570</v>
      </c>
      <c r="C2765" s="27" t="s">
        <v>433</v>
      </c>
      <c r="D2765" s="27" t="s">
        <v>447</v>
      </c>
      <c r="E2765" s="27" t="s">
        <v>10</v>
      </c>
      <c r="F2765" s="27" t="s">
        <v>244</v>
      </c>
      <c r="G2765" s="27"/>
      <c r="H2765" s="27" t="s">
        <v>296</v>
      </c>
      <c r="I2765" s="27"/>
      <c r="J2765" s="27"/>
      <c r="K2765" s="27"/>
      <c r="L2765" s="324" t="s">
        <v>364</v>
      </c>
      <c r="M2765" s="324" t="s">
        <v>364</v>
      </c>
      <c r="N2765" s="324" t="s">
        <v>364</v>
      </c>
      <c r="O2765" s="27"/>
      <c r="P2765" s="549"/>
      <c r="Q2765" s="27"/>
      <c r="R2765" s="27"/>
      <c r="S2765" s="27"/>
      <c r="T2765" s="500" t="e">
        <f>_xlfn.XLOOKUP(H2765,#REF!,#REF!,0,0)</f>
        <v>#REF!</v>
      </c>
    </row>
    <row r="2766" spans="1:20" s="328" customFormat="1" x14ac:dyDescent="0.4">
      <c r="A2766" s="324" t="s">
        <v>10571</v>
      </c>
      <c r="B2766" s="522" t="s">
        <v>10572</v>
      </c>
      <c r="C2766" s="324" t="s">
        <v>433</v>
      </c>
      <c r="D2766" s="324" t="s">
        <v>447</v>
      </c>
      <c r="E2766" s="324" t="s">
        <v>10</v>
      </c>
      <c r="F2766" s="324" t="s">
        <v>68</v>
      </c>
      <c r="G2766" s="326"/>
      <c r="H2766" s="324" t="s">
        <v>8680</v>
      </c>
      <c r="I2766" s="327">
        <v>73613</v>
      </c>
      <c r="J2766" s="324"/>
      <c r="K2766" s="337">
        <v>45693</v>
      </c>
      <c r="L2766" s="324" t="s">
        <v>364</v>
      </c>
      <c r="M2766" s="324" t="s">
        <v>364</v>
      </c>
      <c r="N2766" s="324" t="s">
        <v>364</v>
      </c>
      <c r="O2766" s="324"/>
      <c r="P2766" s="528" t="s">
        <v>10573</v>
      </c>
      <c r="Q2766" s="324"/>
      <c r="R2766" s="324">
        <v>1</v>
      </c>
      <c r="S2766" s="324">
        <v>1</v>
      </c>
      <c r="T2766" s="512" t="e">
        <f>_xlfn.XLOOKUP(H2766,#REF!,#REF!,0,0)</f>
        <v>#REF!</v>
      </c>
    </row>
    <row r="2767" spans="1:20" s="286" customFormat="1" x14ac:dyDescent="0.4">
      <c r="A2767" s="2" t="s">
        <v>10574</v>
      </c>
      <c r="B2767" s="2" t="s">
        <v>10575</v>
      </c>
      <c r="C2767" s="2" t="s">
        <v>433</v>
      </c>
      <c r="D2767" s="2" t="s">
        <v>9084</v>
      </c>
      <c r="E2767" s="2" t="s">
        <v>366</v>
      </c>
      <c r="F2767" s="2" t="s">
        <v>367</v>
      </c>
      <c r="G2767" s="2">
        <v>45566</v>
      </c>
      <c r="H2767" s="2" t="s">
        <v>10576</v>
      </c>
      <c r="I2767" s="281">
        <v>76857</v>
      </c>
      <c r="J2767" s="2" t="s">
        <v>10577</v>
      </c>
      <c r="K2767" s="2">
        <v>45693</v>
      </c>
      <c r="L2767" s="2" t="s">
        <v>364</v>
      </c>
      <c r="M2767" s="2" t="s">
        <v>364</v>
      </c>
      <c r="N2767" s="2" t="s">
        <v>364</v>
      </c>
      <c r="O2767" s="2" t="s">
        <v>364</v>
      </c>
      <c r="P2767" s="524"/>
      <c r="Q2767" s="281" t="str">
        <f>IF(A2767="SCORTA 10",1,"")</f>
        <v/>
      </c>
      <c r="R2767" s="1">
        <f t="shared" ref="R2767:S2771" si="66">IF(H2767&lt;&gt;"",1,"")</f>
        <v>1</v>
      </c>
      <c r="S2767" s="1">
        <f t="shared" si="66"/>
        <v>1</v>
      </c>
      <c r="T2767" s="512" t="e">
        <f>_xlfn.XLOOKUP(H2767,#REF!,#REF!,0,0)</f>
        <v>#REF!</v>
      </c>
    </row>
    <row r="2768" spans="1:20" s="286" customFormat="1" x14ac:dyDescent="0.4">
      <c r="A2768" s="2" t="s">
        <v>10578</v>
      </c>
      <c r="B2768" s="2" t="s">
        <v>10579</v>
      </c>
      <c r="C2768" s="2" t="s">
        <v>433</v>
      </c>
      <c r="D2768" s="2" t="s">
        <v>8127</v>
      </c>
      <c r="E2768" s="2" t="s">
        <v>10</v>
      </c>
      <c r="F2768" s="2" t="s">
        <v>362</v>
      </c>
      <c r="G2768" s="2">
        <v>45386</v>
      </c>
      <c r="H2768" s="2" t="s">
        <v>10580</v>
      </c>
      <c r="I2768" s="281">
        <v>76179</v>
      </c>
      <c r="J2768" s="2" t="s">
        <v>9332</v>
      </c>
      <c r="K2768" s="2">
        <v>45694</v>
      </c>
      <c r="L2768" s="2" t="s">
        <v>364</v>
      </c>
      <c r="M2768" s="2" t="s">
        <v>364</v>
      </c>
      <c r="N2768" s="2" t="s">
        <v>364</v>
      </c>
      <c r="O2768" s="2" t="s">
        <v>364</v>
      </c>
      <c r="P2768" s="524"/>
      <c r="Q2768" s="281" t="str">
        <f>IF(A2768="SCORTA 10",1,"")</f>
        <v/>
      </c>
      <c r="R2768" s="1">
        <f t="shared" si="66"/>
        <v>1</v>
      </c>
      <c r="S2768" s="1">
        <f t="shared" si="66"/>
        <v>1</v>
      </c>
      <c r="T2768" s="512" t="e">
        <f>_xlfn.XLOOKUP(H2768,#REF!,#REF!,0,0)</f>
        <v>#REF!</v>
      </c>
    </row>
    <row r="2769" spans="1:20" s="286" customFormat="1" x14ac:dyDescent="0.4">
      <c r="A2769" s="2" t="s">
        <v>10581</v>
      </c>
      <c r="B2769" s="2" t="s">
        <v>10582</v>
      </c>
      <c r="C2769" s="2" t="s">
        <v>433</v>
      </c>
      <c r="D2769" s="2" t="s">
        <v>9084</v>
      </c>
      <c r="E2769" s="2" t="s">
        <v>366</v>
      </c>
      <c r="F2769" s="2" t="s">
        <v>367</v>
      </c>
      <c r="G2769" s="2">
        <v>45513</v>
      </c>
      <c r="H2769" s="2" t="s">
        <v>10583</v>
      </c>
      <c r="I2769" s="1">
        <v>76853</v>
      </c>
      <c r="J2769" s="2" t="s">
        <v>10584</v>
      </c>
      <c r="K2769" s="2" t="s">
        <v>10585</v>
      </c>
      <c r="L2769" s="2" t="s">
        <v>364</v>
      </c>
      <c r="M2769" s="2" t="s">
        <v>364</v>
      </c>
      <c r="N2769" s="2" t="s">
        <v>364</v>
      </c>
      <c r="O2769" s="2" t="s">
        <v>364</v>
      </c>
      <c r="P2769" s="524" t="s">
        <v>10586</v>
      </c>
      <c r="Q2769" s="281" t="str">
        <f>IF(A2769="SCORTA 10",1,"")</f>
        <v/>
      </c>
      <c r="R2769" s="1">
        <f t="shared" si="66"/>
        <v>1</v>
      </c>
      <c r="S2769" s="1">
        <f t="shared" si="66"/>
        <v>1</v>
      </c>
      <c r="T2769" s="512" t="e">
        <f>_xlfn.XLOOKUP(H2769,#REF!,#REF!,0,0)</f>
        <v>#REF!</v>
      </c>
    </row>
    <row r="2770" spans="1:20" s="286" customFormat="1" x14ac:dyDescent="0.4">
      <c r="A2770" s="2" t="s">
        <v>10587</v>
      </c>
      <c r="B2770" s="2" t="s">
        <v>10588</v>
      </c>
      <c r="C2770" s="2" t="s">
        <v>433</v>
      </c>
      <c r="D2770" s="2" t="s">
        <v>9084</v>
      </c>
      <c r="E2770" s="2" t="s">
        <v>366</v>
      </c>
      <c r="F2770" s="2" t="s">
        <v>367</v>
      </c>
      <c r="G2770" s="2">
        <v>45566</v>
      </c>
      <c r="H2770" s="2" t="s">
        <v>10589</v>
      </c>
      <c r="I2770" s="281">
        <v>76855</v>
      </c>
      <c r="J2770" s="2" t="s">
        <v>10590</v>
      </c>
      <c r="K2770" s="2" t="s">
        <v>10591</v>
      </c>
      <c r="L2770" s="2" t="s">
        <v>364</v>
      </c>
      <c r="M2770" s="2"/>
      <c r="N2770" s="2"/>
      <c r="O2770" s="2"/>
      <c r="P2770" s="524" t="s">
        <v>10592</v>
      </c>
      <c r="Q2770" s="281" t="str">
        <f>IF(A2770="SCORTA 10",1,"")</f>
        <v/>
      </c>
      <c r="R2770" s="1">
        <f t="shared" si="66"/>
        <v>1</v>
      </c>
      <c r="S2770" s="1">
        <f t="shared" si="66"/>
        <v>1</v>
      </c>
      <c r="T2770" s="512" t="e">
        <f>_xlfn.XLOOKUP(H2770,#REF!,#REF!,0,0)</f>
        <v>#REF!</v>
      </c>
    </row>
    <row r="2771" spans="1:20" s="286" customFormat="1" x14ac:dyDescent="0.4">
      <c r="A2771" s="2" t="s">
        <v>10593</v>
      </c>
      <c r="B2771" s="2" t="s">
        <v>10594</v>
      </c>
      <c r="C2771" s="2" t="s">
        <v>433</v>
      </c>
      <c r="D2771" s="2" t="s">
        <v>9084</v>
      </c>
      <c r="E2771" s="2" t="s">
        <v>366</v>
      </c>
      <c r="F2771" s="2" t="s">
        <v>367</v>
      </c>
      <c r="G2771" s="2">
        <v>45566</v>
      </c>
      <c r="H2771" s="2" t="s">
        <v>10595</v>
      </c>
      <c r="I2771" s="281">
        <v>76859</v>
      </c>
      <c r="J2771" s="2" t="s">
        <v>10596</v>
      </c>
      <c r="K2771" s="2"/>
      <c r="L2771" s="2"/>
      <c r="M2771" s="2"/>
      <c r="N2771" s="2"/>
      <c r="O2771" s="2"/>
      <c r="P2771" s="524"/>
      <c r="Q2771" s="281" t="str">
        <f>IF(A2771="SCORTA 10",1,"")</f>
        <v/>
      </c>
      <c r="R2771" s="1">
        <f t="shared" si="66"/>
        <v>1</v>
      </c>
      <c r="S2771" s="1">
        <f t="shared" si="66"/>
        <v>1</v>
      </c>
      <c r="T2771" s="512" t="e">
        <f>_xlfn.XLOOKUP(H2771,#REF!,#REF!,0,0)</f>
        <v>#REF!</v>
      </c>
    </row>
    <row r="2772" spans="1:20" s="328" customFormat="1" x14ac:dyDescent="0.4">
      <c r="A2772" s="324" t="s">
        <v>10597</v>
      </c>
      <c r="B2772" s="522" t="s">
        <v>10116</v>
      </c>
      <c r="C2772" s="324" t="s">
        <v>433</v>
      </c>
      <c r="D2772" s="324" t="s">
        <v>9084</v>
      </c>
      <c r="E2772" s="324" t="s">
        <v>10</v>
      </c>
      <c r="F2772" s="325" t="s">
        <v>10598</v>
      </c>
      <c r="G2772" s="326">
        <v>45687</v>
      </c>
      <c r="H2772" s="324" t="s">
        <v>10599</v>
      </c>
      <c r="I2772" s="327"/>
      <c r="J2772" s="324" t="s">
        <v>10600</v>
      </c>
      <c r="K2772" s="337"/>
      <c r="L2772" s="324" t="s">
        <v>364</v>
      </c>
      <c r="M2772" s="324" t="s">
        <v>364</v>
      </c>
      <c r="N2772" s="324" t="s">
        <v>364</v>
      </c>
      <c r="O2772" s="324" t="s">
        <v>364</v>
      </c>
      <c r="P2772" s="528" t="s">
        <v>10601</v>
      </c>
      <c r="Q2772" s="324" t="str">
        <f>IF(AND(C2772="Priorità/stagisti/Scorta"),1,"")</f>
        <v/>
      </c>
      <c r="R2772" s="324">
        <v>1</v>
      </c>
      <c r="S2772" s="324">
        <v>1</v>
      </c>
      <c r="T2772" s="512" t="e">
        <f>_xlfn.XLOOKUP(H2772,#REF!,#REF!,0,0)</f>
        <v>#REF!</v>
      </c>
    </row>
    <row r="2773" spans="1:20" s="328" customFormat="1" x14ac:dyDescent="0.4">
      <c r="A2773" s="324" t="s">
        <v>10602</v>
      </c>
      <c r="B2773" s="522" t="s">
        <v>10116</v>
      </c>
      <c r="C2773" s="324" t="s">
        <v>433</v>
      </c>
      <c r="D2773" s="324"/>
      <c r="E2773" s="324" t="s">
        <v>10</v>
      </c>
      <c r="F2773" s="325" t="s">
        <v>10598</v>
      </c>
      <c r="G2773" s="326">
        <v>45687</v>
      </c>
      <c r="H2773" s="324" t="s">
        <v>10603</v>
      </c>
      <c r="I2773" s="327"/>
      <c r="J2773" s="324" t="s">
        <v>10604</v>
      </c>
      <c r="K2773" s="337"/>
      <c r="L2773" s="324" t="s">
        <v>364</v>
      </c>
      <c r="M2773" s="324" t="s">
        <v>364</v>
      </c>
      <c r="N2773" s="324" t="s">
        <v>364</v>
      </c>
      <c r="O2773" s="324" t="s">
        <v>364</v>
      </c>
      <c r="P2773" s="528" t="s">
        <v>10601</v>
      </c>
      <c r="Q2773" s="324" t="str">
        <f>IF(AND(C2773="Priorità/stagisti/Scorta"),1,"")</f>
        <v/>
      </c>
      <c r="R2773" s="324">
        <v>1</v>
      </c>
      <c r="S2773" s="324">
        <v>1</v>
      </c>
      <c r="T2773" s="512" t="e">
        <f>_xlfn.XLOOKUP(H2773,#REF!,#REF!,0,0)</f>
        <v>#REF!</v>
      </c>
    </row>
    <row r="2774" spans="1:20" s="286" customFormat="1" x14ac:dyDescent="0.4">
      <c r="A2774" s="2" t="s">
        <v>10605</v>
      </c>
      <c r="B2774" s="2" t="s">
        <v>10606</v>
      </c>
      <c r="C2774" s="2" t="s">
        <v>433</v>
      </c>
      <c r="D2774" s="2" t="s">
        <v>9084</v>
      </c>
      <c r="E2774" s="2" t="s">
        <v>366</v>
      </c>
      <c r="F2774" s="2" t="s">
        <v>367</v>
      </c>
      <c r="G2774" s="2">
        <v>45566</v>
      </c>
      <c r="H2774" s="2" t="s">
        <v>10607</v>
      </c>
      <c r="I2774" s="281">
        <v>76854</v>
      </c>
      <c r="J2774" s="2" t="s">
        <v>10608</v>
      </c>
      <c r="K2774" s="2" t="s">
        <v>10609</v>
      </c>
      <c r="L2774" s="2" t="s">
        <v>364</v>
      </c>
      <c r="M2774" s="2" t="s">
        <v>364</v>
      </c>
      <c r="N2774" s="2" t="s">
        <v>364</v>
      </c>
      <c r="O2774" s="2" t="s">
        <v>364</v>
      </c>
      <c r="P2774" s="524" t="s">
        <v>10610</v>
      </c>
      <c r="Q2774" s="281" t="str">
        <f>IF(A2774="SCORTA 10",1,"")</f>
        <v/>
      </c>
      <c r="R2774" s="1">
        <f>IF(H2774&lt;&gt;"",1,"")</f>
        <v>1</v>
      </c>
      <c r="S2774" s="1">
        <f>IF(I2774&lt;&gt;"",1,"")</f>
        <v>1</v>
      </c>
      <c r="T2774" s="512" t="e">
        <f>_xlfn.XLOOKUP(H2774,#REF!,#REF!,0,0)</f>
        <v>#REF!</v>
      </c>
    </row>
    <row r="2775" spans="1:20" s="328" customFormat="1" x14ac:dyDescent="0.4">
      <c r="A2775" s="324" t="s">
        <v>10611</v>
      </c>
      <c r="B2775" s="324" t="s">
        <v>10330</v>
      </c>
      <c r="C2775" s="324" t="s">
        <v>433</v>
      </c>
      <c r="D2775" s="324" t="s">
        <v>447</v>
      </c>
      <c r="E2775" s="324" t="s">
        <v>10</v>
      </c>
      <c r="F2775" s="324" t="s">
        <v>8353</v>
      </c>
      <c r="G2775" s="324"/>
      <c r="H2775" s="324" t="s">
        <v>10612</v>
      </c>
      <c r="I2775" s="324">
        <v>71650</v>
      </c>
      <c r="J2775" s="324" t="s">
        <v>10613</v>
      </c>
      <c r="K2775" s="324"/>
      <c r="L2775" s="324" t="s">
        <v>364</v>
      </c>
      <c r="M2775" s="324" t="s">
        <v>364</v>
      </c>
      <c r="N2775" s="324" t="s">
        <v>364</v>
      </c>
      <c r="O2775" s="324" t="s">
        <v>364</v>
      </c>
      <c r="P2775" s="528" t="s">
        <v>10614</v>
      </c>
      <c r="Q2775" s="324" t="str">
        <f t="shared" ref="Q2775:Q2784" si="67">IF(AND(C2775="Priorità/stagisti/Scorta"),1,"")</f>
        <v/>
      </c>
      <c r="R2775" s="324">
        <v>1</v>
      </c>
      <c r="S2775" s="324">
        <v>1</v>
      </c>
      <c r="T2775" s="512" t="e">
        <f>_xlfn.XLOOKUP(H2775,#REF!,#REF!,0,0)</f>
        <v>#REF!</v>
      </c>
    </row>
    <row r="2776" spans="1:20" s="328" customFormat="1" x14ac:dyDescent="0.4">
      <c r="A2776" s="324" t="s">
        <v>10615</v>
      </c>
      <c r="B2776" s="324" t="s">
        <v>10330</v>
      </c>
      <c r="C2776" s="324" t="s">
        <v>433</v>
      </c>
      <c r="D2776" s="324" t="s">
        <v>447</v>
      </c>
      <c r="E2776" s="324"/>
      <c r="F2776" s="324"/>
      <c r="G2776" s="324"/>
      <c r="H2776" s="324" t="s">
        <v>10616</v>
      </c>
      <c r="I2776" s="324">
        <v>71649</v>
      </c>
      <c r="J2776" s="324" t="s">
        <v>10617</v>
      </c>
      <c r="K2776" s="324"/>
      <c r="L2776" s="324" t="s">
        <v>364</v>
      </c>
      <c r="M2776" s="324" t="s">
        <v>364</v>
      </c>
      <c r="N2776" s="324" t="s">
        <v>364</v>
      </c>
      <c r="O2776" s="324" t="s">
        <v>364</v>
      </c>
      <c r="P2776" s="528" t="s">
        <v>10614</v>
      </c>
      <c r="Q2776" s="324" t="str">
        <f t="shared" si="67"/>
        <v/>
      </c>
      <c r="R2776" s="324">
        <v>1</v>
      </c>
      <c r="S2776" s="324">
        <v>1</v>
      </c>
      <c r="T2776" s="512" t="e">
        <f>_xlfn.XLOOKUP(H2776,#REF!,#REF!,0,0)</f>
        <v>#REF!</v>
      </c>
    </row>
    <row r="2777" spans="1:20" s="328" customFormat="1" x14ac:dyDescent="0.4">
      <c r="A2777" s="324" t="s">
        <v>10618</v>
      </c>
      <c r="B2777" s="522" t="s">
        <v>10325</v>
      </c>
      <c r="C2777" s="324" t="s">
        <v>433</v>
      </c>
      <c r="D2777" s="324" t="s">
        <v>9084</v>
      </c>
      <c r="E2777" s="324" t="s">
        <v>10</v>
      </c>
      <c r="F2777" s="325" t="s">
        <v>10598</v>
      </c>
      <c r="G2777" s="326">
        <v>45687</v>
      </c>
      <c r="H2777" s="324" t="s">
        <v>10619</v>
      </c>
      <c r="I2777" s="327"/>
      <c r="J2777" s="324" t="s">
        <v>10620</v>
      </c>
      <c r="K2777" s="337"/>
      <c r="L2777" s="324" t="s">
        <v>364</v>
      </c>
      <c r="M2777" s="324" t="s">
        <v>364</v>
      </c>
      <c r="N2777" s="324" t="s">
        <v>364</v>
      </c>
      <c r="O2777" s="324" t="s">
        <v>364</v>
      </c>
      <c r="P2777" s="544" t="s">
        <v>10621</v>
      </c>
      <c r="Q2777" s="324" t="str">
        <f t="shared" si="67"/>
        <v/>
      </c>
      <c r="R2777" s="324">
        <f t="shared" ref="R2777:R2784" si="68">IF(AND(C2777&lt;&gt;"Priorità/Stagisti/Scorta",C2777&lt;&gt;""),1,"")</f>
        <v>1</v>
      </c>
      <c r="S2777" s="324">
        <f t="shared" ref="S2777:S2784" si="69">IF(AND(D2777&lt;&gt;"Priorità/Stagisti/Scorta",D2777&lt;&gt;""),1,"")</f>
        <v>1</v>
      </c>
      <c r="T2777" s="512" t="e">
        <f>_xlfn.XLOOKUP(H2777,#REF!,#REF!,0,0)</f>
        <v>#REF!</v>
      </c>
    </row>
    <row r="2778" spans="1:20" s="328" customFormat="1" x14ac:dyDescent="0.4">
      <c r="A2778" s="324" t="s">
        <v>10622</v>
      </c>
      <c r="B2778" s="522" t="s">
        <v>10325</v>
      </c>
      <c r="C2778" s="324" t="s">
        <v>433</v>
      </c>
      <c r="D2778" s="324" t="s">
        <v>9084</v>
      </c>
      <c r="E2778" s="324" t="s">
        <v>10</v>
      </c>
      <c r="F2778" s="325" t="s">
        <v>10598</v>
      </c>
      <c r="G2778" s="326">
        <v>45687</v>
      </c>
      <c r="H2778" s="324" t="s">
        <v>10623</v>
      </c>
      <c r="I2778" s="327"/>
      <c r="J2778" s="324" t="s">
        <v>10624</v>
      </c>
      <c r="K2778" s="337"/>
      <c r="L2778" s="324" t="s">
        <v>364</v>
      </c>
      <c r="M2778" s="324" t="s">
        <v>364</v>
      </c>
      <c r="N2778" s="324" t="s">
        <v>364</v>
      </c>
      <c r="O2778" s="324" t="s">
        <v>364</v>
      </c>
      <c r="P2778" s="544" t="s">
        <v>10621</v>
      </c>
      <c r="Q2778" s="324" t="str">
        <f t="shared" si="67"/>
        <v/>
      </c>
      <c r="R2778" s="324">
        <f t="shared" si="68"/>
        <v>1</v>
      </c>
      <c r="S2778" s="324">
        <f t="shared" si="69"/>
        <v>1</v>
      </c>
      <c r="T2778" s="512" t="e">
        <f>_xlfn.XLOOKUP(H2778,#REF!,#REF!,0,0)</f>
        <v>#REF!</v>
      </c>
    </row>
    <row r="2779" spans="1:20" s="328" customFormat="1" x14ac:dyDescent="0.4">
      <c r="A2779" s="324" t="s">
        <v>10625</v>
      </c>
      <c r="B2779" s="522" t="s">
        <v>10325</v>
      </c>
      <c r="C2779" s="324" t="s">
        <v>433</v>
      </c>
      <c r="D2779" s="324" t="s">
        <v>9084</v>
      </c>
      <c r="E2779" s="324" t="s">
        <v>10</v>
      </c>
      <c r="F2779" s="325" t="s">
        <v>10598</v>
      </c>
      <c r="G2779" s="326">
        <v>45687</v>
      </c>
      <c r="H2779" s="324" t="s">
        <v>10626</v>
      </c>
      <c r="I2779" s="327"/>
      <c r="J2779" s="324" t="s">
        <v>10627</v>
      </c>
      <c r="K2779" s="337"/>
      <c r="L2779" s="324" t="s">
        <v>364</v>
      </c>
      <c r="M2779" s="324" t="s">
        <v>364</v>
      </c>
      <c r="N2779" s="324" t="s">
        <v>364</v>
      </c>
      <c r="O2779" s="324" t="s">
        <v>364</v>
      </c>
      <c r="P2779" s="544" t="s">
        <v>10621</v>
      </c>
      <c r="Q2779" s="324" t="str">
        <f t="shared" si="67"/>
        <v/>
      </c>
      <c r="R2779" s="324">
        <f t="shared" si="68"/>
        <v>1</v>
      </c>
      <c r="S2779" s="324">
        <f t="shared" si="69"/>
        <v>1</v>
      </c>
      <c r="T2779" s="512" t="e">
        <f>_xlfn.XLOOKUP(H2779,#REF!,#REF!,0,0)</f>
        <v>#REF!</v>
      </c>
    </row>
    <row r="2780" spans="1:20" s="328" customFormat="1" x14ac:dyDescent="0.4">
      <c r="A2780" s="324" t="s">
        <v>10628</v>
      </c>
      <c r="B2780" s="522" t="s">
        <v>10325</v>
      </c>
      <c r="C2780" s="324" t="s">
        <v>433</v>
      </c>
      <c r="D2780" s="324" t="s">
        <v>9084</v>
      </c>
      <c r="E2780" s="324" t="s">
        <v>10</v>
      </c>
      <c r="F2780" s="325" t="s">
        <v>10598</v>
      </c>
      <c r="G2780" s="326">
        <v>45687</v>
      </c>
      <c r="H2780" s="324" t="s">
        <v>10629</v>
      </c>
      <c r="I2780" s="327"/>
      <c r="J2780" s="324" t="s">
        <v>10630</v>
      </c>
      <c r="K2780" s="337"/>
      <c r="L2780" s="324" t="s">
        <v>364</v>
      </c>
      <c r="M2780" s="324" t="s">
        <v>364</v>
      </c>
      <c r="N2780" s="324" t="s">
        <v>364</v>
      </c>
      <c r="O2780" s="324" t="s">
        <v>364</v>
      </c>
      <c r="P2780" s="544" t="s">
        <v>10621</v>
      </c>
      <c r="Q2780" s="324" t="str">
        <f t="shared" si="67"/>
        <v/>
      </c>
      <c r="R2780" s="324">
        <f t="shared" si="68"/>
        <v>1</v>
      </c>
      <c r="S2780" s="324">
        <f t="shared" si="69"/>
        <v>1</v>
      </c>
      <c r="T2780" s="512" t="e">
        <f>_xlfn.XLOOKUP(H2780,#REF!,#REF!,0,0)</f>
        <v>#REF!</v>
      </c>
    </row>
    <row r="2781" spans="1:20" s="328" customFormat="1" x14ac:dyDescent="0.4">
      <c r="A2781" s="324" t="s">
        <v>10631</v>
      </c>
      <c r="B2781" s="522" t="s">
        <v>10325</v>
      </c>
      <c r="C2781" s="324" t="s">
        <v>433</v>
      </c>
      <c r="D2781" s="324" t="s">
        <v>9084</v>
      </c>
      <c r="E2781" s="324" t="s">
        <v>10</v>
      </c>
      <c r="F2781" s="325" t="s">
        <v>10598</v>
      </c>
      <c r="G2781" s="326">
        <v>45687</v>
      </c>
      <c r="H2781" s="324" t="s">
        <v>10632</v>
      </c>
      <c r="I2781" s="327"/>
      <c r="J2781" s="324" t="s">
        <v>10633</v>
      </c>
      <c r="K2781" s="337"/>
      <c r="L2781" s="324" t="s">
        <v>364</v>
      </c>
      <c r="M2781" s="324" t="s">
        <v>364</v>
      </c>
      <c r="N2781" s="324" t="s">
        <v>364</v>
      </c>
      <c r="O2781" s="324" t="s">
        <v>364</v>
      </c>
      <c r="P2781" s="544" t="s">
        <v>10621</v>
      </c>
      <c r="Q2781" s="324" t="str">
        <f t="shared" si="67"/>
        <v/>
      </c>
      <c r="R2781" s="324">
        <f t="shared" si="68"/>
        <v>1</v>
      </c>
      <c r="S2781" s="324">
        <f t="shared" si="69"/>
        <v>1</v>
      </c>
      <c r="T2781" s="512" t="e">
        <f>_xlfn.XLOOKUP(H2781,#REF!,#REF!,0,0)</f>
        <v>#REF!</v>
      </c>
    </row>
    <row r="2782" spans="1:20" s="328" customFormat="1" x14ac:dyDescent="0.4">
      <c r="A2782" s="324" t="s">
        <v>10634</v>
      </c>
      <c r="B2782" s="522" t="s">
        <v>10325</v>
      </c>
      <c r="C2782" s="324" t="s">
        <v>433</v>
      </c>
      <c r="D2782" s="324" t="s">
        <v>9084</v>
      </c>
      <c r="E2782" s="324" t="s">
        <v>10</v>
      </c>
      <c r="F2782" s="325" t="s">
        <v>10598</v>
      </c>
      <c r="G2782" s="326">
        <v>45687</v>
      </c>
      <c r="H2782" s="324" t="s">
        <v>10635</v>
      </c>
      <c r="I2782" s="327"/>
      <c r="J2782" s="324" t="s">
        <v>10636</v>
      </c>
      <c r="K2782" s="337"/>
      <c r="L2782" s="324" t="s">
        <v>364</v>
      </c>
      <c r="M2782" s="324" t="s">
        <v>364</v>
      </c>
      <c r="N2782" s="324" t="s">
        <v>364</v>
      </c>
      <c r="O2782" s="324" t="s">
        <v>364</v>
      </c>
      <c r="P2782" s="544" t="s">
        <v>10621</v>
      </c>
      <c r="Q2782" s="324" t="str">
        <f t="shared" si="67"/>
        <v/>
      </c>
      <c r="R2782" s="324">
        <f t="shared" si="68"/>
        <v>1</v>
      </c>
      <c r="S2782" s="324">
        <f t="shared" si="69"/>
        <v>1</v>
      </c>
      <c r="T2782" s="512" t="e">
        <f>_xlfn.XLOOKUP(H2782,#REF!,#REF!,0,0)</f>
        <v>#REF!</v>
      </c>
    </row>
    <row r="2783" spans="1:20" s="328" customFormat="1" x14ac:dyDescent="0.4">
      <c r="A2783" s="324" t="s">
        <v>10637</v>
      </c>
      <c r="B2783" s="522" t="s">
        <v>10638</v>
      </c>
      <c r="C2783" s="324" t="s">
        <v>433</v>
      </c>
      <c r="D2783" s="324" t="s">
        <v>9084</v>
      </c>
      <c r="E2783" s="324" t="s">
        <v>10</v>
      </c>
      <c r="F2783" s="325" t="s">
        <v>10598</v>
      </c>
      <c r="G2783" s="326">
        <v>45687</v>
      </c>
      <c r="H2783" s="324" t="s">
        <v>10639</v>
      </c>
      <c r="I2783" s="327"/>
      <c r="J2783" s="324" t="s">
        <v>10640</v>
      </c>
      <c r="K2783" s="337"/>
      <c r="L2783" s="324" t="s">
        <v>364</v>
      </c>
      <c r="M2783" s="324" t="s">
        <v>364</v>
      </c>
      <c r="N2783" s="324" t="s">
        <v>364</v>
      </c>
      <c r="O2783" s="324" t="s">
        <v>364</v>
      </c>
      <c r="P2783" s="528" t="s">
        <v>10641</v>
      </c>
      <c r="Q2783" s="324" t="str">
        <f t="shared" si="67"/>
        <v/>
      </c>
      <c r="R2783" s="324">
        <f t="shared" si="68"/>
        <v>1</v>
      </c>
      <c r="S2783" s="324">
        <f t="shared" si="69"/>
        <v>1</v>
      </c>
      <c r="T2783" s="512" t="e">
        <f>_xlfn.XLOOKUP(H2783,#REF!,#REF!,0,0)</f>
        <v>#REF!</v>
      </c>
    </row>
    <row r="2784" spans="1:20" s="328" customFormat="1" x14ac:dyDescent="0.4">
      <c r="A2784" s="324" t="s">
        <v>10642</v>
      </c>
      <c r="B2784" s="522" t="s">
        <v>10638</v>
      </c>
      <c r="C2784" s="324" t="s">
        <v>433</v>
      </c>
      <c r="D2784" s="324" t="s">
        <v>9084</v>
      </c>
      <c r="E2784" s="324" t="s">
        <v>10</v>
      </c>
      <c r="F2784" s="325" t="s">
        <v>10598</v>
      </c>
      <c r="G2784" s="326">
        <v>45687</v>
      </c>
      <c r="H2784" s="324" t="s">
        <v>10643</v>
      </c>
      <c r="I2784" s="327"/>
      <c r="J2784" s="324" t="s">
        <v>10644</v>
      </c>
      <c r="K2784" s="337"/>
      <c r="L2784" s="324" t="s">
        <v>364</v>
      </c>
      <c r="M2784" s="324" t="s">
        <v>364</v>
      </c>
      <c r="N2784" s="324" t="s">
        <v>364</v>
      </c>
      <c r="O2784" s="324" t="s">
        <v>364</v>
      </c>
      <c r="P2784" s="528" t="s">
        <v>10645</v>
      </c>
      <c r="Q2784" s="324" t="str">
        <f t="shared" si="67"/>
        <v/>
      </c>
      <c r="R2784" s="324">
        <f t="shared" si="68"/>
        <v>1</v>
      </c>
      <c r="S2784" s="324">
        <f t="shared" si="69"/>
        <v>1</v>
      </c>
      <c r="T2784" s="512" t="e">
        <f>_xlfn.XLOOKUP(H2784,#REF!,#REF!,0,0)</f>
        <v>#REF!</v>
      </c>
    </row>
    <row r="2785" spans="1:20" s="376" customFormat="1" ht="18.75" customHeight="1" x14ac:dyDescent="0.4">
      <c r="A2785" s="1" t="s">
        <v>10646</v>
      </c>
      <c r="B2785" s="1" t="s">
        <v>10647</v>
      </c>
      <c r="C2785" s="1" t="s">
        <v>433</v>
      </c>
      <c r="D2785" s="1" t="s">
        <v>9084</v>
      </c>
      <c r="E2785" s="370" t="s">
        <v>10</v>
      </c>
      <c r="F2785" s="1" t="s">
        <v>436</v>
      </c>
      <c r="G2785" s="2">
        <v>45566</v>
      </c>
      <c r="H2785" s="1" t="s">
        <v>10648</v>
      </c>
      <c r="I2785" s="1">
        <v>76812</v>
      </c>
      <c r="J2785" s="1" t="s">
        <v>10649</v>
      </c>
      <c r="K2785" s="1"/>
      <c r="L2785" s="1" t="s">
        <v>364</v>
      </c>
      <c r="M2785" s="1" t="s">
        <v>364</v>
      </c>
      <c r="N2785" s="1" t="s">
        <v>364</v>
      </c>
      <c r="O2785" s="1"/>
      <c r="P2785" s="293" t="s">
        <v>10650</v>
      </c>
      <c r="Q2785" s="1" t="str">
        <f>IF(A2785="SCORTA 10",1,"")</f>
        <v/>
      </c>
      <c r="R2785" s="1">
        <f t="shared" ref="R2785:S2788" si="70">IF(H2785&lt;&gt;"",1,"")</f>
        <v>1</v>
      </c>
      <c r="S2785" s="1">
        <f t="shared" si="70"/>
        <v>1</v>
      </c>
      <c r="T2785" s="512" t="e">
        <f>_xlfn.XLOOKUP(H2785,#REF!,#REF!,0,0)</f>
        <v>#REF!</v>
      </c>
    </row>
    <row r="2786" spans="1:20" s="376" customFormat="1" ht="18.75" customHeight="1" x14ac:dyDescent="0.4">
      <c r="A2786" s="1" t="s">
        <v>10651</v>
      </c>
      <c r="B2786" s="1" t="s">
        <v>10652</v>
      </c>
      <c r="C2786" s="1" t="s">
        <v>433</v>
      </c>
      <c r="D2786" s="1" t="s">
        <v>9084</v>
      </c>
      <c r="E2786" s="370" t="s">
        <v>10</v>
      </c>
      <c r="F2786" s="1" t="s">
        <v>436</v>
      </c>
      <c r="G2786" s="2">
        <v>45566</v>
      </c>
      <c r="H2786" s="1" t="s">
        <v>10653</v>
      </c>
      <c r="I2786" s="1">
        <v>76813</v>
      </c>
      <c r="J2786" s="1" t="s">
        <v>10654</v>
      </c>
      <c r="K2786" s="1"/>
      <c r="L2786" s="1" t="s">
        <v>364</v>
      </c>
      <c r="M2786" s="1" t="s">
        <v>364</v>
      </c>
      <c r="N2786" s="1" t="s">
        <v>364</v>
      </c>
      <c r="O2786" s="1"/>
      <c r="P2786" s="293" t="s">
        <v>10650</v>
      </c>
      <c r="Q2786" s="1" t="str">
        <f>IF(A2786="SCORTA 10",1,"")</f>
        <v/>
      </c>
      <c r="R2786" s="1">
        <f t="shared" si="70"/>
        <v>1</v>
      </c>
      <c r="S2786" s="1">
        <f t="shared" si="70"/>
        <v>1</v>
      </c>
      <c r="T2786" s="512" t="e">
        <f>_xlfn.XLOOKUP(H2786,#REF!,#REF!,0,0)</f>
        <v>#REF!</v>
      </c>
    </row>
    <row r="2787" spans="1:20" s="376" customFormat="1" ht="18.75" customHeight="1" x14ac:dyDescent="0.4">
      <c r="A2787" s="1" t="s">
        <v>10655</v>
      </c>
      <c r="B2787" s="1" t="s">
        <v>10656</v>
      </c>
      <c r="C2787" s="1" t="s">
        <v>433</v>
      </c>
      <c r="D2787" s="1" t="s">
        <v>9084</v>
      </c>
      <c r="E2787" s="370" t="s">
        <v>10</v>
      </c>
      <c r="F2787" s="1" t="s">
        <v>436</v>
      </c>
      <c r="G2787" s="2">
        <v>45566</v>
      </c>
      <c r="H2787" s="1" t="s">
        <v>10657</v>
      </c>
      <c r="I2787" s="1">
        <v>76814</v>
      </c>
      <c r="J2787" s="1" t="s">
        <v>10658</v>
      </c>
      <c r="K2787" s="1"/>
      <c r="L2787" s="1" t="s">
        <v>364</v>
      </c>
      <c r="M2787" s="1" t="s">
        <v>364</v>
      </c>
      <c r="N2787" s="1" t="s">
        <v>364</v>
      </c>
      <c r="O2787" s="1"/>
      <c r="P2787" s="293" t="s">
        <v>10650</v>
      </c>
      <c r="Q2787" s="1" t="str">
        <f>IF(A2787="SCORTA 10",1,"")</f>
        <v/>
      </c>
      <c r="R2787" s="1">
        <f t="shared" si="70"/>
        <v>1</v>
      </c>
      <c r="S2787" s="1">
        <f t="shared" si="70"/>
        <v>1</v>
      </c>
      <c r="T2787" s="512" t="e">
        <f>_xlfn.XLOOKUP(H2787,#REF!,#REF!,0,0)</f>
        <v>#REF!</v>
      </c>
    </row>
    <row r="2788" spans="1:20" s="376" customFormat="1" x14ac:dyDescent="0.4">
      <c r="A2788" s="371" t="s">
        <v>10659</v>
      </c>
      <c r="B2788" s="1" t="s">
        <v>10660</v>
      </c>
      <c r="C2788" s="371" t="s">
        <v>433</v>
      </c>
      <c r="D2788" s="371" t="s">
        <v>447</v>
      </c>
      <c r="E2788" s="1" t="s">
        <v>10</v>
      </c>
      <c r="F2788" s="1" t="s">
        <v>436</v>
      </c>
      <c r="G2788" s="2">
        <v>45566</v>
      </c>
      <c r="H2788" s="1" t="s">
        <v>10661</v>
      </c>
      <c r="I2788" s="1">
        <v>76822</v>
      </c>
      <c r="J2788" s="1" t="s">
        <v>10662</v>
      </c>
      <c r="K2788" s="1"/>
      <c r="L2788" s="1" t="s">
        <v>364</v>
      </c>
      <c r="M2788" s="1" t="s">
        <v>364</v>
      </c>
      <c r="N2788" s="1" t="s">
        <v>364</v>
      </c>
      <c r="O2788" s="1" t="s">
        <v>364</v>
      </c>
      <c r="P2788" s="293" t="s">
        <v>10663</v>
      </c>
      <c r="Q2788" s="1" t="str">
        <f>IF(A2788="SCORTA 10",1,"")</f>
        <v/>
      </c>
      <c r="R2788" s="1">
        <f t="shared" si="70"/>
        <v>1</v>
      </c>
      <c r="S2788" s="1">
        <f t="shared" si="70"/>
        <v>1</v>
      </c>
      <c r="T2788" s="512" t="e">
        <f>_xlfn.XLOOKUP(H2788,#REF!,#REF!,0,0)</f>
        <v>#REF!</v>
      </c>
    </row>
    <row r="2789" spans="1:20" s="328" customFormat="1" x14ac:dyDescent="0.4">
      <c r="A2789" s="324" t="s">
        <v>10664</v>
      </c>
      <c r="B2789" s="324" t="s">
        <v>10330</v>
      </c>
      <c r="C2789" s="324" t="s">
        <v>433</v>
      </c>
      <c r="D2789" s="324" t="s">
        <v>447</v>
      </c>
      <c r="E2789" s="324" t="s">
        <v>10</v>
      </c>
      <c r="F2789" s="325" t="s">
        <v>10665</v>
      </c>
      <c r="G2789" s="326"/>
      <c r="H2789" s="324" t="s">
        <v>10666</v>
      </c>
      <c r="I2789" s="327"/>
      <c r="J2789" s="324" t="s">
        <v>10667</v>
      </c>
      <c r="K2789" s="337"/>
      <c r="L2789" s="324"/>
      <c r="M2789" s="324"/>
      <c r="N2789" s="324"/>
      <c r="O2789" s="324"/>
      <c r="P2789" s="528" t="s">
        <v>10614</v>
      </c>
      <c r="Q2789" s="324" t="str">
        <f>IF(AND(C2789="Priorità/stagisti/Scorta"),1,"")</f>
        <v/>
      </c>
      <c r="R2789" s="324">
        <f>IF(AND(C2789&lt;&gt;"Priorità/Stagisti/Scorta",C2789&lt;&gt;""),1,"")</f>
        <v>1</v>
      </c>
      <c r="S2789" s="324">
        <f>IF(AND(D2789&lt;&gt;"Priorità/Stagisti/Scorta",D2789&lt;&gt;""),1,"")</f>
        <v>1</v>
      </c>
      <c r="T2789" s="512" t="e">
        <f>_xlfn.XLOOKUP(H2789,#REF!,#REF!,0,0)</f>
        <v>#REF!</v>
      </c>
    </row>
    <row r="2790" spans="1:20" s="328" customFormat="1" x14ac:dyDescent="0.4">
      <c r="A2790" s="324" t="s">
        <v>10668</v>
      </c>
      <c r="B2790" s="324" t="s">
        <v>10330</v>
      </c>
      <c r="C2790" s="324" t="s">
        <v>433</v>
      </c>
      <c r="D2790" s="324" t="s">
        <v>447</v>
      </c>
      <c r="E2790" s="324" t="s">
        <v>10</v>
      </c>
      <c r="F2790" s="325" t="s">
        <v>10665</v>
      </c>
      <c r="G2790" s="326"/>
      <c r="H2790" s="324" t="s">
        <v>10669</v>
      </c>
      <c r="I2790" s="327"/>
      <c r="J2790" s="324" t="s">
        <v>10670</v>
      </c>
      <c r="K2790" s="337"/>
      <c r="L2790" s="324"/>
      <c r="M2790" s="324"/>
      <c r="N2790" s="324"/>
      <c r="O2790" s="324"/>
      <c r="P2790" s="528" t="s">
        <v>10614</v>
      </c>
      <c r="Q2790" s="324" t="str">
        <f>IF(AND(C2790="Priorità/stagisti/Scorta"),1,"")</f>
        <v/>
      </c>
      <c r="R2790" s="324">
        <f>IF(AND(C2790&lt;&gt;"Priorità/Stagisti/Scorta",C2790&lt;&gt;""),1,"")</f>
        <v>1</v>
      </c>
      <c r="S2790" s="324">
        <f>IF(AND(D2790&lt;&gt;"Priorità/Stagisti/Scorta",D2790&lt;&gt;""),1,"")</f>
        <v>1</v>
      </c>
      <c r="T2790" s="512" t="e">
        <f>_xlfn.XLOOKUP(H2790,#REF!,#REF!,0,0)</f>
        <v>#REF!</v>
      </c>
    </row>
    <row r="2791" spans="1:20" s="286" customFormat="1" x14ac:dyDescent="0.4">
      <c r="A2791" s="2" t="s">
        <v>10671</v>
      </c>
      <c r="B2791" s="2" t="s">
        <v>10672</v>
      </c>
      <c r="C2791" s="2" t="s">
        <v>433</v>
      </c>
      <c r="D2791" s="2" t="s">
        <v>9084</v>
      </c>
      <c r="E2791" s="2" t="s">
        <v>366</v>
      </c>
      <c r="F2791" s="2" t="s">
        <v>367</v>
      </c>
      <c r="G2791" s="2">
        <v>45566</v>
      </c>
      <c r="H2791" s="2" t="s">
        <v>10673</v>
      </c>
      <c r="I2791" s="281">
        <v>76865</v>
      </c>
      <c r="J2791" s="2" t="s">
        <v>10674</v>
      </c>
      <c r="K2791" s="2" t="s">
        <v>10675</v>
      </c>
      <c r="L2791" s="2" t="s">
        <v>364</v>
      </c>
      <c r="M2791" s="2"/>
      <c r="N2791" s="2"/>
      <c r="O2791" s="2"/>
      <c r="P2791" s="524"/>
      <c r="Q2791" s="281" t="str">
        <f t="shared" ref="Q2791:Q2796" si="71">IF(A2791="SCORTA 10",1,"")</f>
        <v/>
      </c>
      <c r="R2791" s="1">
        <f t="shared" ref="R2791:R2796" si="72">IF(H2791&lt;&gt;"",1,"")</f>
        <v>1</v>
      </c>
      <c r="S2791" s="1">
        <f t="shared" ref="S2791:S2796" si="73">IF(I2791&lt;&gt;"",1,"")</f>
        <v>1</v>
      </c>
      <c r="T2791" s="512" t="e">
        <f>_xlfn.XLOOKUP(H2791,#REF!,#REF!,0,0)</f>
        <v>#REF!</v>
      </c>
    </row>
    <row r="2792" spans="1:20" s="376" customFormat="1" ht="18.75" customHeight="1" x14ac:dyDescent="0.4">
      <c r="A2792" s="1" t="s">
        <v>10676</v>
      </c>
      <c r="B2792" s="1" t="s">
        <v>10677</v>
      </c>
      <c r="C2792" s="1" t="s">
        <v>433</v>
      </c>
      <c r="D2792" s="1" t="s">
        <v>9084</v>
      </c>
      <c r="E2792" s="1" t="s">
        <v>10</v>
      </c>
      <c r="F2792" s="1" t="s">
        <v>436</v>
      </c>
      <c r="G2792" s="2">
        <v>45566</v>
      </c>
      <c r="H2792" s="1" t="s">
        <v>10678</v>
      </c>
      <c r="I2792" s="1">
        <v>76831</v>
      </c>
      <c r="J2792" s="1" t="s">
        <v>10679</v>
      </c>
      <c r="K2792" s="1" t="s">
        <v>10680</v>
      </c>
      <c r="L2792" s="1" t="s">
        <v>364</v>
      </c>
      <c r="M2792" s="1" t="s">
        <v>364</v>
      </c>
      <c r="N2792" s="1" t="s">
        <v>364</v>
      </c>
      <c r="O2792" s="1" t="s">
        <v>364</v>
      </c>
      <c r="P2792" s="293" t="s">
        <v>10681</v>
      </c>
      <c r="Q2792" s="1" t="str">
        <f t="shared" si="71"/>
        <v/>
      </c>
      <c r="R2792" s="1">
        <f t="shared" si="72"/>
        <v>1</v>
      </c>
      <c r="S2792" s="1">
        <f t="shared" si="73"/>
        <v>1</v>
      </c>
      <c r="T2792" s="512" t="e">
        <f>_xlfn.XLOOKUP(H2792,#REF!,#REF!,0,0)</f>
        <v>#REF!</v>
      </c>
    </row>
    <row r="2793" spans="1:20" s="286" customFormat="1" x14ac:dyDescent="0.4">
      <c r="A2793" s="2" t="s">
        <v>10682</v>
      </c>
      <c r="B2793" s="2" t="s">
        <v>10683</v>
      </c>
      <c r="C2793" s="2" t="s">
        <v>433</v>
      </c>
      <c r="D2793" s="2" t="s">
        <v>9084</v>
      </c>
      <c r="E2793" s="2" t="s">
        <v>366</v>
      </c>
      <c r="F2793" s="2" t="s">
        <v>367</v>
      </c>
      <c r="G2793" s="2">
        <v>45566</v>
      </c>
      <c r="H2793" s="2" t="s">
        <v>10684</v>
      </c>
      <c r="I2793" s="281">
        <v>76861</v>
      </c>
      <c r="J2793" s="2" t="s">
        <v>10685</v>
      </c>
      <c r="K2793" s="2" t="s">
        <v>10686</v>
      </c>
      <c r="L2793" s="2" t="s">
        <v>364</v>
      </c>
      <c r="M2793" s="2"/>
      <c r="N2793" s="2"/>
      <c r="O2793" s="2"/>
      <c r="P2793" s="524" t="s">
        <v>10687</v>
      </c>
      <c r="Q2793" s="281" t="str">
        <f t="shared" si="71"/>
        <v/>
      </c>
      <c r="R2793" s="1">
        <f t="shared" si="72"/>
        <v>1</v>
      </c>
      <c r="S2793" s="1">
        <f t="shared" si="73"/>
        <v>1</v>
      </c>
      <c r="T2793" s="512" t="e">
        <f>_xlfn.XLOOKUP(H2793,#REF!,#REF!,0,0)</f>
        <v>#REF!</v>
      </c>
    </row>
    <row r="2794" spans="1:20" s="286" customFormat="1" x14ac:dyDescent="0.4">
      <c r="A2794" s="2" t="s">
        <v>10688</v>
      </c>
      <c r="B2794" s="2" t="s">
        <v>10689</v>
      </c>
      <c r="C2794" s="2" t="s">
        <v>433</v>
      </c>
      <c r="D2794" s="2" t="s">
        <v>9084</v>
      </c>
      <c r="E2794" s="2" t="s">
        <v>366</v>
      </c>
      <c r="F2794" s="2" t="s">
        <v>367</v>
      </c>
      <c r="G2794" s="2">
        <v>45566</v>
      </c>
      <c r="H2794" s="2" t="s">
        <v>10690</v>
      </c>
      <c r="I2794" s="281">
        <v>76864</v>
      </c>
      <c r="J2794" s="2" t="s">
        <v>10691</v>
      </c>
      <c r="K2794" s="2" t="s">
        <v>10692</v>
      </c>
      <c r="L2794" s="2" t="s">
        <v>364</v>
      </c>
      <c r="M2794" s="2" t="s">
        <v>364</v>
      </c>
      <c r="N2794" s="2" t="s">
        <v>364</v>
      </c>
      <c r="O2794" s="2" t="s">
        <v>364</v>
      </c>
      <c r="P2794" s="524"/>
      <c r="Q2794" s="281" t="str">
        <f t="shared" si="71"/>
        <v/>
      </c>
      <c r="R2794" s="1">
        <f t="shared" si="72"/>
        <v>1</v>
      </c>
      <c r="S2794" s="1">
        <f t="shared" si="73"/>
        <v>1</v>
      </c>
      <c r="T2794" s="512" t="e">
        <f>_xlfn.XLOOKUP(H2794,#REF!,#REF!,0,0)</f>
        <v>#REF!</v>
      </c>
    </row>
    <row r="2795" spans="1:20" s="286" customFormat="1" x14ac:dyDescent="0.4">
      <c r="A2795" s="2" t="s">
        <v>10693</v>
      </c>
      <c r="B2795" s="2" t="s">
        <v>10694</v>
      </c>
      <c r="C2795" s="2" t="s">
        <v>433</v>
      </c>
      <c r="D2795" s="2" t="s">
        <v>9084</v>
      </c>
      <c r="E2795" s="2" t="s">
        <v>366</v>
      </c>
      <c r="F2795" s="2" t="s">
        <v>367</v>
      </c>
      <c r="G2795" s="2">
        <v>45566</v>
      </c>
      <c r="H2795" s="2" t="s">
        <v>10695</v>
      </c>
      <c r="I2795" s="281">
        <v>76862</v>
      </c>
      <c r="J2795" s="2" t="s">
        <v>10696</v>
      </c>
      <c r="K2795" s="2" t="s">
        <v>10697</v>
      </c>
      <c r="L2795" s="2" t="s">
        <v>364</v>
      </c>
      <c r="M2795" s="2"/>
      <c r="N2795" s="2"/>
      <c r="O2795" s="2"/>
      <c r="P2795" s="524" t="s">
        <v>10698</v>
      </c>
      <c r="Q2795" s="281" t="str">
        <f t="shared" si="71"/>
        <v/>
      </c>
      <c r="R2795" s="1">
        <f t="shared" si="72"/>
        <v>1</v>
      </c>
      <c r="S2795" s="1">
        <f t="shared" si="73"/>
        <v>1</v>
      </c>
      <c r="T2795" s="512" t="e">
        <f>_xlfn.XLOOKUP(H2795,#REF!,#REF!,0,0)</f>
        <v>#REF!</v>
      </c>
    </row>
    <row r="2796" spans="1:20" s="376" customFormat="1" ht="18.75" customHeight="1" x14ac:dyDescent="0.4">
      <c r="A2796" s="1" t="s">
        <v>10699</v>
      </c>
      <c r="B2796" s="532" t="s">
        <v>10700</v>
      </c>
      <c r="C2796" s="1" t="s">
        <v>433</v>
      </c>
      <c r="D2796" s="1" t="s">
        <v>9084</v>
      </c>
      <c r="E2796" s="1" t="s">
        <v>10</v>
      </c>
      <c r="F2796" s="1" t="s">
        <v>436</v>
      </c>
      <c r="G2796" s="2">
        <v>45566</v>
      </c>
      <c r="H2796" s="1" t="s">
        <v>10701</v>
      </c>
      <c r="I2796" s="1">
        <v>76830</v>
      </c>
      <c r="J2796" s="1" t="s">
        <v>10702</v>
      </c>
      <c r="K2796" s="2">
        <v>45888</v>
      </c>
      <c r="L2796" s="1" t="s">
        <v>364</v>
      </c>
      <c r="M2796" s="1" t="s">
        <v>364</v>
      </c>
      <c r="N2796" s="1" t="s">
        <v>364</v>
      </c>
      <c r="O2796" s="1" t="s">
        <v>364</v>
      </c>
      <c r="P2796" s="293" t="s">
        <v>10703</v>
      </c>
      <c r="Q2796" s="1" t="str">
        <f t="shared" si="71"/>
        <v/>
      </c>
      <c r="R2796" s="1">
        <f t="shared" si="72"/>
        <v>1</v>
      </c>
      <c r="S2796" s="1">
        <f t="shared" si="73"/>
        <v>1</v>
      </c>
      <c r="T2796" s="512" t="e">
        <f>_xlfn.XLOOKUP(H2796,#REF!,#REF!,0,0)</f>
        <v>#REF!</v>
      </c>
    </row>
    <row r="2797" spans="1:20" s="286" customFormat="1" x14ac:dyDescent="0.4">
      <c r="A2797" s="2" t="s">
        <v>10704</v>
      </c>
      <c r="B2797" s="2" t="s">
        <v>10705</v>
      </c>
      <c r="C2797" s="2" t="s">
        <v>433</v>
      </c>
      <c r="D2797" s="324" t="s">
        <v>447</v>
      </c>
      <c r="E2797" s="2" t="s">
        <v>366</v>
      </c>
      <c r="F2797" s="2" t="s">
        <v>367</v>
      </c>
      <c r="G2797" s="2">
        <v>45566</v>
      </c>
      <c r="H2797" s="2" t="s">
        <v>479</v>
      </c>
      <c r="I2797" s="281">
        <v>76870</v>
      </c>
      <c r="J2797" s="2" t="s">
        <v>10706</v>
      </c>
      <c r="K2797" s="2"/>
      <c r="L2797" s="1" t="s">
        <v>364</v>
      </c>
      <c r="M2797" s="1" t="s">
        <v>364</v>
      </c>
      <c r="N2797" s="1" t="s">
        <v>364</v>
      </c>
      <c r="O2797" s="1" t="s">
        <v>364</v>
      </c>
      <c r="P2797" s="524"/>
      <c r="Q2797" s="281" t="str">
        <f t="shared" ref="Q2797:Q2804" si="74">IF(A2797="SCORTA 10",1,"")</f>
        <v/>
      </c>
      <c r="R2797" s="1">
        <v>1</v>
      </c>
      <c r="S2797" s="1">
        <v>1</v>
      </c>
      <c r="T2797" s="512" t="e">
        <f>_xlfn.XLOOKUP(H2797,#REF!,#REF!,0,0)</f>
        <v>#REF!</v>
      </c>
    </row>
    <row r="2798" spans="1:20" s="286" customFormat="1" x14ac:dyDescent="0.4">
      <c r="A2798" s="2" t="s">
        <v>10707</v>
      </c>
      <c r="B2798" s="2" t="s">
        <v>10708</v>
      </c>
      <c r="C2798" s="2" t="s">
        <v>433</v>
      </c>
      <c r="D2798" s="2" t="s">
        <v>9084</v>
      </c>
      <c r="E2798" s="2" t="s">
        <v>366</v>
      </c>
      <c r="F2798" s="2" t="s">
        <v>367</v>
      </c>
      <c r="G2798" s="2">
        <v>45566</v>
      </c>
      <c r="H2798" s="2" t="s">
        <v>10709</v>
      </c>
      <c r="I2798" s="281">
        <v>76869</v>
      </c>
      <c r="J2798" s="2" t="s">
        <v>10710</v>
      </c>
      <c r="K2798" s="2"/>
      <c r="L2798" s="2"/>
      <c r="M2798" s="2"/>
      <c r="N2798" s="2"/>
      <c r="O2798" s="2"/>
      <c r="P2798" s="524"/>
      <c r="Q2798" s="281" t="str">
        <f t="shared" si="74"/>
        <v/>
      </c>
      <c r="R2798" s="1">
        <v>1</v>
      </c>
      <c r="S2798" s="1">
        <v>1</v>
      </c>
      <c r="T2798" s="512" t="e">
        <f>_xlfn.XLOOKUP(H2798,#REF!,#REF!,0,0)</f>
        <v>#REF!</v>
      </c>
    </row>
    <row r="2799" spans="1:20" s="286" customFormat="1" x14ac:dyDescent="0.4">
      <c r="A2799" s="2" t="s">
        <v>10711</v>
      </c>
      <c r="B2799" s="2" t="s">
        <v>10712</v>
      </c>
      <c r="C2799" s="2" t="s">
        <v>433</v>
      </c>
      <c r="D2799" s="2" t="s">
        <v>9084</v>
      </c>
      <c r="E2799" s="2" t="s">
        <v>366</v>
      </c>
      <c r="F2799" s="2" t="s">
        <v>367</v>
      </c>
      <c r="G2799" s="2">
        <v>45566</v>
      </c>
      <c r="H2799" s="2" t="s">
        <v>10713</v>
      </c>
      <c r="I2799" s="281">
        <v>76871</v>
      </c>
      <c r="J2799" s="2" t="s">
        <v>10714</v>
      </c>
      <c r="K2799" s="2"/>
      <c r="L2799" s="2"/>
      <c r="M2799" s="2"/>
      <c r="N2799" s="2"/>
      <c r="O2799" s="2"/>
      <c r="P2799" s="524"/>
      <c r="Q2799" s="281" t="str">
        <f t="shared" si="74"/>
        <v/>
      </c>
      <c r="R2799" s="1">
        <v>1</v>
      </c>
      <c r="S2799" s="1">
        <v>1</v>
      </c>
      <c r="T2799" s="512" t="e">
        <f>_xlfn.XLOOKUP(H2799,#REF!,#REF!,0,0)</f>
        <v>#REF!</v>
      </c>
    </row>
    <row r="2800" spans="1:20" s="376" customFormat="1" ht="18.75" customHeight="1" x14ac:dyDescent="0.4">
      <c r="A2800" s="1" t="s">
        <v>10715</v>
      </c>
      <c r="B2800" s="1" t="s">
        <v>10716</v>
      </c>
      <c r="C2800" s="1" t="s">
        <v>433</v>
      </c>
      <c r="D2800" s="1" t="s">
        <v>9084</v>
      </c>
      <c r="E2800" s="1" t="s">
        <v>10</v>
      </c>
      <c r="F2800" s="1" t="s">
        <v>436</v>
      </c>
      <c r="G2800" s="2">
        <v>45566</v>
      </c>
      <c r="H2800" s="1" t="s">
        <v>10717</v>
      </c>
      <c r="I2800" s="1">
        <v>76829</v>
      </c>
      <c r="J2800" s="1" t="s">
        <v>10718</v>
      </c>
      <c r="K2800" s="291" t="s">
        <v>10719</v>
      </c>
      <c r="L2800" s="1" t="s">
        <v>364</v>
      </c>
      <c r="M2800" s="1" t="s">
        <v>364</v>
      </c>
      <c r="N2800" s="1" t="s">
        <v>364</v>
      </c>
      <c r="O2800" s="1" t="s">
        <v>364</v>
      </c>
      <c r="P2800" s="293" t="s">
        <v>10720</v>
      </c>
      <c r="Q2800" s="1" t="str">
        <f t="shared" si="74"/>
        <v/>
      </c>
      <c r="R2800" s="1">
        <f t="shared" ref="R2800:S2804" si="75">IF(H2800&lt;&gt;"",1,"")</f>
        <v>1</v>
      </c>
      <c r="S2800" s="1">
        <f t="shared" si="75"/>
        <v>1</v>
      </c>
      <c r="T2800" s="512" t="e">
        <f>_xlfn.XLOOKUP(H2800,#REF!,#REF!,0,0)</f>
        <v>#REF!</v>
      </c>
    </row>
    <row r="2801" spans="1:20" s="286" customFormat="1" x14ac:dyDescent="0.4">
      <c r="A2801" s="2" t="s">
        <v>10721</v>
      </c>
      <c r="B2801" s="2" t="s">
        <v>10722</v>
      </c>
      <c r="C2801" s="2" t="s">
        <v>433</v>
      </c>
      <c r="D2801" s="2" t="s">
        <v>9084</v>
      </c>
      <c r="E2801" s="2" t="s">
        <v>366</v>
      </c>
      <c r="F2801" s="2" t="s">
        <v>367</v>
      </c>
      <c r="G2801" s="2">
        <v>45566</v>
      </c>
      <c r="H2801" s="2" t="s">
        <v>10723</v>
      </c>
      <c r="I2801" s="281">
        <v>76860</v>
      </c>
      <c r="J2801" s="2" t="s">
        <v>10724</v>
      </c>
      <c r="K2801" s="2" t="s">
        <v>10725</v>
      </c>
      <c r="L2801" s="2" t="s">
        <v>364</v>
      </c>
      <c r="M2801" s="2" t="s">
        <v>364</v>
      </c>
      <c r="N2801" s="2" t="s">
        <v>364</v>
      </c>
      <c r="O2801" s="2" t="s">
        <v>364</v>
      </c>
      <c r="P2801" s="524" t="s">
        <v>10726</v>
      </c>
      <c r="Q2801" s="281" t="str">
        <f t="shared" si="74"/>
        <v/>
      </c>
      <c r="R2801" s="1">
        <f t="shared" si="75"/>
        <v>1</v>
      </c>
      <c r="S2801" s="1">
        <f t="shared" si="75"/>
        <v>1</v>
      </c>
      <c r="T2801" s="512" t="e">
        <f>_xlfn.XLOOKUP(H2801,#REF!,#REF!,0,0)</f>
        <v>#REF!</v>
      </c>
    </row>
    <row r="2802" spans="1:20" s="286" customFormat="1" x14ac:dyDescent="0.4">
      <c r="A2802" s="2" t="s">
        <v>10727</v>
      </c>
      <c r="B2802" s="2" t="s">
        <v>10728</v>
      </c>
      <c r="C2802" s="2" t="s">
        <v>433</v>
      </c>
      <c r="D2802" s="2" t="s">
        <v>9084</v>
      </c>
      <c r="E2802" s="2" t="s">
        <v>366</v>
      </c>
      <c r="F2802" s="2" t="s">
        <v>367</v>
      </c>
      <c r="G2802" s="2">
        <v>45566</v>
      </c>
      <c r="H2802" s="2" t="s">
        <v>10729</v>
      </c>
      <c r="I2802" s="281">
        <v>76863</v>
      </c>
      <c r="J2802" s="2" t="s">
        <v>10730</v>
      </c>
      <c r="K2802" s="2" t="s">
        <v>10731</v>
      </c>
      <c r="L2802" s="2" t="s">
        <v>364</v>
      </c>
      <c r="M2802" s="2" t="s">
        <v>364</v>
      </c>
      <c r="N2802" s="2" t="s">
        <v>364</v>
      </c>
      <c r="O2802" s="2" t="s">
        <v>364</v>
      </c>
      <c r="P2802" s="524" t="s">
        <v>10732</v>
      </c>
      <c r="Q2802" s="281" t="str">
        <f t="shared" si="74"/>
        <v/>
      </c>
      <c r="R2802" s="1">
        <f t="shared" si="75"/>
        <v>1</v>
      </c>
      <c r="S2802" s="1">
        <f t="shared" si="75"/>
        <v>1</v>
      </c>
      <c r="T2802" s="512" t="e">
        <f>_xlfn.XLOOKUP(H2802,#REF!,#REF!,0,0)</f>
        <v>#REF!</v>
      </c>
    </row>
    <row r="2803" spans="1:20" s="376" customFormat="1" ht="18.75" customHeight="1" x14ac:dyDescent="0.4">
      <c r="A2803" s="1" t="s">
        <v>10733</v>
      </c>
      <c r="B2803" s="1" t="s">
        <v>10734</v>
      </c>
      <c r="C2803" s="1" t="s">
        <v>433</v>
      </c>
      <c r="D2803" s="1" t="s">
        <v>9084</v>
      </c>
      <c r="E2803" s="1" t="s">
        <v>10</v>
      </c>
      <c r="F2803" s="1" t="s">
        <v>436</v>
      </c>
      <c r="G2803" s="2">
        <v>45566</v>
      </c>
      <c r="H2803" s="1" t="s">
        <v>10735</v>
      </c>
      <c r="I2803" s="1">
        <v>76823</v>
      </c>
      <c r="J2803" s="1" t="s">
        <v>10736</v>
      </c>
      <c r="K2803" s="1" t="s">
        <v>10737</v>
      </c>
      <c r="L2803" s="1" t="s">
        <v>364</v>
      </c>
      <c r="M2803" s="1" t="s">
        <v>364</v>
      </c>
      <c r="N2803" s="1" t="s">
        <v>364</v>
      </c>
      <c r="O2803" s="1" t="s">
        <v>364</v>
      </c>
      <c r="P2803" s="293" t="s">
        <v>10738</v>
      </c>
      <c r="Q2803" s="1" t="str">
        <f t="shared" si="74"/>
        <v/>
      </c>
      <c r="R2803" s="1">
        <f t="shared" si="75"/>
        <v>1</v>
      </c>
      <c r="S2803" s="1">
        <f t="shared" si="75"/>
        <v>1</v>
      </c>
      <c r="T2803" s="512" t="e">
        <f>_xlfn.XLOOKUP(H2803,#REF!,#REF!,0,0)</f>
        <v>#REF!</v>
      </c>
    </row>
    <row r="2804" spans="1:20" s="286" customFormat="1" x14ac:dyDescent="0.4">
      <c r="A2804" s="2" t="s">
        <v>10739</v>
      </c>
      <c r="B2804" s="2" t="s">
        <v>10740</v>
      </c>
      <c r="C2804" s="2" t="s">
        <v>433</v>
      </c>
      <c r="D2804" s="2" t="s">
        <v>447</v>
      </c>
      <c r="E2804" s="2" t="s">
        <v>366</v>
      </c>
      <c r="F2804" s="2" t="s">
        <v>367</v>
      </c>
      <c r="G2804" s="2">
        <v>45566</v>
      </c>
      <c r="H2804" s="2" t="s">
        <v>10741</v>
      </c>
      <c r="I2804" s="281">
        <v>76858</v>
      </c>
      <c r="J2804" s="2" t="s">
        <v>10742</v>
      </c>
      <c r="K2804" s="2" t="s">
        <v>10743</v>
      </c>
      <c r="L2804" s="2" t="s">
        <v>364</v>
      </c>
      <c r="M2804" s="2" t="s">
        <v>364</v>
      </c>
      <c r="N2804" s="2" t="s">
        <v>364</v>
      </c>
      <c r="O2804" s="2" t="s">
        <v>364</v>
      </c>
      <c r="P2804" s="524" t="s">
        <v>10744</v>
      </c>
      <c r="Q2804" s="281" t="str">
        <f t="shared" si="74"/>
        <v/>
      </c>
      <c r="R2804" s="1">
        <f t="shared" si="75"/>
        <v>1</v>
      </c>
      <c r="S2804" s="1">
        <f t="shared" si="75"/>
        <v>1</v>
      </c>
      <c r="T2804" s="512" t="e">
        <f>_xlfn.XLOOKUP(H2804,#REF!,#REF!,0,0)</f>
        <v>#REF!</v>
      </c>
    </row>
    <row r="2805" spans="1:20" s="328" customFormat="1" x14ac:dyDescent="0.4">
      <c r="A2805" s="324" t="s">
        <v>10745</v>
      </c>
      <c r="B2805" s="522" t="s">
        <v>10746</v>
      </c>
      <c r="C2805" s="324" t="s">
        <v>434</v>
      </c>
      <c r="D2805" s="324" t="s">
        <v>9084</v>
      </c>
      <c r="E2805" s="324" t="s">
        <v>10</v>
      </c>
      <c r="F2805" s="324" t="s">
        <v>10747</v>
      </c>
      <c r="G2805" s="326"/>
      <c r="H2805" s="324" t="s">
        <v>73</v>
      </c>
      <c r="I2805" s="327">
        <v>65612</v>
      </c>
      <c r="J2805" s="324" t="s">
        <v>10748</v>
      </c>
      <c r="K2805" s="337"/>
      <c r="L2805" s="324"/>
      <c r="M2805" s="324"/>
      <c r="N2805" s="324"/>
      <c r="O2805" s="324"/>
      <c r="P2805" s="528" t="s">
        <v>10749</v>
      </c>
      <c r="Q2805" s="324"/>
      <c r="R2805" s="324">
        <v>1</v>
      </c>
      <c r="S2805" s="324">
        <v>1</v>
      </c>
      <c r="T2805" s="512" t="e">
        <f>_xlfn.XLOOKUP(H2805,#REF!,#REF!,0,0)</f>
        <v>#REF!</v>
      </c>
    </row>
    <row r="2806" spans="1:20" s="292" customFormat="1" ht="18" customHeight="1" x14ac:dyDescent="0.4">
      <c r="A2806" s="2" t="s">
        <v>10750</v>
      </c>
      <c r="B2806" s="2" t="s">
        <v>10751</v>
      </c>
      <c r="C2806" s="2" t="s">
        <v>433</v>
      </c>
      <c r="D2806" s="2" t="s">
        <v>9084</v>
      </c>
      <c r="E2806" s="2" t="s">
        <v>3785</v>
      </c>
      <c r="F2806" s="2" t="s">
        <v>437</v>
      </c>
      <c r="G2806" s="2">
        <v>45243</v>
      </c>
      <c r="H2806" s="2" t="s">
        <v>10752</v>
      </c>
      <c r="I2806" s="1">
        <v>73351</v>
      </c>
      <c r="J2806" s="2" t="s">
        <v>8865</v>
      </c>
      <c r="K2806" s="2" t="s">
        <v>10753</v>
      </c>
      <c r="L2806" s="2" t="s">
        <v>364</v>
      </c>
      <c r="M2806" s="2" t="s">
        <v>364</v>
      </c>
      <c r="N2806" s="2" t="s">
        <v>364</v>
      </c>
      <c r="O2806" s="2" t="s">
        <v>364</v>
      </c>
      <c r="P2806" s="293" t="s">
        <v>10754</v>
      </c>
      <c r="Q2806" s="1" t="str">
        <f>IF(A2806="SCORTA 10",1,"")</f>
        <v/>
      </c>
      <c r="R2806" s="1">
        <f>IF(H2806&lt;&gt;"",1,"")</f>
        <v>1</v>
      </c>
      <c r="S2806" s="1">
        <f>IF(I2806&lt;&gt;"",1,"")</f>
        <v>1</v>
      </c>
      <c r="T2806" s="512" t="e">
        <f>_xlfn.XLOOKUP(H2806,#REF!,#REF!,0,0)</f>
        <v>#REF!</v>
      </c>
    </row>
    <row r="2807" spans="1:20" s="328" customFormat="1" x14ac:dyDescent="0.4">
      <c r="A2807" s="324" t="s">
        <v>10755</v>
      </c>
      <c r="B2807" s="324" t="s">
        <v>10756</v>
      </c>
      <c r="C2807" s="324" t="s">
        <v>433</v>
      </c>
      <c r="D2807" s="324" t="s">
        <v>447</v>
      </c>
      <c r="E2807" s="324" t="s">
        <v>10</v>
      </c>
      <c r="F2807" s="324" t="s">
        <v>10757</v>
      </c>
      <c r="G2807" s="324"/>
      <c r="H2807" s="324" t="s">
        <v>10758</v>
      </c>
      <c r="I2807" s="324">
        <v>71642</v>
      </c>
      <c r="J2807" s="324" t="s">
        <v>10759</v>
      </c>
      <c r="K2807" s="324"/>
      <c r="L2807" s="324" t="s">
        <v>364</v>
      </c>
      <c r="M2807" s="324" t="s">
        <v>364</v>
      </c>
      <c r="N2807" s="324" t="s">
        <v>364</v>
      </c>
      <c r="O2807" s="324" t="s">
        <v>364</v>
      </c>
      <c r="P2807" s="528" t="s">
        <v>10760</v>
      </c>
      <c r="Q2807" s="324"/>
      <c r="R2807" s="324">
        <v>1</v>
      </c>
      <c r="S2807" s="324">
        <v>1</v>
      </c>
      <c r="T2807" s="512" t="e">
        <f>_xlfn.XLOOKUP(H2807,#REF!,#REF!,0,0)</f>
        <v>#REF!</v>
      </c>
    </row>
    <row r="2808" spans="1:20" s="328" customFormat="1" x14ac:dyDescent="0.4">
      <c r="A2808" s="324" t="s">
        <v>10761</v>
      </c>
      <c r="B2808" s="324" t="s">
        <v>10756</v>
      </c>
      <c r="C2808" s="324" t="s">
        <v>433</v>
      </c>
      <c r="D2808" s="324" t="s">
        <v>447</v>
      </c>
      <c r="E2808" s="324" t="s">
        <v>10</v>
      </c>
      <c r="F2808" s="324" t="s">
        <v>10757</v>
      </c>
      <c r="G2808" s="324"/>
      <c r="H2808" s="324" t="s">
        <v>10762</v>
      </c>
      <c r="I2808" s="324">
        <v>71644</v>
      </c>
      <c r="J2808" s="324" t="s">
        <v>10763</v>
      </c>
      <c r="K2808" s="324"/>
      <c r="L2808" s="324" t="s">
        <v>364</v>
      </c>
      <c r="M2808" s="324" t="s">
        <v>364</v>
      </c>
      <c r="N2808" s="324" t="s">
        <v>364</v>
      </c>
      <c r="O2808" s="324" t="s">
        <v>364</v>
      </c>
      <c r="P2808" s="528" t="s">
        <v>10760</v>
      </c>
      <c r="Q2808" s="324"/>
      <c r="R2808" s="324">
        <v>1</v>
      </c>
      <c r="S2808" s="324">
        <v>1</v>
      </c>
      <c r="T2808" s="512" t="e">
        <f>_xlfn.XLOOKUP(H2808,#REF!,#REF!,0,0)</f>
        <v>#REF!</v>
      </c>
    </row>
    <row r="2809" spans="1:20" s="286" customFormat="1" x14ac:dyDescent="0.4">
      <c r="A2809" s="2" t="s">
        <v>10764</v>
      </c>
      <c r="B2809" s="2" t="s">
        <v>10765</v>
      </c>
      <c r="C2809" s="2" t="s">
        <v>433</v>
      </c>
      <c r="D2809" s="2" t="s">
        <v>9084</v>
      </c>
      <c r="E2809" s="2" t="s">
        <v>366</v>
      </c>
      <c r="F2809" s="2" t="s">
        <v>367</v>
      </c>
      <c r="G2809" s="2">
        <v>45566</v>
      </c>
      <c r="H2809" s="2" t="s">
        <v>10766</v>
      </c>
      <c r="I2809" s="281">
        <v>76866</v>
      </c>
      <c r="J2809" s="2" t="s">
        <v>10767</v>
      </c>
      <c r="K2809" s="2" t="s">
        <v>10768</v>
      </c>
      <c r="L2809" s="2" t="s">
        <v>364</v>
      </c>
      <c r="M2809" s="2" t="s">
        <v>364</v>
      </c>
      <c r="N2809" s="2" t="s">
        <v>364</v>
      </c>
      <c r="O2809" s="2" t="s">
        <v>364</v>
      </c>
      <c r="P2809" s="524"/>
      <c r="Q2809" s="281" t="str">
        <f>IF(A2809="SCORTA 10",1,"")</f>
        <v/>
      </c>
      <c r="R2809" s="1">
        <f t="shared" ref="R2809:S2811" si="76">IF(H2809&lt;&gt;"",1,"")</f>
        <v>1</v>
      </c>
      <c r="S2809" s="1">
        <f t="shared" si="76"/>
        <v>1</v>
      </c>
      <c r="T2809" s="512" t="e">
        <f>_xlfn.XLOOKUP(H2809,#REF!,#REF!,0,0)</f>
        <v>#REF!</v>
      </c>
    </row>
    <row r="2810" spans="1:20" s="286" customFormat="1" x14ac:dyDescent="0.4">
      <c r="A2810" s="2" t="s">
        <v>10769</v>
      </c>
      <c r="B2810" s="2" t="s">
        <v>10770</v>
      </c>
      <c r="C2810" s="2" t="s">
        <v>433</v>
      </c>
      <c r="D2810" s="2" t="s">
        <v>9084</v>
      </c>
      <c r="E2810" s="2" t="s">
        <v>366</v>
      </c>
      <c r="F2810" s="2" t="s">
        <v>367</v>
      </c>
      <c r="G2810" s="2">
        <v>45566</v>
      </c>
      <c r="H2810" s="2" t="s">
        <v>10771</v>
      </c>
      <c r="I2810" s="281">
        <v>76364</v>
      </c>
      <c r="J2810" s="2" t="s">
        <v>10276</v>
      </c>
      <c r="K2810" s="2" t="s">
        <v>10772</v>
      </c>
      <c r="L2810" s="2" t="s">
        <v>364</v>
      </c>
      <c r="M2810" s="2" t="s">
        <v>364</v>
      </c>
      <c r="N2810" s="2" t="s">
        <v>364</v>
      </c>
      <c r="O2810" s="2" t="s">
        <v>364</v>
      </c>
      <c r="P2810" s="524" t="s">
        <v>10773</v>
      </c>
      <c r="Q2810" s="281" t="str">
        <f>IF(A2810="SCORTA 10",1,"")</f>
        <v/>
      </c>
      <c r="R2810" s="1">
        <f t="shared" si="76"/>
        <v>1</v>
      </c>
      <c r="S2810" s="1">
        <f t="shared" si="76"/>
        <v>1</v>
      </c>
      <c r="T2810" s="512" t="e">
        <f>_xlfn.XLOOKUP(H2810,#REF!,#REF!,0,0)</f>
        <v>#REF!</v>
      </c>
    </row>
    <row r="2811" spans="1:20" s="376" customFormat="1" ht="18.75" customHeight="1" x14ac:dyDescent="0.4">
      <c r="A2811" s="1" t="s">
        <v>10774</v>
      </c>
      <c r="B2811" s="1" t="s">
        <v>10775</v>
      </c>
      <c r="C2811" s="1" t="s">
        <v>433</v>
      </c>
      <c r="D2811" s="1" t="s">
        <v>9084</v>
      </c>
      <c r="E2811" s="370" t="s">
        <v>10</v>
      </c>
      <c r="F2811" s="1" t="s">
        <v>436</v>
      </c>
      <c r="G2811" s="2">
        <v>45566</v>
      </c>
      <c r="H2811" s="1" t="s">
        <v>10776</v>
      </c>
      <c r="I2811" s="1">
        <v>76796</v>
      </c>
      <c r="J2811" s="1" t="s">
        <v>10777</v>
      </c>
      <c r="K2811" s="338">
        <v>45720.354166666664</v>
      </c>
      <c r="L2811" s="1" t="s">
        <v>364</v>
      </c>
      <c r="M2811" s="1" t="s">
        <v>364</v>
      </c>
      <c r="N2811" s="1" t="s">
        <v>364</v>
      </c>
      <c r="O2811" s="1" t="s">
        <v>364</v>
      </c>
      <c r="P2811" s="293" t="s">
        <v>10778</v>
      </c>
      <c r="Q2811" s="1" t="str">
        <f>IF(A2811="SCORTA 10",1,"")</f>
        <v/>
      </c>
      <c r="R2811" s="1">
        <f t="shared" si="76"/>
        <v>1</v>
      </c>
      <c r="S2811" s="1">
        <f t="shared" si="76"/>
        <v>1</v>
      </c>
      <c r="T2811" s="512" t="e">
        <f>_xlfn.XLOOKUP(H2811,#REF!,#REF!,0,0)</f>
        <v>#REF!</v>
      </c>
    </row>
    <row r="2812" spans="1:20" s="286" customFormat="1" x14ac:dyDescent="0.4">
      <c r="A2812" s="2" t="s">
        <v>10779</v>
      </c>
      <c r="B2812" s="2" t="s">
        <v>10780</v>
      </c>
      <c r="C2812" s="2" t="s">
        <v>433</v>
      </c>
      <c r="D2812" s="2" t="s">
        <v>9084</v>
      </c>
      <c r="E2812" s="2" t="s">
        <v>366</v>
      </c>
      <c r="F2812" s="2" t="s">
        <v>367</v>
      </c>
      <c r="G2812" s="2">
        <v>45566</v>
      </c>
      <c r="H2812" s="2" t="s">
        <v>10781</v>
      </c>
      <c r="I2812" s="281">
        <v>76867</v>
      </c>
      <c r="J2812" s="2" t="s">
        <v>10782</v>
      </c>
      <c r="K2812" s="2" t="s">
        <v>10783</v>
      </c>
      <c r="L2812" s="2" t="s">
        <v>364</v>
      </c>
      <c r="M2812" s="2" t="s">
        <v>364</v>
      </c>
      <c r="N2812" s="2" t="s">
        <v>364</v>
      </c>
      <c r="O2812" s="2" t="s">
        <v>364</v>
      </c>
      <c r="P2812" s="524" t="s">
        <v>10784</v>
      </c>
      <c r="Q2812" s="281" t="str">
        <f>IF(A2812="SCORTA 10",1,"")</f>
        <v/>
      </c>
      <c r="R2812" s="1">
        <v>1</v>
      </c>
      <c r="S2812" s="1">
        <v>1</v>
      </c>
      <c r="T2812" s="512" t="e">
        <f>_xlfn.XLOOKUP(H2812,#REF!,#REF!,0,0)</f>
        <v>#REF!</v>
      </c>
    </row>
    <row r="2813" spans="1:20" s="328" customFormat="1" x14ac:dyDescent="0.4">
      <c r="A2813" s="324" t="s">
        <v>10785</v>
      </c>
      <c r="B2813" s="522" t="s">
        <v>10786</v>
      </c>
      <c r="C2813" s="324" t="s">
        <v>433</v>
      </c>
      <c r="D2813" s="324" t="s">
        <v>447</v>
      </c>
      <c r="E2813" s="324" t="s">
        <v>10</v>
      </c>
      <c r="F2813" s="324" t="s">
        <v>244</v>
      </c>
      <c r="G2813" s="326"/>
      <c r="H2813" s="324" t="s">
        <v>10787</v>
      </c>
      <c r="I2813" s="327">
        <v>72274</v>
      </c>
      <c r="J2813" s="324"/>
      <c r="K2813" s="337"/>
      <c r="L2813" s="324" t="s">
        <v>364</v>
      </c>
      <c r="M2813" s="324" t="s">
        <v>364</v>
      </c>
      <c r="N2813" s="324" t="s">
        <v>364</v>
      </c>
      <c r="O2813" s="324" t="s">
        <v>364</v>
      </c>
      <c r="P2813" s="528" t="s">
        <v>10788</v>
      </c>
      <c r="Q2813" s="324"/>
      <c r="R2813" s="324">
        <v>1</v>
      </c>
      <c r="S2813" s="324">
        <v>1</v>
      </c>
      <c r="T2813" s="512" t="e">
        <f>_xlfn.XLOOKUP(H2813,#REF!,#REF!,0,0)</f>
        <v>#REF!</v>
      </c>
    </row>
    <row r="2814" spans="1:20" s="376" customFormat="1" x14ac:dyDescent="0.4">
      <c r="A2814" s="1" t="s">
        <v>10789</v>
      </c>
      <c r="B2814" s="1" t="s">
        <v>10790</v>
      </c>
      <c r="C2814" s="1" t="s">
        <v>433</v>
      </c>
      <c r="D2814" s="1" t="s">
        <v>9084</v>
      </c>
      <c r="E2814" s="370" t="s">
        <v>10</v>
      </c>
      <c r="F2814" s="1" t="s">
        <v>436</v>
      </c>
      <c r="G2814" s="2">
        <v>45566</v>
      </c>
      <c r="H2814" s="1" t="s">
        <v>10791</v>
      </c>
      <c r="I2814" s="1">
        <v>76817</v>
      </c>
      <c r="J2814" s="1" t="s">
        <v>10792</v>
      </c>
      <c r="K2814" s="1" t="s">
        <v>10793</v>
      </c>
      <c r="L2814" s="1" t="s">
        <v>364</v>
      </c>
      <c r="M2814" s="1" t="s">
        <v>364</v>
      </c>
      <c r="N2814" s="1" t="s">
        <v>364</v>
      </c>
      <c r="O2814" s="1" t="s">
        <v>364</v>
      </c>
      <c r="P2814" s="293" t="s">
        <v>10794</v>
      </c>
      <c r="Q2814" s="1" t="str">
        <f>IF(A2814="SCORTA 10",1,"")</f>
        <v/>
      </c>
      <c r="R2814" s="1">
        <f>IF(H2814&lt;&gt;"",1,"")</f>
        <v>1</v>
      </c>
      <c r="S2814" s="1">
        <f>IF(I2814&lt;&gt;"",1,"")</f>
        <v>1</v>
      </c>
      <c r="T2814" s="512" t="e">
        <f>_xlfn.XLOOKUP(H2814,#REF!,#REF!,0,0)</f>
        <v>#REF!</v>
      </c>
    </row>
    <row r="2815" spans="1:20" s="286" customFormat="1" x14ac:dyDescent="0.4">
      <c r="A2815" s="2" t="s">
        <v>10795</v>
      </c>
      <c r="B2815" s="2" t="s">
        <v>10796</v>
      </c>
      <c r="C2815" s="2" t="s">
        <v>433</v>
      </c>
      <c r="D2815" s="2" t="s">
        <v>9084</v>
      </c>
      <c r="E2815" s="2" t="s">
        <v>366</v>
      </c>
      <c r="F2815" s="2" t="s">
        <v>367</v>
      </c>
      <c r="G2815" s="2">
        <v>45673</v>
      </c>
      <c r="H2815" s="2" t="s">
        <v>10797</v>
      </c>
      <c r="I2815" s="281">
        <v>77540</v>
      </c>
      <c r="J2815" s="2" t="s">
        <v>10798</v>
      </c>
      <c r="K2815" s="2"/>
      <c r="L2815" s="2"/>
      <c r="M2815" s="2"/>
      <c r="N2815" s="2"/>
      <c r="O2815" s="2"/>
      <c r="P2815" s="524"/>
      <c r="Q2815" s="281" t="str">
        <f>IF(A2815="SCORTA 10",1,"")</f>
        <v/>
      </c>
      <c r="R2815" s="1">
        <v>1</v>
      </c>
      <c r="S2815" s="1">
        <v>1</v>
      </c>
      <c r="T2815" s="512" t="e">
        <f>_xlfn.XLOOKUP(H2815,#REF!,#REF!,0,0)</f>
        <v>#REF!</v>
      </c>
    </row>
    <row r="2816" spans="1:20" s="286" customFormat="1" x14ac:dyDescent="0.4">
      <c r="A2816" s="2" t="s">
        <v>10799</v>
      </c>
      <c r="B2816" s="2" t="s">
        <v>10800</v>
      </c>
      <c r="C2816" s="2" t="s">
        <v>433</v>
      </c>
      <c r="D2816" s="2" t="s">
        <v>9084</v>
      </c>
      <c r="E2816" s="2" t="s">
        <v>366</v>
      </c>
      <c r="F2816" s="2" t="s">
        <v>367</v>
      </c>
      <c r="G2816" s="2">
        <v>45673</v>
      </c>
      <c r="H2816" s="2" t="s">
        <v>10801</v>
      </c>
      <c r="I2816" s="281">
        <v>77537</v>
      </c>
      <c r="J2816" s="2" t="s">
        <v>10802</v>
      </c>
      <c r="K2816" s="2" t="s">
        <v>10803</v>
      </c>
      <c r="L2816" s="2" t="s">
        <v>364</v>
      </c>
      <c r="M2816" s="2" t="s">
        <v>364</v>
      </c>
      <c r="N2816" s="2" t="s">
        <v>364</v>
      </c>
      <c r="O2816" s="2" t="s">
        <v>364</v>
      </c>
      <c r="P2816" s="524"/>
      <c r="Q2816" s="281" t="str">
        <f>IF(A2816="SCORTA 10",1,"")</f>
        <v/>
      </c>
      <c r="R2816" s="1">
        <v>1</v>
      </c>
      <c r="S2816" s="1">
        <v>1</v>
      </c>
      <c r="T2816" s="512" t="e">
        <f>_xlfn.XLOOKUP(H2816,#REF!,#REF!,0,0)</f>
        <v>#REF!</v>
      </c>
    </row>
    <row r="2817" spans="1:20" s="286" customFormat="1" x14ac:dyDescent="0.4">
      <c r="A2817" s="2" t="s">
        <v>10804</v>
      </c>
      <c r="B2817" s="2" t="s">
        <v>10805</v>
      </c>
      <c r="C2817" s="2" t="s">
        <v>433</v>
      </c>
      <c r="D2817" s="2" t="s">
        <v>9084</v>
      </c>
      <c r="E2817" s="2" t="s">
        <v>366</v>
      </c>
      <c r="F2817" s="2" t="s">
        <v>367</v>
      </c>
      <c r="G2817" s="2">
        <v>45673</v>
      </c>
      <c r="H2817" s="2" t="s">
        <v>10806</v>
      </c>
      <c r="I2817" s="281">
        <v>77545</v>
      </c>
      <c r="J2817" s="2" t="s">
        <v>10807</v>
      </c>
      <c r="K2817" s="2" t="s">
        <v>10808</v>
      </c>
      <c r="L2817" s="2" t="s">
        <v>364</v>
      </c>
      <c r="M2817" s="2" t="s">
        <v>364</v>
      </c>
      <c r="N2817" s="2" t="s">
        <v>364</v>
      </c>
      <c r="O2817" s="2" t="s">
        <v>364</v>
      </c>
      <c r="P2817" s="524"/>
      <c r="Q2817" s="281" t="str">
        <f>IF(A2817="SCORTA 10",1,"")</f>
        <v/>
      </c>
      <c r="R2817" s="1">
        <v>1</v>
      </c>
      <c r="S2817" s="1">
        <v>1</v>
      </c>
      <c r="T2817" s="512" t="e">
        <f>_xlfn.XLOOKUP(H2817,#REF!,#REF!,0,0)</f>
        <v>#REF!</v>
      </c>
    </row>
    <row r="2818" spans="1:20" s="286" customFormat="1" x14ac:dyDescent="0.4">
      <c r="A2818" s="2" t="s">
        <v>10809</v>
      </c>
      <c r="B2818" s="2" t="s">
        <v>10810</v>
      </c>
      <c r="C2818" s="2" t="s">
        <v>433</v>
      </c>
      <c r="D2818" s="2" t="s">
        <v>9084</v>
      </c>
      <c r="E2818" s="2" t="s">
        <v>366</v>
      </c>
      <c r="F2818" s="2" t="s">
        <v>367</v>
      </c>
      <c r="G2818" s="2">
        <v>45673</v>
      </c>
      <c r="H2818" s="2" t="s">
        <v>10811</v>
      </c>
      <c r="I2818" s="281">
        <v>77547</v>
      </c>
      <c r="J2818" s="2" t="s">
        <v>10812</v>
      </c>
      <c r="K2818" s="2" t="s">
        <v>10813</v>
      </c>
      <c r="L2818" s="2" t="s">
        <v>364</v>
      </c>
      <c r="M2818" s="2" t="s">
        <v>364</v>
      </c>
      <c r="N2818" s="2" t="s">
        <v>364</v>
      </c>
      <c r="O2818" s="2" t="s">
        <v>364</v>
      </c>
      <c r="P2818" s="524"/>
      <c r="Q2818" s="281" t="str">
        <f>IF(A2818="SCORTA 10",1,"")</f>
        <v/>
      </c>
      <c r="R2818" s="1">
        <v>1</v>
      </c>
      <c r="S2818" s="1">
        <v>1</v>
      </c>
      <c r="T2818" s="512" t="e">
        <f>_xlfn.XLOOKUP(H2818,#REF!,#REF!,0,0)</f>
        <v>#REF!</v>
      </c>
    </row>
    <row r="2819" spans="1:20" s="328" customFormat="1" x14ac:dyDescent="0.4">
      <c r="A2819" s="324" t="s">
        <v>10814</v>
      </c>
      <c r="B2819" s="522" t="s">
        <v>10786</v>
      </c>
      <c r="C2819" s="324" t="s">
        <v>433</v>
      </c>
      <c r="D2819" s="324" t="s">
        <v>447</v>
      </c>
      <c r="E2819" s="324" t="s">
        <v>10</v>
      </c>
      <c r="F2819" s="324" t="s">
        <v>244</v>
      </c>
      <c r="G2819" s="326"/>
      <c r="H2819" s="324" t="s">
        <v>10815</v>
      </c>
      <c r="I2819" s="327">
        <v>71759</v>
      </c>
      <c r="J2819" s="324"/>
      <c r="K2819" s="337"/>
      <c r="L2819" s="324" t="s">
        <v>364</v>
      </c>
      <c r="M2819" s="324"/>
      <c r="N2819" s="324"/>
      <c r="O2819" s="324"/>
      <c r="P2819" s="528" t="s">
        <v>10788</v>
      </c>
      <c r="Q2819" s="324"/>
      <c r="R2819" s="324">
        <v>1</v>
      </c>
      <c r="S2819" s="324">
        <v>1</v>
      </c>
      <c r="T2819" s="512" t="e">
        <f>_xlfn.XLOOKUP(H2819,#REF!,#REF!,0,0)</f>
        <v>#REF!</v>
      </c>
    </row>
    <row r="2820" spans="1:20" s="286" customFormat="1" x14ac:dyDescent="0.4">
      <c r="A2820" s="2" t="s">
        <v>10816</v>
      </c>
      <c r="B2820" s="2" t="s">
        <v>10817</v>
      </c>
      <c r="C2820" s="2" t="s">
        <v>433</v>
      </c>
      <c r="D2820" s="2" t="s">
        <v>9084</v>
      </c>
      <c r="E2820" s="2" t="s">
        <v>366</v>
      </c>
      <c r="F2820" s="2" t="s">
        <v>367</v>
      </c>
      <c r="G2820" s="2">
        <v>45673</v>
      </c>
      <c r="H2820" s="2" t="s">
        <v>486</v>
      </c>
      <c r="I2820" s="281">
        <v>77539</v>
      </c>
      <c r="J2820" s="2" t="s">
        <v>10818</v>
      </c>
      <c r="K2820" s="2" t="s">
        <v>10819</v>
      </c>
      <c r="L2820" s="2" t="s">
        <v>364</v>
      </c>
      <c r="M2820" s="2" t="s">
        <v>364</v>
      </c>
      <c r="N2820" s="2" t="s">
        <v>364</v>
      </c>
      <c r="O2820" s="2" t="s">
        <v>364</v>
      </c>
      <c r="P2820" s="524"/>
      <c r="Q2820" s="281" t="str">
        <f>IF(A2820="SCORTA 10",1,"")</f>
        <v/>
      </c>
      <c r="R2820" s="1">
        <v>1</v>
      </c>
      <c r="S2820" s="1">
        <v>1</v>
      </c>
      <c r="T2820" s="512" t="e">
        <f>_xlfn.XLOOKUP(H2820,#REF!,#REF!,0,0)</f>
        <v>#REF!</v>
      </c>
    </row>
    <row r="2821" spans="1:20" s="286" customFormat="1" x14ac:dyDescent="0.4">
      <c r="A2821" s="2" t="s">
        <v>10820</v>
      </c>
      <c r="B2821" s="2" t="s">
        <v>10821</v>
      </c>
      <c r="C2821" s="2" t="s">
        <v>433</v>
      </c>
      <c r="D2821" s="2" t="s">
        <v>9084</v>
      </c>
      <c r="E2821" s="2" t="s">
        <v>366</v>
      </c>
      <c r="F2821" s="2" t="s">
        <v>367</v>
      </c>
      <c r="G2821" s="2">
        <v>45673</v>
      </c>
      <c r="H2821" s="2" t="s">
        <v>10822</v>
      </c>
      <c r="I2821" s="281">
        <v>77548</v>
      </c>
      <c r="J2821" s="2" t="s">
        <v>10823</v>
      </c>
      <c r="K2821" s="2" t="s">
        <v>10824</v>
      </c>
      <c r="L2821" s="2" t="s">
        <v>364</v>
      </c>
      <c r="M2821" s="2" t="s">
        <v>364</v>
      </c>
      <c r="N2821" s="2" t="s">
        <v>364</v>
      </c>
      <c r="O2821" s="2" t="s">
        <v>364</v>
      </c>
      <c r="P2821" s="524"/>
      <c r="Q2821" s="281" t="str">
        <f>IF(A2821="SCORTA 10",1,"")</f>
        <v/>
      </c>
      <c r="R2821" s="1">
        <v>1</v>
      </c>
      <c r="S2821" s="1">
        <v>1</v>
      </c>
      <c r="T2821" s="512" t="e">
        <f>_xlfn.XLOOKUP(H2821,#REF!,#REF!,0,0)</f>
        <v>#REF!</v>
      </c>
    </row>
    <row r="2822" spans="1:20" s="286" customFormat="1" x14ac:dyDescent="0.4">
      <c r="A2822" s="2" t="s">
        <v>10825</v>
      </c>
      <c r="B2822" s="2" t="s">
        <v>10826</v>
      </c>
      <c r="C2822" s="2" t="s">
        <v>433</v>
      </c>
      <c r="D2822" s="2" t="s">
        <v>9084</v>
      </c>
      <c r="E2822" s="2" t="s">
        <v>366</v>
      </c>
      <c r="F2822" s="2" t="s">
        <v>367</v>
      </c>
      <c r="G2822" s="2">
        <v>45673</v>
      </c>
      <c r="H2822" s="2" t="s">
        <v>10827</v>
      </c>
      <c r="I2822" s="281">
        <v>77557</v>
      </c>
      <c r="J2822" s="2" t="s">
        <v>10828</v>
      </c>
      <c r="K2822" s="2">
        <v>45728</v>
      </c>
      <c r="L2822" s="2" t="s">
        <v>364</v>
      </c>
      <c r="M2822" s="2" t="s">
        <v>364</v>
      </c>
      <c r="N2822" s="2" t="s">
        <v>364</v>
      </c>
      <c r="O2822" s="2" t="s">
        <v>364</v>
      </c>
      <c r="P2822" s="524"/>
      <c r="Q2822" s="281" t="str">
        <f>IF('Completati dal 2014'!A2826="SCORTA 10",1,"")</f>
        <v/>
      </c>
      <c r="R2822" s="1">
        <v>1</v>
      </c>
      <c r="S2822" s="1">
        <v>1</v>
      </c>
      <c r="T2822" s="512" t="e">
        <f>_xlfn.XLOOKUP(H2822,#REF!,#REF!,0,0)</f>
        <v>#REF!</v>
      </c>
    </row>
    <row r="2823" spans="1:20" s="328" customFormat="1" x14ac:dyDescent="0.4">
      <c r="A2823" s="324" t="s">
        <v>10829</v>
      </c>
      <c r="B2823" s="522" t="s">
        <v>10830</v>
      </c>
      <c r="C2823" s="324" t="s">
        <v>434</v>
      </c>
      <c r="D2823" s="324" t="s">
        <v>9084</v>
      </c>
      <c r="E2823" s="324"/>
      <c r="F2823" s="324"/>
      <c r="G2823" s="326"/>
      <c r="H2823" s="324" t="s">
        <v>249</v>
      </c>
      <c r="I2823" s="327">
        <v>70444</v>
      </c>
      <c r="J2823" s="324" t="s">
        <v>10831</v>
      </c>
      <c r="K2823" s="337"/>
      <c r="L2823" s="324"/>
      <c r="M2823" s="324"/>
      <c r="N2823" s="324"/>
      <c r="O2823" s="324"/>
      <c r="P2823" s="528"/>
      <c r="Q2823" s="324"/>
      <c r="R2823" s="324">
        <v>1</v>
      </c>
      <c r="S2823" s="324">
        <v>1</v>
      </c>
      <c r="T2823" s="512" t="e">
        <f>_xlfn.XLOOKUP(H2823,#REF!,#REF!,0,0)</f>
        <v>#REF!</v>
      </c>
    </row>
    <row r="2824" spans="1:20" s="286" customFormat="1" x14ac:dyDescent="0.4">
      <c r="A2824" s="2" t="s">
        <v>10832</v>
      </c>
      <c r="B2824" s="2" t="s">
        <v>10833</v>
      </c>
      <c r="C2824" s="2" t="s">
        <v>433</v>
      </c>
      <c r="D2824" s="2" t="s">
        <v>9084</v>
      </c>
      <c r="E2824" s="2" t="s">
        <v>366</v>
      </c>
      <c r="F2824" s="2" t="s">
        <v>367</v>
      </c>
      <c r="G2824" s="2">
        <v>45673</v>
      </c>
      <c r="H2824" s="2" t="s">
        <v>10834</v>
      </c>
      <c r="I2824" s="281">
        <v>77550</v>
      </c>
      <c r="J2824" s="2" t="s">
        <v>10835</v>
      </c>
      <c r="K2824" s="2" t="s">
        <v>10836</v>
      </c>
      <c r="L2824" s="2" t="s">
        <v>364</v>
      </c>
      <c r="M2824" s="2" t="s">
        <v>364</v>
      </c>
      <c r="N2824" s="2" t="s">
        <v>364</v>
      </c>
      <c r="O2824" s="2" t="s">
        <v>364</v>
      </c>
      <c r="P2824" s="524" t="s">
        <v>10837</v>
      </c>
      <c r="Q2824" s="281" t="str">
        <f>IF(A2824="SCORTA 10",1,"")</f>
        <v/>
      </c>
      <c r="R2824" s="1">
        <v>1</v>
      </c>
      <c r="S2824" s="1">
        <v>1</v>
      </c>
      <c r="T2824" s="512" t="e">
        <f>_xlfn.XLOOKUP(H2824,#REF!,#REF!,0,0)</f>
        <v>#REF!</v>
      </c>
    </row>
    <row r="2825" spans="1:20" s="286" customFormat="1" x14ac:dyDescent="0.4">
      <c r="A2825" s="2" t="s">
        <v>10838</v>
      </c>
      <c r="B2825" s="2" t="s">
        <v>10839</v>
      </c>
      <c r="C2825" s="2" t="s">
        <v>433</v>
      </c>
      <c r="D2825" s="2" t="s">
        <v>9084</v>
      </c>
      <c r="E2825" s="2" t="s">
        <v>366</v>
      </c>
      <c r="F2825" s="2" t="s">
        <v>367</v>
      </c>
      <c r="G2825" s="2">
        <v>45673</v>
      </c>
      <c r="H2825" s="2" t="s">
        <v>10840</v>
      </c>
      <c r="I2825" s="281">
        <v>77556</v>
      </c>
      <c r="J2825" s="2" t="s">
        <v>10841</v>
      </c>
      <c r="K2825" s="2" t="s">
        <v>10842</v>
      </c>
      <c r="L2825" s="2" t="s">
        <v>364</v>
      </c>
      <c r="M2825" s="2" t="s">
        <v>364</v>
      </c>
      <c r="N2825" s="2" t="s">
        <v>364</v>
      </c>
      <c r="O2825" s="2" t="s">
        <v>364</v>
      </c>
      <c r="P2825" s="524" t="s">
        <v>7518</v>
      </c>
      <c r="Q2825" s="281" t="str">
        <f>IF('Completati dal 2014'!A2839="SCORTA 10",1,"")</f>
        <v/>
      </c>
      <c r="R2825" s="1">
        <v>1</v>
      </c>
      <c r="S2825" s="1">
        <v>1</v>
      </c>
      <c r="T2825" s="512" t="e">
        <f>_xlfn.XLOOKUP(H2825,#REF!,#REF!,0,0)</f>
        <v>#REF!</v>
      </c>
    </row>
    <row r="2826" spans="1:20" s="286" customFormat="1" x14ac:dyDescent="0.4">
      <c r="A2826" s="2" t="s">
        <v>10843</v>
      </c>
      <c r="B2826" s="2" t="s">
        <v>10844</v>
      </c>
      <c r="C2826" s="2" t="s">
        <v>433</v>
      </c>
      <c r="D2826" s="2" t="s">
        <v>9084</v>
      </c>
      <c r="E2826" s="2" t="s">
        <v>366</v>
      </c>
      <c r="F2826" s="2" t="s">
        <v>367</v>
      </c>
      <c r="G2826" s="2">
        <v>45673</v>
      </c>
      <c r="H2826" s="2" t="s">
        <v>10845</v>
      </c>
      <c r="I2826" s="281">
        <v>77552</v>
      </c>
      <c r="J2826" s="2" t="s">
        <v>10846</v>
      </c>
      <c r="K2826" s="2" t="s">
        <v>10847</v>
      </c>
      <c r="L2826" s="2" t="s">
        <v>364</v>
      </c>
      <c r="M2826" s="2" t="s">
        <v>364</v>
      </c>
      <c r="N2826" s="2" t="s">
        <v>364</v>
      </c>
      <c r="O2826" s="2" t="s">
        <v>364</v>
      </c>
      <c r="P2826" s="524" t="s">
        <v>10848</v>
      </c>
      <c r="Q2826" s="281" t="str">
        <f>IF('Completati dal 2014'!A2818="SCORTA 10",1,"")</f>
        <v/>
      </c>
      <c r="R2826" s="1">
        <v>1</v>
      </c>
      <c r="S2826" s="1">
        <v>1</v>
      </c>
      <c r="T2826" s="512" t="e">
        <f>_xlfn.XLOOKUP(H2826,#REF!,#REF!,0,0)</f>
        <v>#REF!</v>
      </c>
    </row>
    <row r="2827" spans="1:20" s="286" customFormat="1" x14ac:dyDescent="0.4">
      <c r="A2827" s="2" t="s">
        <v>10849</v>
      </c>
      <c r="B2827" s="2" t="s">
        <v>10850</v>
      </c>
      <c r="C2827" s="2" t="s">
        <v>433</v>
      </c>
      <c r="D2827" s="2" t="s">
        <v>9084</v>
      </c>
      <c r="E2827" s="2" t="s">
        <v>366</v>
      </c>
      <c r="F2827" s="2" t="s">
        <v>367</v>
      </c>
      <c r="G2827" s="2">
        <v>45673</v>
      </c>
      <c r="H2827" s="2" t="s">
        <v>10851</v>
      </c>
      <c r="I2827" s="281">
        <v>77554</v>
      </c>
      <c r="J2827" s="2" t="s">
        <v>10852</v>
      </c>
      <c r="K2827" s="2" t="s">
        <v>10853</v>
      </c>
      <c r="L2827" s="2" t="s">
        <v>364</v>
      </c>
      <c r="M2827" s="2" t="s">
        <v>364</v>
      </c>
      <c r="N2827" s="2" t="s">
        <v>364</v>
      </c>
      <c r="O2827" s="2" t="s">
        <v>364</v>
      </c>
      <c r="P2827" s="524" t="s">
        <v>10854</v>
      </c>
      <c r="Q2827" s="281" t="str">
        <f>IF('Completati dal 2014'!A2834="SCORTA 10",1,"")</f>
        <v/>
      </c>
      <c r="R2827" s="1">
        <v>1</v>
      </c>
      <c r="S2827" s="1">
        <v>1</v>
      </c>
      <c r="T2827" s="512" t="e">
        <f>_xlfn.XLOOKUP(H2827,#REF!,#REF!,0,0)</f>
        <v>#REF!</v>
      </c>
    </row>
    <row r="2828" spans="1:20" s="286" customFormat="1" x14ac:dyDescent="0.4">
      <c r="A2828" s="2" t="s">
        <v>10855</v>
      </c>
      <c r="B2828" s="2" t="s">
        <v>10856</v>
      </c>
      <c r="C2828" s="2" t="s">
        <v>433</v>
      </c>
      <c r="D2828" s="2" t="s">
        <v>9084</v>
      </c>
      <c r="E2828" s="2" t="s">
        <v>366</v>
      </c>
      <c r="F2828" s="2" t="s">
        <v>367</v>
      </c>
      <c r="G2828" s="2">
        <v>45673</v>
      </c>
      <c r="H2828" s="2" t="s">
        <v>10857</v>
      </c>
      <c r="I2828" s="281">
        <v>77541</v>
      </c>
      <c r="J2828" s="2" t="s">
        <v>10858</v>
      </c>
      <c r="K2828" s="2" t="s">
        <v>10859</v>
      </c>
      <c r="L2828" s="2" t="s">
        <v>364</v>
      </c>
      <c r="M2828" s="2"/>
      <c r="N2828" s="2"/>
      <c r="O2828" s="2"/>
      <c r="P2828" s="524" t="s">
        <v>10860</v>
      </c>
      <c r="Q2828" s="281" t="str">
        <f>IF(A2828="SCORTA 10",1,"")</f>
        <v/>
      </c>
      <c r="R2828" s="1">
        <v>1</v>
      </c>
      <c r="S2828" s="1">
        <v>1</v>
      </c>
      <c r="T2828" s="512" t="e">
        <f>_xlfn.XLOOKUP(H2828,#REF!,#REF!,0,0)</f>
        <v>#REF!</v>
      </c>
    </row>
    <row r="2829" spans="1:20" s="286" customFormat="1" x14ac:dyDescent="0.4">
      <c r="A2829" s="2" t="s">
        <v>10861</v>
      </c>
      <c r="B2829" s="2" t="s">
        <v>10862</v>
      </c>
      <c r="C2829" s="2" t="s">
        <v>433</v>
      </c>
      <c r="D2829" s="2" t="s">
        <v>8127</v>
      </c>
      <c r="E2829" s="2" t="s">
        <v>366</v>
      </c>
      <c r="F2829" s="2" t="s">
        <v>367</v>
      </c>
      <c r="G2829" s="2">
        <v>45673</v>
      </c>
      <c r="H2829" s="2" t="s">
        <v>10863</v>
      </c>
      <c r="I2829" s="281">
        <v>77555</v>
      </c>
      <c r="J2829" s="2" t="s">
        <v>10864</v>
      </c>
      <c r="K2829" s="2" t="s">
        <v>10865</v>
      </c>
      <c r="L2829" s="2" t="s">
        <v>364</v>
      </c>
      <c r="M2829" s="2" t="s">
        <v>364</v>
      </c>
      <c r="N2829" s="2" t="s">
        <v>364</v>
      </c>
      <c r="O2829" s="2" t="s">
        <v>364</v>
      </c>
      <c r="P2829" s="524" t="s">
        <v>10866</v>
      </c>
      <c r="Q2829" s="281" t="str">
        <f>IF('Completati dal 2014'!A2824="SCORTA 10",1,"")</f>
        <v/>
      </c>
      <c r="R2829" s="1">
        <v>1</v>
      </c>
      <c r="S2829" s="1">
        <v>1</v>
      </c>
      <c r="T2829" s="512" t="e">
        <f>_xlfn.XLOOKUP(H2829,#REF!,#REF!,0,0)</f>
        <v>#REF!</v>
      </c>
    </row>
    <row r="2830" spans="1:20" s="286" customFormat="1" x14ac:dyDescent="0.4">
      <c r="A2830" s="2" t="s">
        <v>10867</v>
      </c>
      <c r="B2830" s="2" t="s">
        <v>10868</v>
      </c>
      <c r="C2830" s="2" t="s">
        <v>433</v>
      </c>
      <c r="D2830" s="2" t="s">
        <v>9084</v>
      </c>
      <c r="E2830" s="2" t="s">
        <v>366</v>
      </c>
      <c r="F2830" s="2" t="s">
        <v>367</v>
      </c>
      <c r="G2830" s="2">
        <v>45673</v>
      </c>
      <c r="H2830" s="2" t="s">
        <v>10869</v>
      </c>
      <c r="I2830" s="281">
        <v>77542</v>
      </c>
      <c r="J2830" s="2" t="s">
        <v>10870</v>
      </c>
      <c r="K2830" s="2" t="s">
        <v>10871</v>
      </c>
      <c r="L2830" s="2" t="s">
        <v>364</v>
      </c>
      <c r="M2830" s="2" t="s">
        <v>364</v>
      </c>
      <c r="N2830" s="2" t="s">
        <v>364</v>
      </c>
      <c r="O2830" s="2" t="s">
        <v>364</v>
      </c>
      <c r="P2830" s="524" t="s">
        <v>10872</v>
      </c>
      <c r="Q2830" s="281" t="str">
        <f>IF(A2830="SCORTA 10",1,"")</f>
        <v/>
      </c>
      <c r="R2830" s="1">
        <v>1</v>
      </c>
      <c r="S2830" s="1">
        <v>1</v>
      </c>
      <c r="T2830" s="512" t="e">
        <f>_xlfn.XLOOKUP(H2830,#REF!,#REF!,0,0)</f>
        <v>#REF!</v>
      </c>
    </row>
    <row r="2831" spans="1:20" s="286" customFormat="1" x14ac:dyDescent="0.4">
      <c r="A2831" s="2" t="s">
        <v>10873</v>
      </c>
      <c r="B2831" s="2" t="s">
        <v>10874</v>
      </c>
      <c r="C2831" s="2" t="s">
        <v>433</v>
      </c>
      <c r="D2831" s="2" t="s">
        <v>9084</v>
      </c>
      <c r="E2831" s="2" t="s">
        <v>366</v>
      </c>
      <c r="F2831" s="2" t="s">
        <v>367</v>
      </c>
      <c r="G2831" s="2">
        <v>45673</v>
      </c>
      <c r="H2831" s="2" t="s">
        <v>10875</v>
      </c>
      <c r="I2831" s="281">
        <v>77544</v>
      </c>
      <c r="J2831" s="2" t="s">
        <v>10876</v>
      </c>
      <c r="K2831" s="2">
        <v>45733</v>
      </c>
      <c r="L2831" s="2" t="s">
        <v>7332</v>
      </c>
      <c r="M2831" s="2" t="s">
        <v>364</v>
      </c>
      <c r="N2831" s="2" t="s">
        <v>364</v>
      </c>
      <c r="O2831" s="2" t="s">
        <v>364</v>
      </c>
      <c r="P2831" s="524"/>
      <c r="Q2831" s="281" t="str">
        <f>IF(A2831="SCORTA 10",1,"")</f>
        <v/>
      </c>
      <c r="R2831" s="1">
        <v>1</v>
      </c>
      <c r="S2831" s="1">
        <v>1</v>
      </c>
      <c r="T2831" s="512" t="e">
        <f>_xlfn.XLOOKUP(H2831,#REF!,#REF!,0,0)</f>
        <v>#REF!</v>
      </c>
    </row>
    <row r="2832" spans="1:20" s="286" customFormat="1" x14ac:dyDescent="0.4">
      <c r="A2832" s="2" t="s">
        <v>10877</v>
      </c>
      <c r="B2832" s="2" t="s">
        <v>10878</v>
      </c>
      <c r="C2832" s="2" t="s">
        <v>433</v>
      </c>
      <c r="D2832" s="2" t="s">
        <v>9084</v>
      </c>
      <c r="E2832" s="2" t="s">
        <v>366</v>
      </c>
      <c r="F2832" s="2" t="s">
        <v>367</v>
      </c>
      <c r="G2832" s="2">
        <v>45673</v>
      </c>
      <c r="H2832" s="2" t="s">
        <v>10879</v>
      </c>
      <c r="I2832" s="281">
        <v>77546</v>
      </c>
      <c r="J2832" s="2" t="s">
        <v>10880</v>
      </c>
      <c r="K2832" s="2" t="s">
        <v>10881</v>
      </c>
      <c r="L2832" s="2" t="s">
        <v>364</v>
      </c>
      <c r="M2832" s="2" t="s">
        <v>364</v>
      </c>
      <c r="N2832" s="2" t="s">
        <v>364</v>
      </c>
      <c r="O2832" s="2" t="s">
        <v>364</v>
      </c>
      <c r="P2832" s="524" t="s">
        <v>10882</v>
      </c>
      <c r="Q2832" s="281" t="str">
        <f>IF(A2832="SCORTA 10",1,"")</f>
        <v/>
      </c>
      <c r="R2832" s="1">
        <v>1</v>
      </c>
      <c r="S2832" s="1">
        <v>1</v>
      </c>
      <c r="T2832" s="512" t="e">
        <f>_xlfn.XLOOKUP(H2832,#REF!,#REF!,0,0)</f>
        <v>#REF!</v>
      </c>
    </row>
    <row r="2833" spans="1:20" s="328" customFormat="1" x14ac:dyDescent="0.4">
      <c r="A2833" s="360" t="s">
        <v>10883</v>
      </c>
      <c r="B2833" s="525" t="s">
        <v>10884</v>
      </c>
      <c r="C2833" s="360" t="s">
        <v>433</v>
      </c>
      <c r="D2833" s="360" t="s">
        <v>447</v>
      </c>
      <c r="E2833" s="360"/>
      <c r="F2833" s="360"/>
      <c r="G2833" s="527"/>
      <c r="H2833" s="360" t="s">
        <v>10885</v>
      </c>
      <c r="I2833" s="526">
        <v>71643</v>
      </c>
      <c r="J2833" s="360" t="s">
        <v>10886</v>
      </c>
      <c r="K2833" s="364"/>
      <c r="L2833" s="360" t="s">
        <v>364</v>
      </c>
      <c r="M2833" s="360" t="s">
        <v>364</v>
      </c>
      <c r="N2833" s="360" t="s">
        <v>364</v>
      </c>
      <c r="O2833" s="360" t="s">
        <v>364</v>
      </c>
      <c r="P2833" s="546"/>
      <c r="Q2833" s="360"/>
      <c r="R2833" s="360">
        <v>1</v>
      </c>
      <c r="S2833" s="360">
        <v>1</v>
      </c>
      <c r="T2833" s="512" t="e">
        <f>_xlfn.XLOOKUP(H2833,#REF!,#REF!,0,0)</f>
        <v>#REF!</v>
      </c>
    </row>
    <row r="2834" spans="1:20" s="286" customFormat="1" x14ac:dyDescent="0.4">
      <c r="A2834" s="2" t="s">
        <v>10887</v>
      </c>
      <c r="B2834" s="2" t="s">
        <v>10888</v>
      </c>
      <c r="C2834" s="2" t="s">
        <v>433</v>
      </c>
      <c r="D2834" s="2" t="s">
        <v>9084</v>
      </c>
      <c r="E2834" s="2" t="s">
        <v>366</v>
      </c>
      <c r="F2834" s="2" t="s">
        <v>367</v>
      </c>
      <c r="G2834" s="2">
        <v>45673</v>
      </c>
      <c r="H2834" s="2" t="s">
        <v>488</v>
      </c>
      <c r="I2834" s="281">
        <v>77549</v>
      </c>
      <c r="J2834" s="2" t="s">
        <v>10889</v>
      </c>
      <c r="K2834" s="2" t="s">
        <v>10890</v>
      </c>
      <c r="L2834" s="2" t="s">
        <v>364</v>
      </c>
      <c r="M2834" s="2" t="s">
        <v>364</v>
      </c>
      <c r="N2834" s="2" t="s">
        <v>364</v>
      </c>
      <c r="O2834" s="2" t="s">
        <v>364</v>
      </c>
      <c r="P2834" s="524" t="s">
        <v>10848</v>
      </c>
      <c r="Q2834" s="281" t="str">
        <f>IF(A2834="SCORTA 10",1,"")</f>
        <v/>
      </c>
      <c r="R2834" s="1">
        <v>1</v>
      </c>
      <c r="S2834" s="1">
        <v>1</v>
      </c>
      <c r="T2834" s="512" t="e">
        <f>_xlfn.XLOOKUP(H2834,#REF!,#REF!,0,0)</f>
        <v>#REF!</v>
      </c>
    </row>
    <row r="2835" spans="1:20" s="286" customFormat="1" x14ac:dyDescent="0.4">
      <c r="A2835" s="2" t="s">
        <v>10891</v>
      </c>
      <c r="B2835" s="2" t="s">
        <v>10892</v>
      </c>
      <c r="C2835" s="2" t="s">
        <v>433</v>
      </c>
      <c r="D2835" s="2" t="s">
        <v>9084</v>
      </c>
      <c r="E2835" s="2" t="s">
        <v>366</v>
      </c>
      <c r="F2835" s="2" t="s">
        <v>367</v>
      </c>
      <c r="G2835" s="2">
        <v>45673</v>
      </c>
      <c r="H2835" s="2" t="s">
        <v>10893</v>
      </c>
      <c r="I2835" s="281">
        <v>77558</v>
      </c>
      <c r="J2835" s="2" t="s">
        <v>10894</v>
      </c>
      <c r="K2835" s="2" t="s">
        <v>10895</v>
      </c>
      <c r="L2835" s="2" t="s">
        <v>364</v>
      </c>
      <c r="M2835" s="2" t="s">
        <v>364</v>
      </c>
      <c r="N2835" s="2" t="s">
        <v>364</v>
      </c>
      <c r="O2835" s="2" t="s">
        <v>364</v>
      </c>
      <c r="P2835" s="524"/>
      <c r="Q2835" s="281" t="str">
        <f>IF('Completati dal 2014'!A2862="SCORTA 10",1,"")</f>
        <v/>
      </c>
      <c r="R2835" s="1">
        <v>1</v>
      </c>
      <c r="S2835" s="1">
        <v>1</v>
      </c>
      <c r="T2835" s="512" t="e">
        <f>_xlfn.XLOOKUP(H2835,#REF!,#REF!,0,0)</f>
        <v>#REF!</v>
      </c>
    </row>
    <row r="2836" spans="1:20" s="328" customFormat="1" x14ac:dyDescent="0.4">
      <c r="A2836" s="324" t="s">
        <v>10896</v>
      </c>
      <c r="B2836" s="522" t="s">
        <v>10897</v>
      </c>
      <c r="C2836" s="324" t="s">
        <v>433</v>
      </c>
      <c r="D2836" s="324" t="s">
        <v>9084</v>
      </c>
      <c r="E2836" s="324"/>
      <c r="F2836" s="324"/>
      <c r="G2836" s="326"/>
      <c r="H2836" s="324" t="s">
        <v>10898</v>
      </c>
      <c r="I2836" s="327">
        <v>72922</v>
      </c>
      <c r="J2836" s="324" t="s">
        <v>7862</v>
      </c>
      <c r="K2836" s="337" t="s">
        <v>10899</v>
      </c>
      <c r="L2836" s="324" t="s">
        <v>364</v>
      </c>
      <c r="M2836" s="324" t="s">
        <v>364</v>
      </c>
      <c r="N2836" s="324" t="s">
        <v>364</v>
      </c>
      <c r="O2836" s="324" t="s">
        <v>364</v>
      </c>
      <c r="P2836" s="528" t="s">
        <v>10900</v>
      </c>
      <c r="Q2836" s="324"/>
      <c r="R2836" s="360">
        <v>1</v>
      </c>
      <c r="S2836" s="360">
        <v>1</v>
      </c>
      <c r="T2836" s="512" t="e">
        <f>_xlfn.XLOOKUP(H2836,#REF!,#REF!,0,0)</f>
        <v>#REF!</v>
      </c>
    </row>
    <row r="2837" spans="1:20" s="286" customFormat="1" x14ac:dyDescent="0.4">
      <c r="A2837" s="2" t="s">
        <v>10901</v>
      </c>
      <c r="B2837" s="2" t="s">
        <v>10902</v>
      </c>
      <c r="C2837" s="2" t="s">
        <v>433</v>
      </c>
      <c r="D2837" s="2" t="s">
        <v>10903</v>
      </c>
      <c r="E2837" s="2" t="s">
        <v>366</v>
      </c>
      <c r="F2837" s="2" t="s">
        <v>367</v>
      </c>
      <c r="G2837" s="2">
        <v>45566</v>
      </c>
      <c r="H2837" s="2" t="s">
        <v>10904</v>
      </c>
      <c r="I2837" s="281">
        <v>76357</v>
      </c>
      <c r="J2837" s="2" t="s">
        <v>10905</v>
      </c>
      <c r="K2837" s="2">
        <v>45719.416666666664</v>
      </c>
      <c r="L2837" s="2" t="s">
        <v>364</v>
      </c>
      <c r="M2837" s="2"/>
      <c r="N2837" s="2"/>
      <c r="O2837" s="2"/>
      <c r="P2837" s="524"/>
      <c r="Q2837" s="281" t="str">
        <f>IF(A2837="SCORTA 10",1,"")</f>
        <v/>
      </c>
      <c r="R2837" s="1">
        <f t="shared" ref="R2837:S2839" si="77">IF(H2837&lt;&gt;"",1,"")</f>
        <v>1</v>
      </c>
      <c r="S2837" s="1">
        <f t="shared" si="77"/>
        <v>1</v>
      </c>
      <c r="T2837" s="512" t="e">
        <f>_xlfn.XLOOKUP(H2837,#REF!,#REF!,0,0)</f>
        <v>#REF!</v>
      </c>
    </row>
    <row r="2838" spans="1:20" s="286" customFormat="1" x14ac:dyDescent="0.4">
      <c r="A2838" s="2" t="s">
        <v>10906</v>
      </c>
      <c r="B2838" s="2" t="s">
        <v>10907</v>
      </c>
      <c r="C2838" s="2" t="s">
        <v>433</v>
      </c>
      <c r="D2838" s="2" t="s">
        <v>8127</v>
      </c>
      <c r="E2838" s="2" t="s">
        <v>366</v>
      </c>
      <c r="F2838" s="2" t="s">
        <v>367</v>
      </c>
      <c r="G2838" s="2">
        <v>45673</v>
      </c>
      <c r="H2838" s="2" t="s">
        <v>10908</v>
      </c>
      <c r="I2838" s="281">
        <v>77560</v>
      </c>
      <c r="J2838" s="2" t="s">
        <v>10909</v>
      </c>
      <c r="K2838" s="2" t="s">
        <v>10910</v>
      </c>
      <c r="L2838" s="2" t="s">
        <v>364</v>
      </c>
      <c r="M2838" s="2" t="s">
        <v>364</v>
      </c>
      <c r="N2838" s="2" t="s">
        <v>364</v>
      </c>
      <c r="O2838" s="2" t="s">
        <v>364</v>
      </c>
      <c r="P2838" s="524"/>
      <c r="Q2838" s="281" t="str">
        <f>IF(A2838="SCORTA 10",1,"")</f>
        <v/>
      </c>
      <c r="R2838" s="1">
        <f t="shared" si="77"/>
        <v>1</v>
      </c>
      <c r="S2838" s="1">
        <f t="shared" si="77"/>
        <v>1</v>
      </c>
      <c r="T2838" s="512" t="e">
        <f>_xlfn.XLOOKUP(H2838,#REF!,#REF!,0,0)</f>
        <v>#REF!</v>
      </c>
    </row>
    <row r="2839" spans="1:20" s="286" customFormat="1" x14ac:dyDescent="0.4">
      <c r="A2839" s="2" t="s">
        <v>10911</v>
      </c>
      <c r="B2839" s="2" t="s">
        <v>10912</v>
      </c>
      <c r="C2839" s="2" t="s">
        <v>433</v>
      </c>
      <c r="D2839" s="2" t="s">
        <v>8127</v>
      </c>
      <c r="E2839" s="2" t="s">
        <v>366</v>
      </c>
      <c r="F2839" s="2" t="s">
        <v>367</v>
      </c>
      <c r="G2839" s="2">
        <v>45673</v>
      </c>
      <c r="H2839" s="2" t="s">
        <v>10913</v>
      </c>
      <c r="I2839" s="281">
        <v>77551</v>
      </c>
      <c r="J2839" s="2" t="s">
        <v>10914</v>
      </c>
      <c r="K2839" s="2" t="s">
        <v>10915</v>
      </c>
      <c r="L2839" s="2" t="s">
        <v>7332</v>
      </c>
      <c r="M2839" s="2" t="s">
        <v>364</v>
      </c>
      <c r="N2839" s="2" t="s">
        <v>364</v>
      </c>
      <c r="O2839" s="2" t="s">
        <v>364</v>
      </c>
      <c r="P2839" s="524" t="s">
        <v>10916</v>
      </c>
      <c r="Q2839" s="281" t="str">
        <f>IF(A2839="SCORTA 10",1,"")</f>
        <v/>
      </c>
      <c r="R2839" s="1">
        <f t="shared" si="77"/>
        <v>1</v>
      </c>
      <c r="S2839" s="1">
        <f t="shared" si="77"/>
        <v>1</v>
      </c>
      <c r="T2839" s="512" t="e">
        <f>_xlfn.XLOOKUP(H2839,#REF!,#REF!,0,0)</f>
        <v>#REF!</v>
      </c>
    </row>
    <row r="2840" spans="1:20" s="328" customFormat="1" x14ac:dyDescent="0.4">
      <c r="A2840" s="360" t="s">
        <v>10917</v>
      </c>
      <c r="B2840" s="525" t="s">
        <v>10918</v>
      </c>
      <c r="C2840" s="360" t="s">
        <v>433</v>
      </c>
      <c r="D2840" s="360" t="s">
        <v>9084</v>
      </c>
      <c r="E2840" s="360" t="s">
        <v>10</v>
      </c>
      <c r="F2840" s="360" t="s">
        <v>10919</v>
      </c>
      <c r="G2840" s="527"/>
      <c r="H2840" s="360" t="s">
        <v>10920</v>
      </c>
      <c r="I2840" s="526">
        <v>73340</v>
      </c>
      <c r="J2840" s="360" t="s">
        <v>8686</v>
      </c>
      <c r="K2840" s="364" t="s">
        <v>10921</v>
      </c>
      <c r="L2840" s="360" t="s">
        <v>364</v>
      </c>
      <c r="M2840" s="360" t="s">
        <v>364</v>
      </c>
      <c r="N2840" s="360" t="s">
        <v>364</v>
      </c>
      <c r="O2840" s="360" t="s">
        <v>364</v>
      </c>
      <c r="P2840" s="546" t="s">
        <v>10922</v>
      </c>
      <c r="Q2840" s="360" t="str">
        <f>IF(AND(C2840="Priorità/stagisti/Scorta"),1,"")</f>
        <v/>
      </c>
      <c r="R2840" s="360">
        <f>IF(AND(C2840&lt;&gt;"Priorità/Stagisti/Scorta",C2840&lt;&gt;""),1,"")</f>
        <v>1</v>
      </c>
      <c r="S2840" s="360">
        <f>IF(AND(D2840&lt;&gt;"Priorità/Stagisti/Scorta",D2840&lt;&gt;""),1,"")</f>
        <v>1</v>
      </c>
      <c r="T2840" s="512" t="e">
        <f>_xlfn.XLOOKUP(H2840,#REF!,#REF!,0,0)</f>
        <v>#REF!</v>
      </c>
    </row>
    <row r="2841" spans="1:20" s="286" customFormat="1" x14ac:dyDescent="0.4">
      <c r="A2841" s="2" t="s">
        <v>10923</v>
      </c>
      <c r="B2841" s="2" t="s">
        <v>10924</v>
      </c>
      <c r="C2841" s="2" t="s">
        <v>433</v>
      </c>
      <c r="D2841" s="2" t="s">
        <v>8127</v>
      </c>
      <c r="E2841" s="2" t="s">
        <v>366</v>
      </c>
      <c r="F2841" s="2" t="s">
        <v>367</v>
      </c>
      <c r="G2841" s="2">
        <v>45673</v>
      </c>
      <c r="H2841" s="2" t="s">
        <v>10925</v>
      </c>
      <c r="I2841" s="281">
        <v>77564</v>
      </c>
      <c r="J2841" s="2" t="s">
        <v>10926</v>
      </c>
      <c r="K2841" s="2"/>
      <c r="L2841" s="2"/>
      <c r="M2841" s="2"/>
      <c r="N2841" s="2"/>
      <c r="O2841" s="2"/>
      <c r="P2841" s="524"/>
      <c r="Q2841" s="281" t="str">
        <f t="shared" ref="Q2841:Q2846" si="78">IF(A2841="SCORTA 10",1,"")</f>
        <v/>
      </c>
      <c r="R2841" s="1">
        <f t="shared" ref="R2841:R2846" si="79">IF(H2841&lt;&gt;"",1,"")</f>
        <v>1</v>
      </c>
      <c r="S2841" s="1">
        <f t="shared" ref="S2841:S2846" si="80">IF(I2841&lt;&gt;"",1,"")</f>
        <v>1</v>
      </c>
      <c r="T2841" s="512" t="e">
        <f>_xlfn.XLOOKUP(H2841,#REF!,#REF!,0,0)</f>
        <v>#REF!</v>
      </c>
    </row>
    <row r="2842" spans="1:20" s="376" customFormat="1" ht="18.75" customHeight="1" x14ac:dyDescent="0.4">
      <c r="A2842" s="1" t="s">
        <v>10927</v>
      </c>
      <c r="B2842" s="1" t="s">
        <v>10928</v>
      </c>
      <c r="C2842" s="1" t="s">
        <v>433</v>
      </c>
      <c r="D2842" s="1" t="s">
        <v>9084</v>
      </c>
      <c r="E2842" s="1" t="s">
        <v>10</v>
      </c>
      <c r="F2842" s="1" t="s">
        <v>436</v>
      </c>
      <c r="G2842" s="2">
        <v>45566</v>
      </c>
      <c r="H2842" s="1" t="s">
        <v>10929</v>
      </c>
      <c r="I2842" s="1">
        <v>76827</v>
      </c>
      <c r="J2842" s="1" t="s">
        <v>10930</v>
      </c>
      <c r="K2842" s="1" t="s">
        <v>10931</v>
      </c>
      <c r="L2842" s="1" t="s">
        <v>364</v>
      </c>
      <c r="M2842" s="1" t="s">
        <v>364</v>
      </c>
      <c r="N2842" s="1" t="s">
        <v>364</v>
      </c>
      <c r="O2842" s="1" t="s">
        <v>364</v>
      </c>
      <c r="P2842" s="293" t="s">
        <v>10932</v>
      </c>
      <c r="Q2842" s="1" t="str">
        <f t="shared" si="78"/>
        <v/>
      </c>
      <c r="R2842" s="1">
        <f t="shared" si="79"/>
        <v>1</v>
      </c>
      <c r="S2842" s="1">
        <f t="shared" si="80"/>
        <v>1</v>
      </c>
      <c r="T2842" s="512" t="e">
        <f>_xlfn.XLOOKUP(H2842,#REF!,#REF!,0,0)</f>
        <v>#REF!</v>
      </c>
    </row>
    <row r="2843" spans="1:20" s="7" customFormat="1" x14ac:dyDescent="0.4">
      <c r="A2843" s="2" t="s">
        <v>10933</v>
      </c>
      <c r="B2843" s="2" t="s">
        <v>10934</v>
      </c>
      <c r="C2843" s="2" t="s">
        <v>433</v>
      </c>
      <c r="D2843" s="2" t="s">
        <v>693</v>
      </c>
      <c r="E2843" s="2" t="s">
        <v>366</v>
      </c>
      <c r="F2843" s="2" t="s">
        <v>367</v>
      </c>
      <c r="G2843" s="2">
        <v>45566</v>
      </c>
      <c r="H2843" s="2" t="s">
        <v>10935</v>
      </c>
      <c r="I2843" s="1">
        <v>76868</v>
      </c>
      <c r="J2843" s="2" t="s">
        <v>10936</v>
      </c>
      <c r="K2843" s="2" t="s">
        <v>10937</v>
      </c>
      <c r="L2843" s="2" t="s">
        <v>364</v>
      </c>
      <c r="M2843" s="2" t="s">
        <v>364</v>
      </c>
      <c r="N2843" s="2" t="s">
        <v>364</v>
      </c>
      <c r="O2843" s="2" t="s">
        <v>364</v>
      </c>
      <c r="P2843" s="524" t="s">
        <v>10938</v>
      </c>
      <c r="Q2843" s="1" t="str">
        <f t="shared" si="78"/>
        <v/>
      </c>
      <c r="R2843" s="1">
        <f t="shared" si="79"/>
        <v>1</v>
      </c>
      <c r="S2843" s="1">
        <f t="shared" si="80"/>
        <v>1</v>
      </c>
      <c r="T2843" s="512" t="e">
        <f>_xlfn.XLOOKUP(H2843,#REF!,#REF!,0,0)</f>
        <v>#REF!</v>
      </c>
    </row>
    <row r="2844" spans="1:20" s="286" customFormat="1" x14ac:dyDescent="0.4">
      <c r="A2844" s="2" t="s">
        <v>10939</v>
      </c>
      <c r="B2844" s="2" t="s">
        <v>10940</v>
      </c>
      <c r="C2844" s="2" t="s">
        <v>433</v>
      </c>
      <c r="D2844" s="2" t="s">
        <v>9084</v>
      </c>
      <c r="E2844" s="2" t="s">
        <v>366</v>
      </c>
      <c r="F2844" s="2" t="s">
        <v>367</v>
      </c>
      <c r="G2844" s="2">
        <v>45673</v>
      </c>
      <c r="H2844" s="2" t="s">
        <v>10941</v>
      </c>
      <c r="I2844" s="281">
        <v>77538</v>
      </c>
      <c r="J2844" s="2" t="s">
        <v>10942</v>
      </c>
      <c r="K2844" s="2" t="s">
        <v>10943</v>
      </c>
      <c r="L2844" s="2" t="s">
        <v>364</v>
      </c>
      <c r="M2844" s="2" t="s">
        <v>364</v>
      </c>
      <c r="N2844" s="2" t="s">
        <v>364</v>
      </c>
      <c r="O2844" s="2" t="s">
        <v>364</v>
      </c>
      <c r="P2844" s="524" t="s">
        <v>10944</v>
      </c>
      <c r="Q2844" s="281" t="str">
        <f t="shared" si="78"/>
        <v/>
      </c>
      <c r="R2844" s="1">
        <f t="shared" si="79"/>
        <v>1</v>
      </c>
      <c r="S2844" s="1">
        <f t="shared" si="80"/>
        <v>1</v>
      </c>
      <c r="T2844" s="512" t="e">
        <f>_xlfn.XLOOKUP(H2844,#REF!,#REF!,0,0)</f>
        <v>#REF!</v>
      </c>
    </row>
    <row r="2845" spans="1:20" x14ac:dyDescent="0.4">
      <c r="A2845" s="2" t="s">
        <v>10945</v>
      </c>
      <c r="B2845" s="2" t="s">
        <v>10946</v>
      </c>
      <c r="C2845" s="2" t="s">
        <v>433</v>
      </c>
      <c r="D2845" s="2" t="s">
        <v>9084</v>
      </c>
      <c r="E2845" s="2" t="s">
        <v>366</v>
      </c>
      <c r="F2845" s="2" t="s">
        <v>367</v>
      </c>
      <c r="G2845" s="2">
        <v>45673</v>
      </c>
      <c r="H2845" s="2" t="s">
        <v>10947</v>
      </c>
      <c r="I2845" s="281">
        <v>77563</v>
      </c>
      <c r="J2845" s="2" t="s">
        <v>10948</v>
      </c>
      <c r="K2845" s="2" t="s">
        <v>10949</v>
      </c>
      <c r="L2845" s="2" t="s">
        <v>364</v>
      </c>
      <c r="M2845" s="2" t="s">
        <v>364</v>
      </c>
      <c r="N2845" s="2" t="s">
        <v>364</v>
      </c>
      <c r="O2845" s="2" t="s">
        <v>364</v>
      </c>
      <c r="P2845" s="524"/>
      <c r="Q2845" s="281" t="str">
        <f t="shared" si="78"/>
        <v/>
      </c>
      <c r="R2845" s="1">
        <f t="shared" si="79"/>
        <v>1</v>
      </c>
      <c r="S2845" s="1">
        <f t="shared" si="80"/>
        <v>1</v>
      </c>
      <c r="T2845" s="500" t="e">
        <f>_xlfn.XLOOKUP(H2845,#REF!,#REF!,0,0)</f>
        <v>#REF!</v>
      </c>
    </row>
    <row r="2846" spans="1:20" s="286" customFormat="1" x14ac:dyDescent="0.4">
      <c r="A2846" s="2" t="s">
        <v>10950</v>
      </c>
      <c r="B2846" s="2" t="s">
        <v>10951</v>
      </c>
      <c r="C2846" s="2" t="s">
        <v>433</v>
      </c>
      <c r="D2846" s="2" t="s">
        <v>1097</v>
      </c>
      <c r="E2846" s="2" t="s">
        <v>366</v>
      </c>
      <c r="F2846" s="2" t="s">
        <v>367</v>
      </c>
      <c r="G2846" s="2">
        <v>45673</v>
      </c>
      <c r="H2846" s="2" t="s">
        <v>10952</v>
      </c>
      <c r="I2846" s="281">
        <v>77565</v>
      </c>
      <c r="J2846" s="2" t="s">
        <v>10953</v>
      </c>
      <c r="K2846" s="2">
        <v>45748</v>
      </c>
      <c r="L2846" s="2" t="s">
        <v>364</v>
      </c>
      <c r="M2846" s="2" t="s">
        <v>364</v>
      </c>
      <c r="N2846" s="2" t="s">
        <v>364</v>
      </c>
      <c r="O2846" s="2" t="s">
        <v>364</v>
      </c>
      <c r="P2846" s="524"/>
      <c r="Q2846" s="281" t="str">
        <f t="shared" si="78"/>
        <v/>
      </c>
      <c r="R2846" s="1">
        <f t="shared" si="79"/>
        <v>1</v>
      </c>
      <c r="S2846" s="1">
        <f t="shared" si="80"/>
        <v>1</v>
      </c>
      <c r="T2846" s="512" t="e">
        <f>_xlfn.XLOOKUP(H2846,#REF!,#REF!,0,0)</f>
        <v>#REF!</v>
      </c>
    </row>
    <row r="2847" spans="1:20" s="328" customFormat="1" x14ac:dyDescent="0.4">
      <c r="A2847" s="324" t="s">
        <v>10954</v>
      </c>
      <c r="B2847" s="522" t="s">
        <v>10955</v>
      </c>
      <c r="C2847" s="324" t="s">
        <v>433</v>
      </c>
      <c r="D2847" s="324" t="s">
        <v>9084</v>
      </c>
      <c r="E2847" s="324" t="s">
        <v>10</v>
      </c>
      <c r="F2847" s="324" t="s">
        <v>10956</v>
      </c>
      <c r="G2847" s="326"/>
      <c r="H2847" s="324" t="s">
        <v>10957</v>
      </c>
      <c r="I2847" s="327">
        <v>72940</v>
      </c>
      <c r="J2847" s="324" t="s">
        <v>10958</v>
      </c>
      <c r="K2847" s="337" t="s">
        <v>10959</v>
      </c>
      <c r="L2847" s="324" t="s">
        <v>364</v>
      </c>
      <c r="M2847" s="324" t="s">
        <v>364</v>
      </c>
      <c r="N2847" s="324" t="s">
        <v>364</v>
      </c>
      <c r="O2847" s="324" t="s">
        <v>364</v>
      </c>
      <c r="P2847" s="544" t="s">
        <v>10960</v>
      </c>
      <c r="Q2847" s="324" t="str">
        <f>IF(AND(C2847="Priorità/stagisti/Scorta"),1,"")</f>
        <v/>
      </c>
      <c r="R2847" s="324">
        <f>IF(AND(C2847&lt;&gt;"Priorità/Stagisti/Scorta",C2847&lt;&gt;""),1,"")</f>
        <v>1</v>
      </c>
      <c r="S2847" s="324">
        <f>IF(AND(D2847&lt;&gt;"Priorità/Stagisti/Scorta",D2847&lt;&gt;""),1,"")</f>
        <v>1</v>
      </c>
      <c r="T2847" s="512" t="e">
        <f>_xlfn.XLOOKUP(H2847,#REF!,#REF!,0,0)</f>
        <v>#REF!</v>
      </c>
    </row>
    <row r="2848" spans="1:20" s="376" customFormat="1" ht="18.75" customHeight="1" x14ac:dyDescent="0.4">
      <c r="A2848" s="1" t="s">
        <v>10961</v>
      </c>
      <c r="B2848" s="1" t="s">
        <v>10962</v>
      </c>
      <c r="C2848" s="1" t="s">
        <v>433</v>
      </c>
      <c r="D2848" s="1" t="s">
        <v>9084</v>
      </c>
      <c r="E2848" s="1" t="s">
        <v>10</v>
      </c>
      <c r="F2848" s="1" t="s">
        <v>437</v>
      </c>
      <c r="G2848" s="2">
        <v>45243</v>
      </c>
      <c r="H2848" s="1" t="s">
        <v>10963</v>
      </c>
      <c r="I2848" s="1">
        <v>73343</v>
      </c>
      <c r="J2848" s="1" t="s">
        <v>8714</v>
      </c>
      <c r="K2848" s="1" t="s">
        <v>10964</v>
      </c>
      <c r="L2848" s="1" t="s">
        <v>7332</v>
      </c>
      <c r="M2848" s="1"/>
      <c r="N2848" s="1"/>
      <c r="O2848" s="1"/>
      <c r="P2848" s="293" t="s">
        <v>10965</v>
      </c>
      <c r="Q2848" s="1" t="str">
        <f>IF(A2848="SCORTA 10",1,"")</f>
        <v/>
      </c>
      <c r="R2848" s="1">
        <f>IF(H2848&lt;&gt;"",1,"")</f>
        <v>1</v>
      </c>
      <c r="S2848" s="1">
        <f>IF(I2848&lt;&gt;"",1,"")</f>
        <v>1</v>
      </c>
      <c r="T2848" s="512" t="e">
        <f>_xlfn.XLOOKUP(H2848,#REF!,#REF!,0,0)</f>
        <v>#REF!</v>
      </c>
    </row>
    <row r="2849" spans="1:20" s="328" customFormat="1" x14ac:dyDescent="0.4">
      <c r="A2849" s="324" t="s">
        <v>10966</v>
      </c>
      <c r="B2849" s="522" t="s">
        <v>10967</v>
      </c>
      <c r="C2849" s="324" t="s">
        <v>434</v>
      </c>
      <c r="D2849" s="324" t="s">
        <v>9084</v>
      </c>
      <c r="E2849" s="324" t="s">
        <v>10</v>
      </c>
      <c r="F2849" s="324" t="s">
        <v>10968</v>
      </c>
      <c r="G2849" s="326"/>
      <c r="H2849" s="324" t="s">
        <v>10969</v>
      </c>
      <c r="I2849" s="327">
        <v>72473</v>
      </c>
      <c r="J2849" s="324" t="s">
        <v>7174</v>
      </c>
      <c r="K2849" s="337"/>
      <c r="L2849" s="324" t="s">
        <v>364</v>
      </c>
      <c r="M2849" s="324"/>
      <c r="N2849" s="324"/>
      <c r="O2849" s="324"/>
      <c r="P2849" s="528" t="s">
        <v>5255</v>
      </c>
      <c r="Q2849" s="324" t="str">
        <f>IF(AND(C2849="Priorità/stagisti/Scorta"),1,"")</f>
        <v/>
      </c>
      <c r="R2849" s="324">
        <f>IF(AND(C2849&lt;&gt;"Priorità/Stagisti/Scorta",C2849&lt;&gt;""),1,"")</f>
        <v>1</v>
      </c>
      <c r="S2849" s="324">
        <f>IF(AND(D2849&lt;&gt;"Priorità/Stagisti/Scorta",D2849&lt;&gt;""),1,"")</f>
        <v>1</v>
      </c>
      <c r="T2849" s="512" t="e">
        <f>_xlfn.XLOOKUP(H2849,#REF!,#REF!,0,0)</f>
        <v>#REF!</v>
      </c>
    </row>
    <row r="2850" spans="1:20" s="328" customFormat="1" x14ac:dyDescent="0.4">
      <c r="A2850" s="324" t="s">
        <v>10970</v>
      </c>
      <c r="B2850" s="522" t="s">
        <v>10971</v>
      </c>
      <c r="C2850" s="324" t="s">
        <v>433</v>
      </c>
      <c r="D2850" s="324" t="s">
        <v>9084</v>
      </c>
      <c r="E2850" s="324" t="s">
        <v>10</v>
      </c>
      <c r="F2850" s="324" t="s">
        <v>10968</v>
      </c>
      <c r="G2850" s="326"/>
      <c r="H2850" s="324" t="s">
        <v>10972</v>
      </c>
      <c r="I2850" s="327">
        <v>71372</v>
      </c>
      <c r="J2850" s="324" t="s">
        <v>7129</v>
      </c>
      <c r="K2850" s="337"/>
      <c r="L2850" s="324" t="s">
        <v>364</v>
      </c>
      <c r="M2850" s="324" t="s">
        <v>364</v>
      </c>
      <c r="N2850" s="324" t="s">
        <v>364</v>
      </c>
      <c r="O2850" s="324"/>
      <c r="P2850" s="528" t="s">
        <v>10973</v>
      </c>
      <c r="Q2850" s="324" t="str">
        <f>IF(AND(C2850="Priorità/stagisti/Scorta"),1,"")</f>
        <v/>
      </c>
      <c r="R2850" s="324">
        <f>IF(AND(C2850&lt;&gt;"Priorità/Stagisti/Scorta",C2850&lt;&gt;""),1,"")</f>
        <v>1</v>
      </c>
      <c r="S2850" s="324">
        <f>IF(AND(D2850&lt;&gt;"Priorità/Stagisti/Scorta",D2850&lt;&gt;""),1,"")</f>
        <v>1</v>
      </c>
      <c r="T2850" s="512" t="e">
        <f>_xlfn.XLOOKUP(H2850,#REF!,#REF!,0,0)</f>
        <v>#REF!</v>
      </c>
    </row>
    <row r="2851" spans="1:20" s="286" customFormat="1" x14ac:dyDescent="0.4">
      <c r="A2851" s="2" t="s">
        <v>10974</v>
      </c>
      <c r="B2851" s="2" t="s">
        <v>10975</v>
      </c>
      <c r="C2851" s="2" t="s">
        <v>433</v>
      </c>
      <c r="D2851" s="2" t="s">
        <v>9084</v>
      </c>
      <c r="E2851" s="2" t="s">
        <v>366</v>
      </c>
      <c r="F2851" s="2" t="s">
        <v>367</v>
      </c>
      <c r="G2851" s="2">
        <v>45673</v>
      </c>
      <c r="H2851" s="2" t="s">
        <v>10976</v>
      </c>
      <c r="I2851" s="281">
        <v>77567</v>
      </c>
      <c r="J2851" s="2" t="s">
        <v>10977</v>
      </c>
      <c r="K2851" s="2"/>
      <c r="L2851" s="2"/>
      <c r="M2851" s="2"/>
      <c r="N2851" s="2"/>
      <c r="O2851" s="2"/>
      <c r="P2851" s="524"/>
      <c r="Q2851" s="281" t="str">
        <f>IF(A2851="SCORTA 10",1,"")</f>
        <v/>
      </c>
      <c r="R2851" s="1">
        <f>IF(H2851&lt;&gt;"",1,"")</f>
        <v>1</v>
      </c>
      <c r="S2851" s="1">
        <f>IF(I2851&lt;&gt;"",1,"")</f>
        <v>1</v>
      </c>
      <c r="T2851" s="512" t="e">
        <f>_xlfn.XLOOKUP(H2851,#REF!,#REF!,0,0)</f>
        <v>#REF!</v>
      </c>
    </row>
    <row r="2852" spans="1:20" s="286" customFormat="1" x14ac:dyDescent="0.4">
      <c r="A2852" s="2" t="s">
        <v>10978</v>
      </c>
      <c r="B2852" s="2" t="s">
        <v>10979</v>
      </c>
      <c r="C2852" s="2" t="s">
        <v>433</v>
      </c>
      <c r="D2852" s="2" t="s">
        <v>9084</v>
      </c>
      <c r="E2852" s="2" t="s">
        <v>366</v>
      </c>
      <c r="F2852" s="2" t="s">
        <v>367</v>
      </c>
      <c r="G2852" s="2">
        <v>45673</v>
      </c>
      <c r="H2852" s="2" t="s">
        <v>10980</v>
      </c>
      <c r="I2852" s="281">
        <v>77562</v>
      </c>
      <c r="J2852" s="2" t="s">
        <v>10981</v>
      </c>
      <c r="K2852" s="2" t="s">
        <v>10982</v>
      </c>
      <c r="L2852" s="2" t="s">
        <v>364</v>
      </c>
      <c r="M2852" s="2" t="s">
        <v>364</v>
      </c>
      <c r="N2852" s="2" t="s">
        <v>364</v>
      </c>
      <c r="O2852" s="2" t="s">
        <v>364</v>
      </c>
      <c r="P2852" s="524" t="s">
        <v>10848</v>
      </c>
      <c r="Q2852" s="281" t="str">
        <f>IF(A2852="SCORTA 10",1,"")</f>
        <v/>
      </c>
      <c r="R2852" s="1">
        <f>IF(H2852&lt;&gt;"",1,"")</f>
        <v>1</v>
      </c>
      <c r="S2852" s="1">
        <f>IF(I2852&lt;&gt;"",1,"")</f>
        <v>1</v>
      </c>
      <c r="T2852" s="512" t="e">
        <f>_xlfn.XLOOKUP(H2852,#REF!,#REF!,0,0)</f>
        <v>#REF!</v>
      </c>
    </row>
    <row r="2853" spans="1:20" s="328" customFormat="1" x14ac:dyDescent="0.4">
      <c r="A2853" s="324" t="s">
        <v>10983</v>
      </c>
      <c r="B2853" s="324" t="s">
        <v>10984</v>
      </c>
      <c r="C2853" s="324" t="s">
        <v>433</v>
      </c>
      <c r="D2853" s="324" t="s">
        <v>9084</v>
      </c>
      <c r="E2853" s="324" t="s">
        <v>10</v>
      </c>
      <c r="F2853" s="324" t="s">
        <v>244</v>
      </c>
      <c r="G2853" s="324"/>
      <c r="H2853" s="324" t="s">
        <v>10985</v>
      </c>
      <c r="I2853" s="324">
        <v>73342</v>
      </c>
      <c r="J2853" s="324"/>
      <c r="K2853" s="324"/>
      <c r="L2853" s="324"/>
      <c r="M2853" s="324"/>
      <c r="N2853" s="324"/>
      <c r="O2853" s="324"/>
      <c r="P2853" s="528" t="s">
        <v>10986</v>
      </c>
      <c r="Q2853" s="324" t="str">
        <f>IF(AND(C2853="Priorità/stagisti/Scorta"),1,"")</f>
        <v/>
      </c>
      <c r="R2853" s="324">
        <f t="shared" ref="R2853:S2855" si="81">IF(AND(C2853&lt;&gt;"Priorità/Stagisti/Scorta",C2853&lt;&gt;""),1,"")</f>
        <v>1</v>
      </c>
      <c r="S2853" s="324">
        <f t="shared" si="81"/>
        <v>1</v>
      </c>
      <c r="T2853" s="512" t="e">
        <f>_xlfn.XLOOKUP(H2853,#REF!,#REF!,0,0)</f>
        <v>#REF!</v>
      </c>
    </row>
    <row r="2854" spans="1:20" s="328" customFormat="1" x14ac:dyDescent="0.4">
      <c r="A2854" s="324" t="s">
        <v>10987</v>
      </c>
      <c r="B2854" s="522" t="s">
        <v>10116</v>
      </c>
      <c r="C2854" s="324" t="s">
        <v>433</v>
      </c>
      <c r="D2854" s="324" t="s">
        <v>9084</v>
      </c>
      <c r="E2854" s="324" t="s">
        <v>10</v>
      </c>
      <c r="F2854" s="324" t="s">
        <v>10331</v>
      </c>
      <c r="G2854" s="326">
        <v>45653</v>
      </c>
      <c r="H2854" s="324" t="s">
        <v>10988</v>
      </c>
      <c r="I2854" s="327"/>
      <c r="J2854" s="324" t="s">
        <v>10989</v>
      </c>
      <c r="K2854" s="337"/>
      <c r="L2854" s="324"/>
      <c r="M2854" s="324"/>
      <c r="N2854" s="324"/>
      <c r="O2854" s="324"/>
      <c r="P2854" s="528" t="s">
        <v>10990</v>
      </c>
      <c r="Q2854" s="324" t="str">
        <f>IF(AND(C2854="Priorità/stagisti/Scorta"),1,"")</f>
        <v/>
      </c>
      <c r="R2854" s="324">
        <f t="shared" si="81"/>
        <v>1</v>
      </c>
      <c r="S2854" s="324">
        <f t="shared" si="81"/>
        <v>1</v>
      </c>
      <c r="T2854" s="512" t="e">
        <f>_xlfn.XLOOKUP(H2854,#REF!,#REF!,0,0)</f>
        <v>#REF!</v>
      </c>
    </row>
    <row r="2855" spans="1:20" s="328" customFormat="1" x14ac:dyDescent="0.4">
      <c r="A2855" s="324" t="s">
        <v>10991</v>
      </c>
      <c r="B2855" s="522" t="s">
        <v>10992</v>
      </c>
      <c r="C2855" s="324" t="s">
        <v>433</v>
      </c>
      <c r="D2855" s="324" t="s">
        <v>9084</v>
      </c>
      <c r="E2855" s="324" t="s">
        <v>366</v>
      </c>
      <c r="F2855" s="324" t="s">
        <v>367</v>
      </c>
      <c r="G2855" s="326">
        <v>45673</v>
      </c>
      <c r="H2855" s="324" t="s">
        <v>488</v>
      </c>
      <c r="I2855" s="324">
        <v>77549</v>
      </c>
      <c r="J2855" s="324" t="s">
        <v>10889</v>
      </c>
      <c r="K2855" s="324" t="s">
        <v>10890</v>
      </c>
      <c r="L2855" s="324" t="s">
        <v>364</v>
      </c>
      <c r="M2855" s="324" t="s">
        <v>364</v>
      </c>
      <c r="N2855" s="324" t="s">
        <v>364</v>
      </c>
      <c r="O2855" s="324" t="s">
        <v>364</v>
      </c>
      <c r="P2855" s="528" t="s">
        <v>10848</v>
      </c>
      <c r="Q2855" s="324" t="str">
        <f>IF(AND(C2855="Priorità/stagisti/Scorta"),1,"")</f>
        <v/>
      </c>
      <c r="R2855" s="324">
        <f t="shared" si="81"/>
        <v>1</v>
      </c>
      <c r="S2855" s="324">
        <f t="shared" si="81"/>
        <v>1</v>
      </c>
      <c r="T2855" s="512" t="e">
        <f>_xlfn.XLOOKUP(H2855,#REF!,#REF!,0,0)</f>
        <v>#REF!</v>
      </c>
    </row>
    <row r="2856" spans="1:20" s="286" customFormat="1" x14ac:dyDescent="0.4">
      <c r="A2856" s="2" t="s">
        <v>10993</v>
      </c>
      <c r="B2856" s="2" t="s">
        <v>10994</v>
      </c>
      <c r="C2856" s="2" t="s">
        <v>433</v>
      </c>
      <c r="D2856" s="2" t="s">
        <v>9084</v>
      </c>
      <c r="E2856" s="2" t="s">
        <v>366</v>
      </c>
      <c r="F2856" s="2" t="s">
        <v>367</v>
      </c>
      <c r="G2856" s="2">
        <v>45673</v>
      </c>
      <c r="H2856" s="2" t="s">
        <v>10995</v>
      </c>
      <c r="I2856" s="281">
        <v>77568</v>
      </c>
      <c r="J2856" s="2" t="s">
        <v>10996</v>
      </c>
      <c r="K2856" s="2">
        <v>45754</v>
      </c>
      <c r="L2856" s="2" t="s">
        <v>364</v>
      </c>
      <c r="M2856" s="2"/>
      <c r="N2856" s="2"/>
      <c r="O2856" s="2"/>
      <c r="P2856" s="524" t="s">
        <v>10997</v>
      </c>
      <c r="Q2856" s="281" t="str">
        <f>IF(A2856="SCORTA 10",1,"")</f>
        <v/>
      </c>
      <c r="R2856" s="1">
        <f>IF(H2856&lt;&gt;"",1,"")</f>
        <v>1</v>
      </c>
      <c r="S2856" s="1">
        <f>IF(I2856&lt;&gt;"",1,"")</f>
        <v>1</v>
      </c>
      <c r="T2856" s="512" t="e">
        <f>_xlfn.XLOOKUP(H2856,#REF!,#REF!,0,0)</f>
        <v>#REF!</v>
      </c>
    </row>
    <row r="2857" spans="1:20" s="286" customFormat="1" x14ac:dyDescent="0.4">
      <c r="A2857" s="2" t="s">
        <v>10998</v>
      </c>
      <c r="B2857" s="2" t="s">
        <v>10999</v>
      </c>
      <c r="C2857" s="2" t="s">
        <v>433</v>
      </c>
      <c r="D2857" s="2" t="s">
        <v>9084</v>
      </c>
      <c r="E2857" s="2" t="s">
        <v>366</v>
      </c>
      <c r="F2857" s="2" t="s">
        <v>367</v>
      </c>
      <c r="G2857" s="2">
        <v>45673</v>
      </c>
      <c r="H2857" s="2" t="s">
        <v>487</v>
      </c>
      <c r="I2857" s="281">
        <v>77543</v>
      </c>
      <c r="J2857" s="2" t="s">
        <v>11000</v>
      </c>
      <c r="K2857" s="2" t="s">
        <v>11001</v>
      </c>
      <c r="L2857" s="2" t="s">
        <v>11002</v>
      </c>
      <c r="M2857" s="2" t="s">
        <v>364</v>
      </c>
      <c r="N2857" s="2" t="s">
        <v>364</v>
      </c>
      <c r="O2857" s="2" t="s">
        <v>364</v>
      </c>
      <c r="P2857" s="524"/>
      <c r="Q2857" s="281" t="str">
        <f>IF(A2857="SCORTA 10",1,"")</f>
        <v/>
      </c>
      <c r="R2857" s="281">
        <f>IF(H2857&lt;&gt;"",1,"")</f>
        <v>1</v>
      </c>
      <c r="S2857" s="281">
        <f>IF(I2857&lt;&gt;"",1,"")</f>
        <v>1</v>
      </c>
      <c r="T2857" s="512" t="e">
        <f>_xlfn.XLOOKUP(H2857,#REF!,#REF!,0,0)</f>
        <v>#REF!</v>
      </c>
    </row>
    <row r="2858" spans="1:20" s="328" customFormat="1" x14ac:dyDescent="0.4">
      <c r="A2858" s="324" t="s">
        <v>11003</v>
      </c>
      <c r="B2858" s="324" t="s">
        <v>10330</v>
      </c>
      <c r="C2858" s="324" t="s">
        <v>433</v>
      </c>
      <c r="D2858" s="324" t="s">
        <v>447</v>
      </c>
      <c r="E2858" s="324" t="s">
        <v>10</v>
      </c>
      <c r="F2858" s="324" t="s">
        <v>11004</v>
      </c>
      <c r="G2858" s="324"/>
      <c r="H2858" s="324" t="s">
        <v>11005</v>
      </c>
      <c r="I2858" s="324">
        <v>71647</v>
      </c>
      <c r="J2858" s="324" t="s">
        <v>11006</v>
      </c>
      <c r="K2858" s="324"/>
      <c r="L2858" s="324"/>
      <c r="M2858" s="324"/>
      <c r="N2858" s="324"/>
      <c r="O2858" s="324"/>
      <c r="P2858" s="528" t="s">
        <v>11007</v>
      </c>
      <c r="Q2858" s="324" t="str">
        <f>IF(AND(C2858="Priorità/stagisti/Scorta"),1,"")</f>
        <v/>
      </c>
      <c r="R2858" s="324">
        <f>IF(AND(C2858&lt;&gt;"Priorità/Stagisti/Scorta",C2858&lt;&gt;""),1,"")</f>
        <v>1</v>
      </c>
      <c r="S2858" s="324">
        <f>IF(AND(D2858&lt;&gt;"Priorità/Stagisti/Scorta",D2858&lt;&gt;""),1,"")</f>
        <v>1</v>
      </c>
      <c r="T2858" s="512" t="e">
        <f>_xlfn.XLOOKUP(H2858,#REF!,#REF!,0,0)</f>
        <v>#REF!</v>
      </c>
    </row>
    <row r="2859" spans="1:20" s="376" customFormat="1" ht="18.75" customHeight="1" x14ac:dyDescent="0.4">
      <c r="A2859" s="1" t="s">
        <v>11008</v>
      </c>
      <c r="B2859" s="1" t="s">
        <v>11009</v>
      </c>
      <c r="C2859" s="324" t="s">
        <v>433</v>
      </c>
      <c r="D2859" s="1" t="s">
        <v>8863</v>
      </c>
      <c r="E2859" s="1" t="s">
        <v>10</v>
      </c>
      <c r="F2859" s="1" t="s">
        <v>436</v>
      </c>
      <c r="G2859" s="2">
        <v>45566</v>
      </c>
      <c r="H2859" s="1" t="s">
        <v>11010</v>
      </c>
      <c r="I2859" s="1">
        <v>76804</v>
      </c>
      <c r="J2859" s="1" t="s">
        <v>11011</v>
      </c>
      <c r="K2859" s="1"/>
      <c r="L2859" s="1"/>
      <c r="M2859" s="1"/>
      <c r="N2859" s="1"/>
      <c r="O2859" s="1"/>
      <c r="P2859" s="293" t="s">
        <v>10650</v>
      </c>
      <c r="Q2859" s="1" t="str">
        <f t="shared" ref="Q2859:Q2865" si="82">IF(A2859="SCORTA 10",1,"")</f>
        <v/>
      </c>
      <c r="R2859" s="1">
        <f t="shared" ref="R2859:R2865" si="83">IF(H2859&lt;&gt;"",1,"")</f>
        <v>1</v>
      </c>
      <c r="S2859" s="1">
        <f t="shared" ref="S2859:S2868" si="84">IF(I2859&lt;&gt;"",1,"")</f>
        <v>1</v>
      </c>
      <c r="T2859" s="512" t="e">
        <f>_xlfn.XLOOKUP(H2859,#REF!,#REF!,0,0)</f>
        <v>#REF!</v>
      </c>
    </row>
    <row r="2860" spans="1:20" s="376" customFormat="1" ht="18.75" customHeight="1" x14ac:dyDescent="0.4">
      <c r="A2860" s="1" t="s">
        <v>11012</v>
      </c>
      <c r="B2860" s="1" t="s">
        <v>11009</v>
      </c>
      <c r="C2860" s="324" t="s">
        <v>433</v>
      </c>
      <c r="D2860" s="1" t="s">
        <v>8863</v>
      </c>
      <c r="E2860" s="1" t="s">
        <v>10</v>
      </c>
      <c r="F2860" s="1" t="s">
        <v>436</v>
      </c>
      <c r="G2860" s="2">
        <v>45566</v>
      </c>
      <c r="H2860" s="1" t="s">
        <v>11013</v>
      </c>
      <c r="I2860" s="1">
        <v>76810</v>
      </c>
      <c r="J2860" s="1" t="s">
        <v>11014</v>
      </c>
      <c r="K2860" s="1"/>
      <c r="L2860" s="1"/>
      <c r="M2860" s="1" t="s">
        <v>364</v>
      </c>
      <c r="N2860" s="1"/>
      <c r="O2860" s="1"/>
      <c r="P2860" s="293" t="s">
        <v>10650</v>
      </c>
      <c r="Q2860" s="1" t="str">
        <f t="shared" si="82"/>
        <v/>
      </c>
      <c r="R2860" s="1">
        <f t="shared" si="83"/>
        <v>1</v>
      </c>
      <c r="S2860" s="1">
        <f t="shared" si="84"/>
        <v>1</v>
      </c>
      <c r="T2860" s="512" t="e">
        <f>_xlfn.XLOOKUP(H2860,#REF!,#REF!,0,0)</f>
        <v>#REF!</v>
      </c>
    </row>
    <row r="2861" spans="1:20" s="376" customFormat="1" ht="18.75" customHeight="1" x14ac:dyDescent="0.4">
      <c r="A2861" s="1" t="s">
        <v>11015</v>
      </c>
      <c r="B2861" s="1" t="s">
        <v>11009</v>
      </c>
      <c r="C2861" s="324" t="s">
        <v>433</v>
      </c>
      <c r="D2861" s="1" t="s">
        <v>8863</v>
      </c>
      <c r="E2861" s="1" t="s">
        <v>10</v>
      </c>
      <c r="F2861" s="1" t="s">
        <v>436</v>
      </c>
      <c r="G2861" s="2">
        <v>45566</v>
      </c>
      <c r="H2861" s="1" t="s">
        <v>11016</v>
      </c>
      <c r="I2861" s="1">
        <v>76811</v>
      </c>
      <c r="J2861" s="1" t="s">
        <v>11017</v>
      </c>
      <c r="K2861" s="1"/>
      <c r="L2861" s="1"/>
      <c r="M2861" s="1" t="s">
        <v>364</v>
      </c>
      <c r="N2861" s="1"/>
      <c r="O2861" s="1"/>
      <c r="P2861" s="293" t="s">
        <v>10650</v>
      </c>
      <c r="Q2861" s="1" t="str">
        <f t="shared" si="82"/>
        <v/>
      </c>
      <c r="R2861" s="1">
        <f t="shared" si="83"/>
        <v>1</v>
      </c>
      <c r="S2861" s="1">
        <f t="shared" si="84"/>
        <v>1</v>
      </c>
      <c r="T2861" s="512" t="e">
        <f>_xlfn.XLOOKUP(H2861,#REF!,#REF!,0,0)</f>
        <v>#REF!</v>
      </c>
    </row>
    <row r="2862" spans="1:20" s="286" customFormat="1" x14ac:dyDescent="0.4">
      <c r="A2862" s="2" t="s">
        <v>11018</v>
      </c>
      <c r="B2862" s="2" t="s">
        <v>11019</v>
      </c>
      <c r="C2862" s="2" t="s">
        <v>433</v>
      </c>
      <c r="D2862" s="2" t="s">
        <v>9084</v>
      </c>
      <c r="E2862" s="2" t="s">
        <v>366</v>
      </c>
      <c r="F2862" s="2" t="s">
        <v>367</v>
      </c>
      <c r="G2862" s="2">
        <v>45673</v>
      </c>
      <c r="H2862" s="2" t="s">
        <v>489</v>
      </c>
      <c r="I2862" s="281">
        <v>77553</v>
      </c>
      <c r="J2862" s="2" t="s">
        <v>11020</v>
      </c>
      <c r="K2862" s="2" t="s">
        <v>11021</v>
      </c>
      <c r="L2862" s="2" t="s">
        <v>7332</v>
      </c>
      <c r="M2862" s="2" t="s">
        <v>364</v>
      </c>
      <c r="N2862" s="2" t="s">
        <v>364</v>
      </c>
      <c r="O2862" s="2" t="s">
        <v>364</v>
      </c>
      <c r="P2862" s="524" t="s">
        <v>6008</v>
      </c>
      <c r="Q2862" s="281" t="str">
        <f t="shared" si="82"/>
        <v/>
      </c>
      <c r="R2862" s="281">
        <f t="shared" si="83"/>
        <v>1</v>
      </c>
      <c r="S2862" s="281">
        <f t="shared" si="84"/>
        <v>1</v>
      </c>
      <c r="T2862" s="512" t="e">
        <f>_xlfn.XLOOKUP(H2862,#REF!,#REF!,0,0)</f>
        <v>#REF!</v>
      </c>
    </row>
    <row r="2863" spans="1:20" s="286" customFormat="1" x14ac:dyDescent="0.4">
      <c r="A2863" s="2" t="s">
        <v>11022</v>
      </c>
      <c r="B2863" s="2" t="s">
        <v>11023</v>
      </c>
      <c r="C2863" s="2" t="s">
        <v>433</v>
      </c>
      <c r="D2863" s="2" t="s">
        <v>9084</v>
      </c>
      <c r="E2863" s="2" t="s">
        <v>366</v>
      </c>
      <c r="F2863" s="2" t="s">
        <v>367</v>
      </c>
      <c r="G2863" s="2">
        <v>45673</v>
      </c>
      <c r="H2863" s="2" t="s">
        <v>11024</v>
      </c>
      <c r="I2863" s="281">
        <v>77566</v>
      </c>
      <c r="J2863" s="2" t="s">
        <v>11025</v>
      </c>
      <c r="K2863" s="2" t="s">
        <v>11026</v>
      </c>
      <c r="L2863" s="2" t="s">
        <v>364</v>
      </c>
      <c r="M2863" s="2" t="s">
        <v>364</v>
      </c>
      <c r="N2863" s="2" t="s">
        <v>364</v>
      </c>
      <c r="O2863" s="2" t="s">
        <v>364</v>
      </c>
      <c r="P2863" s="524" t="s">
        <v>11027</v>
      </c>
      <c r="Q2863" s="281" t="str">
        <f t="shared" si="82"/>
        <v/>
      </c>
      <c r="R2863" s="1">
        <f t="shared" si="83"/>
        <v>1</v>
      </c>
      <c r="S2863" s="1">
        <f t="shared" si="84"/>
        <v>1</v>
      </c>
      <c r="T2863" s="512" t="e">
        <f>_xlfn.XLOOKUP(H2863,#REF!,#REF!,0,0)</f>
        <v>#REF!</v>
      </c>
    </row>
    <row r="2864" spans="1:20" s="376" customFormat="1" ht="18.75" customHeight="1" x14ac:dyDescent="0.4">
      <c r="A2864" s="1" t="s">
        <v>11028</v>
      </c>
      <c r="B2864" s="1" t="s">
        <v>11029</v>
      </c>
      <c r="C2864" s="1" t="s">
        <v>433</v>
      </c>
      <c r="D2864" s="1" t="s">
        <v>9084</v>
      </c>
      <c r="E2864" s="1" t="s">
        <v>10</v>
      </c>
      <c r="F2864" s="1" t="s">
        <v>436</v>
      </c>
      <c r="G2864" s="2">
        <v>45411</v>
      </c>
      <c r="H2864" s="1" t="s">
        <v>11030</v>
      </c>
      <c r="I2864" s="1">
        <v>76115</v>
      </c>
      <c r="J2864" s="1" t="s">
        <v>9220</v>
      </c>
      <c r="K2864" s="1" t="s">
        <v>11031</v>
      </c>
      <c r="L2864" s="1" t="s">
        <v>364</v>
      </c>
      <c r="M2864" s="1" t="s">
        <v>364</v>
      </c>
      <c r="N2864" s="1" t="s">
        <v>364</v>
      </c>
      <c r="O2864" s="1" t="s">
        <v>364</v>
      </c>
      <c r="P2864" s="293" t="s">
        <v>6278</v>
      </c>
      <c r="Q2864" s="1" t="str">
        <f t="shared" si="82"/>
        <v/>
      </c>
      <c r="R2864" s="1">
        <f t="shared" si="83"/>
        <v>1</v>
      </c>
      <c r="S2864" s="1">
        <f t="shared" si="84"/>
        <v>1</v>
      </c>
      <c r="T2864" s="512" t="e">
        <f>_xlfn.XLOOKUP(H2864,#REF!,#REF!,0,0)</f>
        <v>#REF!</v>
      </c>
    </row>
    <row r="2865" spans="1:20" s="286" customFormat="1" x14ac:dyDescent="0.4">
      <c r="A2865" s="2" t="s">
        <v>11032</v>
      </c>
      <c r="B2865" s="2" t="s">
        <v>11033</v>
      </c>
      <c r="C2865" s="2" t="s">
        <v>433</v>
      </c>
      <c r="D2865" s="2"/>
      <c r="E2865" s="2" t="s">
        <v>366</v>
      </c>
      <c r="F2865" s="2" t="s">
        <v>367</v>
      </c>
      <c r="G2865" s="2">
        <v>45673</v>
      </c>
      <c r="H2865" s="2" t="s">
        <v>11034</v>
      </c>
      <c r="I2865" s="281">
        <v>77570</v>
      </c>
      <c r="J2865" s="2" t="s">
        <v>11035</v>
      </c>
      <c r="K2865" s="2">
        <v>45757</v>
      </c>
      <c r="L2865" s="2" t="s">
        <v>364</v>
      </c>
      <c r="M2865" s="2" t="s">
        <v>364</v>
      </c>
      <c r="N2865" s="2" t="s">
        <v>364</v>
      </c>
      <c r="O2865" s="2" t="s">
        <v>364</v>
      </c>
      <c r="P2865" s="524" t="s">
        <v>11036</v>
      </c>
      <c r="Q2865" s="281" t="str">
        <f t="shared" si="82"/>
        <v/>
      </c>
      <c r="R2865" s="1">
        <f t="shared" si="83"/>
        <v>1</v>
      </c>
      <c r="S2865" s="1">
        <f t="shared" si="84"/>
        <v>1</v>
      </c>
      <c r="T2865" s="512" t="e">
        <f>_xlfn.XLOOKUP(H2865,#REF!,#REF!,0,0)</f>
        <v>#REF!</v>
      </c>
    </row>
    <row r="2866" spans="1:20" s="286" customFormat="1" x14ac:dyDescent="0.4">
      <c r="A2866" s="2" t="s">
        <v>11037</v>
      </c>
      <c r="B2866" s="2" t="s">
        <v>11038</v>
      </c>
      <c r="C2866" s="2" t="s">
        <v>433</v>
      </c>
      <c r="D2866" s="2" t="s">
        <v>9084</v>
      </c>
      <c r="E2866" s="2" t="s">
        <v>366</v>
      </c>
      <c r="F2866" s="2" t="s">
        <v>367</v>
      </c>
      <c r="G2866" s="2">
        <v>45673</v>
      </c>
      <c r="H2866" s="2" t="s">
        <v>11039</v>
      </c>
      <c r="I2866" s="281">
        <v>77571</v>
      </c>
      <c r="J2866" s="2" t="s">
        <v>11040</v>
      </c>
      <c r="K2866" s="2"/>
      <c r="L2866" s="2" t="s">
        <v>364</v>
      </c>
      <c r="M2866" s="2" t="s">
        <v>364</v>
      </c>
      <c r="N2866" s="2" t="s">
        <v>364</v>
      </c>
      <c r="O2866" s="2" t="s">
        <v>364</v>
      </c>
      <c r="P2866" s="524" t="s">
        <v>11041</v>
      </c>
      <c r="Q2866" s="281" t="str">
        <f>IF('Completati dal 2014'!A2863="SCORTA 10",1,"")</f>
        <v/>
      </c>
      <c r="R2866" s="1">
        <f>IF(H2866&lt;&gt;"",1,"")</f>
        <v>1</v>
      </c>
      <c r="S2866" s="1">
        <f t="shared" si="84"/>
        <v>1</v>
      </c>
      <c r="T2866" s="512" t="e">
        <f>_xlfn.XLOOKUP(H2866,#REF!,#REF!,0,0)</f>
        <v>#REF!</v>
      </c>
    </row>
    <row r="2867" spans="1:20" s="286" customFormat="1" x14ac:dyDescent="0.4">
      <c r="A2867" s="2" t="s">
        <v>11042</v>
      </c>
      <c r="B2867" s="2" t="s">
        <v>11043</v>
      </c>
      <c r="C2867" s="2" t="s">
        <v>435</v>
      </c>
      <c r="D2867" s="2" t="s">
        <v>9084</v>
      </c>
      <c r="E2867" s="2" t="s">
        <v>366</v>
      </c>
      <c r="F2867" s="2" t="s">
        <v>367</v>
      </c>
      <c r="G2867" s="2">
        <v>45673</v>
      </c>
      <c r="H2867" s="2" t="s">
        <v>11044</v>
      </c>
      <c r="I2867" s="281">
        <v>77569</v>
      </c>
      <c r="J2867" s="2" t="s">
        <v>11045</v>
      </c>
      <c r="K2867" s="2">
        <v>45762</v>
      </c>
      <c r="L2867" s="2" t="s">
        <v>364</v>
      </c>
      <c r="M2867" s="2" t="s">
        <v>364</v>
      </c>
      <c r="N2867" s="2" t="s">
        <v>364</v>
      </c>
      <c r="O2867" s="2" t="s">
        <v>364</v>
      </c>
      <c r="P2867" s="524" t="s">
        <v>11046</v>
      </c>
      <c r="Q2867" s="281" t="str">
        <f>IF(A2867="SCORTA 10",1,"")</f>
        <v/>
      </c>
      <c r="R2867" s="1">
        <f>IF(H2867&lt;&gt;"",1,"")</f>
        <v>1</v>
      </c>
      <c r="S2867" s="1">
        <f t="shared" si="84"/>
        <v>1</v>
      </c>
      <c r="T2867" s="512" t="e">
        <f>_xlfn.XLOOKUP(H2867,#REF!,#REF!,0,0)</f>
        <v>#REF!</v>
      </c>
    </row>
    <row r="2868" spans="1:20" s="286" customFormat="1" x14ac:dyDescent="0.4">
      <c r="A2868" s="2" t="s">
        <v>11047</v>
      </c>
      <c r="B2868" s="2" t="s">
        <v>11048</v>
      </c>
      <c r="C2868" s="2" t="s">
        <v>433</v>
      </c>
      <c r="D2868" s="2" t="s">
        <v>9084</v>
      </c>
      <c r="E2868" s="2" t="s">
        <v>366</v>
      </c>
      <c r="F2868" s="2" t="s">
        <v>367</v>
      </c>
      <c r="G2868" s="2">
        <v>45673</v>
      </c>
      <c r="H2868" s="2" t="s">
        <v>493</v>
      </c>
      <c r="I2868" s="281">
        <v>77574</v>
      </c>
      <c r="J2868" s="2" t="s">
        <v>11049</v>
      </c>
      <c r="K2868" s="2"/>
      <c r="L2868" s="2" t="s">
        <v>364</v>
      </c>
      <c r="M2868" s="2" t="s">
        <v>364</v>
      </c>
      <c r="N2868" s="2" t="s">
        <v>364</v>
      </c>
      <c r="O2868" s="2" t="s">
        <v>364</v>
      </c>
      <c r="P2868" s="524"/>
      <c r="Q2868" s="281" t="str">
        <f>IF('Completati dal 2014'!A2867="SCORTA 10",1,"")</f>
        <v/>
      </c>
      <c r="R2868" s="1">
        <f>IF(H2868&lt;&gt;"",1,"")</f>
        <v>1</v>
      </c>
      <c r="S2868" s="1">
        <f t="shared" si="84"/>
        <v>1</v>
      </c>
      <c r="T2868" s="512" t="e">
        <f>_xlfn.XLOOKUP(H2868,#REF!,#REF!,0,0)</f>
        <v>#REF!</v>
      </c>
    </row>
    <row r="2869" spans="1:20" s="328" customFormat="1" x14ac:dyDescent="0.4">
      <c r="A2869" s="324" t="s">
        <v>11050</v>
      </c>
      <c r="B2869" s="324" t="s">
        <v>11051</v>
      </c>
      <c r="C2869" s="324" t="s">
        <v>433</v>
      </c>
      <c r="D2869" s="324"/>
      <c r="E2869" s="324" t="s">
        <v>11052</v>
      </c>
      <c r="F2869" s="324">
        <v>760</v>
      </c>
      <c r="G2869" s="326" t="s">
        <v>3718</v>
      </c>
      <c r="H2869" s="326" t="s">
        <v>3718</v>
      </c>
      <c r="I2869" s="326" t="s">
        <v>3718</v>
      </c>
      <c r="J2869" s="326" t="s">
        <v>3718</v>
      </c>
      <c r="K2869" s="326"/>
      <c r="L2869" s="326" t="s">
        <v>3718</v>
      </c>
      <c r="M2869" s="326" t="s">
        <v>3718</v>
      </c>
      <c r="N2869" s="326" t="s">
        <v>3718</v>
      </c>
      <c r="O2869" s="326" t="s">
        <v>3718</v>
      </c>
      <c r="P2869" s="528"/>
      <c r="Q2869" s="324" t="str">
        <f>IF(AND(C2869="Priorità/stagisti/Scorta"),1,"")</f>
        <v/>
      </c>
      <c r="R2869" s="324">
        <f t="shared" ref="R2869:R2874" si="85">IF(AND(C2869&lt;&gt;"Priorità/Stagisti/Scorta",C2869&lt;&gt;""),1,"")</f>
        <v>1</v>
      </c>
      <c r="S2869" s="324" t="str">
        <f t="shared" ref="S2869:S2874" si="86">IF(AND(D2869&lt;&gt;"Priorità/Stagisti/Scorta",D2869&lt;&gt;""),1,"")</f>
        <v/>
      </c>
      <c r="T2869" s="512" t="e">
        <f>_xlfn.XLOOKUP(H2869,#REF!,#REF!,0,0)</f>
        <v>#REF!</v>
      </c>
    </row>
    <row r="2870" spans="1:20" s="328" customFormat="1" x14ac:dyDescent="0.4">
      <c r="A2870" s="324" t="s">
        <v>11053</v>
      </c>
      <c r="B2870" s="324" t="s">
        <v>11054</v>
      </c>
      <c r="C2870" s="324" t="s">
        <v>433</v>
      </c>
      <c r="D2870" s="324"/>
      <c r="E2870" s="324" t="s">
        <v>11052</v>
      </c>
      <c r="F2870" s="324">
        <v>760</v>
      </c>
      <c r="G2870" s="326" t="s">
        <v>3718</v>
      </c>
      <c r="H2870" s="326" t="s">
        <v>3718</v>
      </c>
      <c r="I2870" s="326" t="s">
        <v>3718</v>
      </c>
      <c r="J2870" s="326" t="s">
        <v>3718</v>
      </c>
      <c r="K2870" s="326"/>
      <c r="L2870" s="326" t="s">
        <v>3718</v>
      </c>
      <c r="M2870" s="326" t="s">
        <v>3718</v>
      </c>
      <c r="N2870" s="326" t="s">
        <v>3718</v>
      </c>
      <c r="O2870" s="326" t="s">
        <v>3718</v>
      </c>
      <c r="P2870" s="528"/>
      <c r="Q2870" s="324" t="str">
        <f>IF(AND(C2870="Priorità/stagisti/Scorta"),1,"")</f>
        <v/>
      </c>
      <c r="R2870" s="324">
        <f t="shared" si="85"/>
        <v>1</v>
      </c>
      <c r="S2870" s="324" t="str">
        <f t="shared" si="86"/>
        <v/>
      </c>
      <c r="T2870" s="512" t="e">
        <f>_xlfn.XLOOKUP(H2870,#REF!,#REF!,0,0)</f>
        <v>#REF!</v>
      </c>
    </row>
    <row r="2871" spans="1:20" s="328" customFormat="1" x14ac:dyDescent="0.4">
      <c r="A2871" s="324" t="s">
        <v>11055</v>
      </c>
      <c r="B2871" s="324" t="s">
        <v>10325</v>
      </c>
      <c r="C2871" s="324" t="s">
        <v>433</v>
      </c>
      <c r="D2871" s="324" t="s">
        <v>9084</v>
      </c>
      <c r="E2871" s="324" t="s">
        <v>10</v>
      </c>
      <c r="F2871" s="324" t="s">
        <v>10331</v>
      </c>
      <c r="G2871" s="326"/>
      <c r="H2871" s="324" t="s">
        <v>11056</v>
      </c>
      <c r="I2871" s="327"/>
      <c r="J2871" s="324"/>
      <c r="K2871" s="326"/>
      <c r="L2871" s="324" t="s">
        <v>364</v>
      </c>
      <c r="M2871" s="324" t="s">
        <v>364</v>
      </c>
      <c r="N2871" s="324" t="s">
        <v>364</v>
      </c>
      <c r="O2871" s="324" t="s">
        <v>364</v>
      </c>
      <c r="P2871" s="528" t="s">
        <v>11057</v>
      </c>
      <c r="Q2871" s="324" t="str">
        <f>IF(AND(C2871="Priorità/stagisti/Scorta"),1,"")</f>
        <v/>
      </c>
      <c r="R2871" s="324">
        <f t="shared" si="85"/>
        <v>1</v>
      </c>
      <c r="S2871" s="324">
        <f t="shared" si="86"/>
        <v>1</v>
      </c>
      <c r="T2871" s="512" t="e">
        <f>_xlfn.XLOOKUP(H2871,#REF!,#REF!,0,0)</f>
        <v>#REF!</v>
      </c>
    </row>
    <row r="2872" spans="1:20" s="328" customFormat="1" x14ac:dyDescent="0.4">
      <c r="A2872" s="324" t="s">
        <v>11058</v>
      </c>
      <c r="B2872" s="324" t="s">
        <v>10325</v>
      </c>
      <c r="C2872" s="324" t="s">
        <v>433</v>
      </c>
      <c r="D2872" s="324" t="s">
        <v>9084</v>
      </c>
      <c r="E2872" s="324" t="s">
        <v>10</v>
      </c>
      <c r="F2872" s="324" t="s">
        <v>10331</v>
      </c>
      <c r="G2872" s="326"/>
      <c r="H2872" s="324" t="s">
        <v>11059</v>
      </c>
      <c r="I2872" s="327"/>
      <c r="J2872" s="324"/>
      <c r="K2872" s="326"/>
      <c r="L2872" s="324" t="s">
        <v>364</v>
      </c>
      <c r="M2872" s="324" t="s">
        <v>364</v>
      </c>
      <c r="N2872" s="324" t="s">
        <v>364</v>
      </c>
      <c r="O2872" s="324" t="s">
        <v>364</v>
      </c>
      <c r="P2872" s="528" t="s">
        <v>11057</v>
      </c>
      <c r="Q2872" s="324"/>
      <c r="R2872" s="324">
        <f t="shared" si="85"/>
        <v>1</v>
      </c>
      <c r="S2872" s="324">
        <f t="shared" si="86"/>
        <v>1</v>
      </c>
      <c r="T2872" s="512" t="e">
        <f>_xlfn.XLOOKUP(H2872,#REF!,#REF!,0,0)</f>
        <v>#REF!</v>
      </c>
    </row>
    <row r="2873" spans="1:20" s="328" customFormat="1" x14ac:dyDescent="0.4">
      <c r="A2873" s="324" t="s">
        <v>11060</v>
      </c>
      <c r="B2873" s="324" t="s">
        <v>10325</v>
      </c>
      <c r="C2873" s="324" t="s">
        <v>433</v>
      </c>
      <c r="D2873" s="324" t="s">
        <v>9084</v>
      </c>
      <c r="E2873" s="324" t="s">
        <v>10</v>
      </c>
      <c r="F2873" s="324" t="s">
        <v>10331</v>
      </c>
      <c r="G2873" s="326"/>
      <c r="H2873" s="324" t="s">
        <v>11061</v>
      </c>
      <c r="I2873" s="327"/>
      <c r="J2873" s="324"/>
      <c r="K2873" s="326"/>
      <c r="L2873" s="324" t="s">
        <v>364</v>
      </c>
      <c r="M2873" s="324" t="s">
        <v>364</v>
      </c>
      <c r="N2873" s="324" t="s">
        <v>364</v>
      </c>
      <c r="O2873" s="324" t="s">
        <v>364</v>
      </c>
      <c r="P2873" s="528" t="s">
        <v>11057</v>
      </c>
      <c r="Q2873" s="324"/>
      <c r="R2873" s="324">
        <f t="shared" si="85"/>
        <v>1</v>
      </c>
      <c r="S2873" s="324">
        <f t="shared" si="86"/>
        <v>1</v>
      </c>
      <c r="T2873" s="512" t="e">
        <f>_xlfn.XLOOKUP(H2873,#REF!,#REF!,0,0)</f>
        <v>#REF!</v>
      </c>
    </row>
    <row r="2874" spans="1:20" s="328" customFormat="1" x14ac:dyDescent="0.4">
      <c r="A2874" s="324" t="s">
        <v>11062</v>
      </c>
      <c r="B2874" s="324" t="s">
        <v>10325</v>
      </c>
      <c r="C2874" s="324" t="s">
        <v>433</v>
      </c>
      <c r="D2874" s="324" t="s">
        <v>9084</v>
      </c>
      <c r="E2874" s="324" t="s">
        <v>10</v>
      </c>
      <c r="F2874" s="324" t="s">
        <v>10331</v>
      </c>
      <c r="G2874" s="326"/>
      <c r="H2874" s="324" t="s">
        <v>11063</v>
      </c>
      <c r="I2874" s="327"/>
      <c r="J2874" s="324"/>
      <c r="K2874" s="326"/>
      <c r="L2874" s="324" t="s">
        <v>364</v>
      </c>
      <c r="M2874" s="324" t="s">
        <v>364</v>
      </c>
      <c r="N2874" s="324" t="s">
        <v>364</v>
      </c>
      <c r="O2874" s="324" t="s">
        <v>364</v>
      </c>
      <c r="P2874" s="528" t="s">
        <v>11057</v>
      </c>
      <c r="Q2874" s="324"/>
      <c r="R2874" s="324">
        <f t="shared" si="85"/>
        <v>1</v>
      </c>
      <c r="S2874" s="324">
        <f t="shared" si="86"/>
        <v>1</v>
      </c>
      <c r="T2874" s="512" t="e">
        <f>_xlfn.XLOOKUP(H2874,#REF!,#REF!,0,0)</f>
        <v>#REF!</v>
      </c>
    </row>
    <row r="2875" spans="1:20" s="376" customFormat="1" ht="18.75" customHeight="1" x14ac:dyDescent="0.4">
      <c r="A2875" s="1" t="s">
        <v>11064</v>
      </c>
      <c r="B2875" s="1" t="s">
        <v>11065</v>
      </c>
      <c r="C2875" s="1" t="s">
        <v>433</v>
      </c>
      <c r="D2875" s="1" t="s">
        <v>11066</v>
      </c>
      <c r="E2875" s="1" t="s">
        <v>10</v>
      </c>
      <c r="F2875" s="1" t="s">
        <v>436</v>
      </c>
      <c r="G2875" s="2">
        <v>45566</v>
      </c>
      <c r="H2875" s="1" t="s">
        <v>11067</v>
      </c>
      <c r="I2875" s="1">
        <v>76838</v>
      </c>
      <c r="J2875" s="1" t="s">
        <v>11068</v>
      </c>
      <c r="K2875" s="1"/>
      <c r="L2875" s="1" t="s">
        <v>364</v>
      </c>
      <c r="M2875" s="1" t="s">
        <v>364</v>
      </c>
      <c r="N2875" s="1" t="s">
        <v>364</v>
      </c>
      <c r="O2875" s="1" t="s">
        <v>364</v>
      </c>
      <c r="P2875" s="293" t="s">
        <v>11069</v>
      </c>
      <c r="Q2875" s="1" t="str">
        <f t="shared" ref="Q2875:Q2881" si="87">IF(A2875="SCORTA 10",1,"")</f>
        <v/>
      </c>
      <c r="R2875" s="1">
        <f t="shared" ref="R2875:R2881" si="88">IF(H2875&lt;&gt;"",1,"")</f>
        <v>1</v>
      </c>
      <c r="S2875" s="1">
        <f t="shared" ref="S2875:S2887" si="89">IF(I2875&lt;&gt;"",1,"")</f>
        <v>1</v>
      </c>
      <c r="T2875" s="512" t="e">
        <f>_xlfn.XLOOKUP(H2875,#REF!,#REF!,0,0)</f>
        <v>#REF!</v>
      </c>
    </row>
    <row r="2876" spans="1:20" s="376" customFormat="1" ht="18.75" customHeight="1" x14ac:dyDescent="0.4">
      <c r="A2876" s="1" t="s">
        <v>11070</v>
      </c>
      <c r="B2876" s="1" t="s">
        <v>11071</v>
      </c>
      <c r="C2876" s="1" t="s">
        <v>435</v>
      </c>
      <c r="D2876" s="1" t="s">
        <v>9084</v>
      </c>
      <c r="E2876" s="1" t="s">
        <v>10</v>
      </c>
      <c r="F2876" s="1" t="s">
        <v>436</v>
      </c>
      <c r="G2876" s="2">
        <v>45566</v>
      </c>
      <c r="H2876" s="1" t="s">
        <v>11072</v>
      </c>
      <c r="I2876" s="1">
        <v>76832</v>
      </c>
      <c r="J2876" s="1" t="s">
        <v>11073</v>
      </c>
      <c r="K2876" s="291">
        <v>45778</v>
      </c>
      <c r="L2876" s="1" t="s">
        <v>364</v>
      </c>
      <c r="M2876" s="1" t="s">
        <v>364</v>
      </c>
      <c r="N2876" s="1" t="s">
        <v>364</v>
      </c>
      <c r="O2876" s="1" t="s">
        <v>364</v>
      </c>
      <c r="P2876" s="293" t="s">
        <v>11074</v>
      </c>
      <c r="Q2876" s="1" t="str">
        <f t="shared" si="87"/>
        <v/>
      </c>
      <c r="R2876" s="1">
        <f t="shared" si="88"/>
        <v>1</v>
      </c>
      <c r="S2876" s="1">
        <f t="shared" si="89"/>
        <v>1</v>
      </c>
      <c r="T2876" s="512" t="e">
        <f>_xlfn.XLOOKUP(H2876,#REF!,#REF!,0,0)</f>
        <v>#REF!</v>
      </c>
    </row>
    <row r="2877" spans="1:20" s="286" customFormat="1" x14ac:dyDescent="0.4">
      <c r="A2877" s="281" t="s">
        <v>11075</v>
      </c>
      <c r="B2877" s="281" t="s">
        <v>11076</v>
      </c>
      <c r="C2877" s="281" t="s">
        <v>433</v>
      </c>
      <c r="D2877" s="281" t="s">
        <v>9084</v>
      </c>
      <c r="E2877" s="281" t="s">
        <v>366</v>
      </c>
      <c r="F2877" s="281" t="s">
        <v>367</v>
      </c>
      <c r="G2877" s="2">
        <v>45751</v>
      </c>
      <c r="H2877" s="281" t="s">
        <v>11077</v>
      </c>
      <c r="I2877" s="281">
        <v>77393</v>
      </c>
      <c r="J2877" s="281" t="s">
        <v>11078</v>
      </c>
      <c r="K2877" s="2">
        <v>45770</v>
      </c>
      <c r="L2877" s="281" t="s">
        <v>364</v>
      </c>
      <c r="M2877" s="281" t="s">
        <v>364</v>
      </c>
      <c r="N2877" s="281" t="s">
        <v>364</v>
      </c>
      <c r="O2877" s="281" t="s">
        <v>364</v>
      </c>
      <c r="P2877" s="550" t="s">
        <v>6008</v>
      </c>
      <c r="Q2877" s="281" t="str">
        <f t="shared" si="87"/>
        <v/>
      </c>
      <c r="R2877" s="1">
        <f t="shared" si="88"/>
        <v>1</v>
      </c>
      <c r="S2877" s="1">
        <f t="shared" si="89"/>
        <v>1</v>
      </c>
      <c r="T2877" s="512" t="e">
        <f>_xlfn.XLOOKUP(H2877,#REF!,#REF!,0,0)</f>
        <v>#REF!</v>
      </c>
    </row>
    <row r="2878" spans="1:20" s="286" customFormat="1" x14ac:dyDescent="0.4">
      <c r="A2878" s="281" t="s">
        <v>11079</v>
      </c>
      <c r="B2878" s="281" t="s">
        <v>11080</v>
      </c>
      <c r="C2878" s="281" t="s">
        <v>433</v>
      </c>
      <c r="D2878" s="281" t="s">
        <v>9084</v>
      </c>
      <c r="E2878" s="281" t="s">
        <v>366</v>
      </c>
      <c r="F2878" s="281" t="s">
        <v>367</v>
      </c>
      <c r="G2878" s="2">
        <v>45751</v>
      </c>
      <c r="H2878" s="281" t="s">
        <v>557</v>
      </c>
      <c r="I2878" s="281">
        <v>77395</v>
      </c>
      <c r="J2878" s="281" t="s">
        <v>11081</v>
      </c>
      <c r="K2878" s="281"/>
      <c r="L2878" s="281" t="s">
        <v>364</v>
      </c>
      <c r="M2878" s="281" t="s">
        <v>364</v>
      </c>
      <c r="N2878" s="281" t="s">
        <v>364</v>
      </c>
      <c r="O2878" s="281" t="s">
        <v>364</v>
      </c>
      <c r="P2878" s="550" t="s">
        <v>10848</v>
      </c>
      <c r="Q2878" s="281" t="str">
        <f t="shared" si="87"/>
        <v/>
      </c>
      <c r="R2878" s="1">
        <f t="shared" si="88"/>
        <v>1</v>
      </c>
      <c r="S2878" s="1">
        <f t="shared" si="89"/>
        <v>1</v>
      </c>
      <c r="T2878" s="512" t="e">
        <f>_xlfn.XLOOKUP(H2878,#REF!,#REF!,0,0)</f>
        <v>#REF!</v>
      </c>
    </row>
    <row r="2879" spans="1:20" s="286" customFormat="1" x14ac:dyDescent="0.4">
      <c r="A2879" s="281" t="s">
        <v>11082</v>
      </c>
      <c r="B2879" s="281" t="s">
        <v>11083</v>
      </c>
      <c r="C2879" s="281" t="s">
        <v>433</v>
      </c>
      <c r="D2879" s="281"/>
      <c r="E2879" s="281" t="s">
        <v>366</v>
      </c>
      <c r="F2879" s="281" t="s">
        <v>367</v>
      </c>
      <c r="G2879" s="2">
        <v>45751</v>
      </c>
      <c r="H2879" s="281" t="s">
        <v>480</v>
      </c>
      <c r="I2879" s="281">
        <v>77394</v>
      </c>
      <c r="J2879" s="281" t="s">
        <v>11084</v>
      </c>
      <c r="K2879" s="281" t="s">
        <v>11085</v>
      </c>
      <c r="L2879" s="281" t="s">
        <v>364</v>
      </c>
      <c r="M2879" s="281" t="s">
        <v>364</v>
      </c>
      <c r="N2879" s="281" t="s">
        <v>364</v>
      </c>
      <c r="O2879" s="281" t="s">
        <v>364</v>
      </c>
      <c r="P2879" s="550" t="s">
        <v>6008</v>
      </c>
      <c r="Q2879" s="281" t="str">
        <f t="shared" si="87"/>
        <v/>
      </c>
      <c r="R2879" s="1">
        <f t="shared" si="88"/>
        <v>1</v>
      </c>
      <c r="S2879" s="1">
        <f t="shared" si="89"/>
        <v>1</v>
      </c>
      <c r="T2879" s="512" t="e">
        <f>_xlfn.XLOOKUP(H2879,#REF!,#REF!,0,0)</f>
        <v>#REF!</v>
      </c>
    </row>
    <row r="2880" spans="1:20" s="286" customFormat="1" x14ac:dyDescent="0.4">
      <c r="A2880" s="281" t="s">
        <v>11086</v>
      </c>
      <c r="B2880" s="281" t="s">
        <v>11087</v>
      </c>
      <c r="C2880" s="281" t="s">
        <v>433</v>
      </c>
      <c r="D2880" s="281"/>
      <c r="E2880" s="281" t="s">
        <v>366</v>
      </c>
      <c r="F2880" s="281" t="s">
        <v>367</v>
      </c>
      <c r="G2880" s="2">
        <v>45751</v>
      </c>
      <c r="H2880" s="281" t="s">
        <v>11088</v>
      </c>
      <c r="I2880" s="281">
        <v>77398</v>
      </c>
      <c r="J2880" s="281" t="s">
        <v>11089</v>
      </c>
      <c r="K2880" s="281"/>
      <c r="L2880" s="281" t="s">
        <v>364</v>
      </c>
      <c r="M2880" s="281" t="s">
        <v>364</v>
      </c>
      <c r="N2880" s="281" t="s">
        <v>364</v>
      </c>
      <c r="O2880" s="281" t="s">
        <v>364</v>
      </c>
      <c r="P2880" s="550"/>
      <c r="Q2880" s="281" t="str">
        <f t="shared" si="87"/>
        <v/>
      </c>
      <c r="R2880" s="1">
        <f t="shared" si="88"/>
        <v>1</v>
      </c>
      <c r="S2880" s="1">
        <f t="shared" si="89"/>
        <v>1</v>
      </c>
      <c r="T2880" s="512" t="e">
        <f>_xlfn.XLOOKUP(H2880,#REF!,#REF!,0,0)</f>
        <v>#REF!</v>
      </c>
    </row>
    <row r="2881" spans="1:20" s="376" customFormat="1" ht="18.75" customHeight="1" x14ac:dyDescent="0.4">
      <c r="A2881" s="1" t="s">
        <v>11090</v>
      </c>
      <c r="B2881" s="1" t="s">
        <v>11091</v>
      </c>
      <c r="C2881" s="1" t="s">
        <v>433</v>
      </c>
      <c r="D2881" s="1"/>
      <c r="E2881" s="1" t="s">
        <v>10</v>
      </c>
      <c r="F2881" s="1" t="s">
        <v>436</v>
      </c>
      <c r="G2881" s="2">
        <v>45566</v>
      </c>
      <c r="H2881" s="1" t="s">
        <v>11092</v>
      </c>
      <c r="I2881" s="1">
        <v>76836</v>
      </c>
      <c r="J2881" s="1" t="s">
        <v>11093</v>
      </c>
      <c r="K2881" s="2">
        <v>45782</v>
      </c>
      <c r="L2881" s="1" t="s">
        <v>364</v>
      </c>
      <c r="M2881" s="1" t="s">
        <v>364</v>
      </c>
      <c r="N2881" s="1" t="s">
        <v>364</v>
      </c>
      <c r="O2881" s="1" t="s">
        <v>364</v>
      </c>
      <c r="P2881" s="293" t="s">
        <v>11094</v>
      </c>
      <c r="Q2881" s="1" t="str">
        <f t="shared" si="87"/>
        <v/>
      </c>
      <c r="R2881" s="1">
        <f t="shared" si="88"/>
        <v>1</v>
      </c>
      <c r="S2881" s="1">
        <f t="shared" si="89"/>
        <v>1</v>
      </c>
      <c r="T2881" s="512" t="e">
        <f>_xlfn.XLOOKUP(H2881,#REF!,#REF!,0,0)</f>
        <v>#REF!</v>
      </c>
    </row>
    <row r="2882" spans="1:20" s="376" customFormat="1" x14ac:dyDescent="0.4">
      <c r="A2882" s="1" t="s">
        <v>11095</v>
      </c>
      <c r="B2882" s="1" t="s">
        <v>11096</v>
      </c>
      <c r="C2882" s="1" t="s">
        <v>433</v>
      </c>
      <c r="D2882" s="1" t="s">
        <v>9084</v>
      </c>
      <c r="E2882" s="1" t="s">
        <v>10</v>
      </c>
      <c r="F2882" s="1"/>
      <c r="G2882" s="2"/>
      <c r="H2882" s="1" t="s">
        <v>11097</v>
      </c>
      <c r="I2882" s="1">
        <v>77324</v>
      </c>
      <c r="J2882" s="1" t="s">
        <v>11098</v>
      </c>
      <c r="K2882" s="1" t="s">
        <v>11099</v>
      </c>
      <c r="L2882" s="1" t="s">
        <v>364</v>
      </c>
      <c r="M2882" s="1" t="s">
        <v>364</v>
      </c>
      <c r="N2882" s="1" t="s">
        <v>364</v>
      </c>
      <c r="O2882" s="1" t="s">
        <v>364</v>
      </c>
      <c r="P2882" s="293" t="s">
        <v>11100</v>
      </c>
      <c r="Q2882" s="1" t="str">
        <f t="shared" ref="Q2882:Q2887" si="90">IF(A2882="SCORTA 10",1,"")</f>
        <v/>
      </c>
      <c r="R2882" s="1">
        <f t="shared" ref="R2882:R2887" si="91">IF(H2882&lt;&gt;"",1,"")</f>
        <v>1</v>
      </c>
      <c r="S2882" s="1">
        <f t="shared" si="89"/>
        <v>1</v>
      </c>
      <c r="T2882" s="512" t="e">
        <f>_xlfn.XLOOKUP(H2882,#REF!,#REF!,0,0)</f>
        <v>#REF!</v>
      </c>
    </row>
    <row r="2883" spans="1:20" s="376" customFormat="1" x14ac:dyDescent="0.4">
      <c r="A2883" s="1" t="s">
        <v>11101</v>
      </c>
      <c r="B2883" s="1" t="s">
        <v>11102</v>
      </c>
      <c r="C2883" s="1" t="s">
        <v>433</v>
      </c>
      <c r="D2883" s="291" t="s">
        <v>9084</v>
      </c>
      <c r="E2883" s="1" t="s">
        <v>10</v>
      </c>
      <c r="F2883" s="1" t="s">
        <v>436</v>
      </c>
      <c r="G2883" s="2">
        <v>45566</v>
      </c>
      <c r="H2883" s="1" t="s">
        <v>11103</v>
      </c>
      <c r="I2883" s="1">
        <v>76835</v>
      </c>
      <c r="J2883" s="1" t="s">
        <v>11104</v>
      </c>
      <c r="K2883" s="2">
        <v>45783</v>
      </c>
      <c r="L2883" s="1" t="s">
        <v>364</v>
      </c>
      <c r="M2883" s="1" t="s">
        <v>364</v>
      </c>
      <c r="N2883" s="1" t="s">
        <v>364</v>
      </c>
      <c r="O2883" s="1" t="s">
        <v>364</v>
      </c>
      <c r="P2883" s="293" t="s">
        <v>5255</v>
      </c>
      <c r="Q2883" s="1" t="str">
        <f t="shared" si="90"/>
        <v/>
      </c>
      <c r="R2883" s="1">
        <f t="shared" si="91"/>
        <v>1</v>
      </c>
      <c r="S2883" s="1">
        <f t="shared" si="89"/>
        <v>1</v>
      </c>
      <c r="T2883" s="512" t="e">
        <f>_xlfn.XLOOKUP(H2883,#REF!,#REF!,0,0)</f>
        <v>#REF!</v>
      </c>
    </row>
    <row r="2884" spans="1:20" s="376" customFormat="1" ht="18.75" customHeight="1" x14ac:dyDescent="0.4">
      <c r="A2884" s="1" t="s">
        <v>11105</v>
      </c>
      <c r="B2884" s="1" t="s">
        <v>11106</v>
      </c>
      <c r="C2884" s="1" t="s">
        <v>433</v>
      </c>
      <c r="D2884" s="1" t="s">
        <v>9084</v>
      </c>
      <c r="E2884" s="1" t="s">
        <v>10</v>
      </c>
      <c r="F2884" s="1" t="s">
        <v>11107</v>
      </c>
      <c r="G2884" s="2">
        <v>45765</v>
      </c>
      <c r="H2884" s="1" t="s">
        <v>11108</v>
      </c>
      <c r="I2884" s="1">
        <v>77318</v>
      </c>
      <c r="J2884" s="1" t="s">
        <v>11109</v>
      </c>
      <c r="K2884" s="1" t="s">
        <v>11110</v>
      </c>
      <c r="L2884" s="1" t="s">
        <v>364</v>
      </c>
      <c r="M2884" s="1" t="s">
        <v>364</v>
      </c>
      <c r="N2884" s="1" t="s">
        <v>364</v>
      </c>
      <c r="O2884" s="1" t="s">
        <v>364</v>
      </c>
      <c r="P2884" s="293" t="s">
        <v>11111</v>
      </c>
      <c r="Q2884" s="1" t="str">
        <f t="shared" si="90"/>
        <v/>
      </c>
      <c r="R2884" s="1">
        <f t="shared" si="91"/>
        <v>1</v>
      </c>
      <c r="S2884" s="1">
        <f t="shared" si="89"/>
        <v>1</v>
      </c>
      <c r="T2884" s="512" t="e">
        <f>_xlfn.XLOOKUP(H2884,#REF!,#REF!,0,0)</f>
        <v>#REF!</v>
      </c>
    </row>
    <row r="2885" spans="1:20" s="376" customFormat="1" ht="18.75" customHeight="1" x14ac:dyDescent="0.4">
      <c r="A2885" s="1" t="s">
        <v>11112</v>
      </c>
      <c r="B2885" s="1" t="s">
        <v>11113</v>
      </c>
      <c r="C2885" s="1" t="s">
        <v>433</v>
      </c>
      <c r="D2885" s="1" t="s">
        <v>9084</v>
      </c>
      <c r="E2885" s="1" t="s">
        <v>10</v>
      </c>
      <c r="F2885" s="1" t="s">
        <v>11107</v>
      </c>
      <c r="G2885" s="2">
        <v>45765</v>
      </c>
      <c r="H2885" s="1" t="s">
        <v>11114</v>
      </c>
      <c r="I2885" s="1">
        <v>77326</v>
      </c>
      <c r="J2885" s="1" t="s">
        <v>11115</v>
      </c>
      <c r="K2885" s="1" t="s">
        <v>11116</v>
      </c>
      <c r="L2885" s="1" t="s">
        <v>364</v>
      </c>
      <c r="M2885" s="1" t="s">
        <v>364</v>
      </c>
      <c r="N2885" s="1" t="s">
        <v>364</v>
      </c>
      <c r="O2885" s="1" t="s">
        <v>364</v>
      </c>
      <c r="P2885" s="293" t="s">
        <v>11117</v>
      </c>
      <c r="Q2885" s="1" t="str">
        <f t="shared" si="90"/>
        <v/>
      </c>
      <c r="R2885" s="1">
        <f t="shared" si="91"/>
        <v>1</v>
      </c>
      <c r="S2885" s="1">
        <f t="shared" si="89"/>
        <v>1</v>
      </c>
      <c r="T2885" s="512" t="e">
        <f>_xlfn.XLOOKUP(H2885,#REF!,#REF!,0,0)</f>
        <v>#REF!</v>
      </c>
    </row>
    <row r="2886" spans="1:20" s="376" customFormat="1" ht="18.75" customHeight="1" x14ac:dyDescent="0.4">
      <c r="A2886" s="1" t="s">
        <v>11118</v>
      </c>
      <c r="B2886" s="1" t="s">
        <v>11119</v>
      </c>
      <c r="C2886" s="1" t="s">
        <v>433</v>
      </c>
      <c r="D2886" s="1" t="s">
        <v>9084</v>
      </c>
      <c r="E2886" s="1" t="s">
        <v>10</v>
      </c>
      <c r="F2886" s="1" t="s">
        <v>11107</v>
      </c>
      <c r="G2886" s="2">
        <v>45765</v>
      </c>
      <c r="H2886" s="1" t="s">
        <v>11120</v>
      </c>
      <c r="I2886" s="1">
        <v>77325</v>
      </c>
      <c r="J2886" s="1" t="s">
        <v>11121</v>
      </c>
      <c r="K2886" s="1" t="s">
        <v>11122</v>
      </c>
      <c r="L2886" s="1" t="s">
        <v>364</v>
      </c>
      <c r="M2886" s="1" t="s">
        <v>364</v>
      </c>
      <c r="N2886" s="1" t="s">
        <v>364</v>
      </c>
      <c r="O2886" s="1" t="s">
        <v>364</v>
      </c>
      <c r="P2886" s="293" t="s">
        <v>11123</v>
      </c>
      <c r="Q2886" s="1" t="str">
        <f t="shared" si="90"/>
        <v/>
      </c>
      <c r="R2886" s="1">
        <f t="shared" si="91"/>
        <v>1</v>
      </c>
      <c r="S2886" s="1">
        <f t="shared" si="89"/>
        <v>1</v>
      </c>
      <c r="T2886" s="512" t="e">
        <f>_xlfn.XLOOKUP(H2886,#REF!,#REF!,0,0)</f>
        <v>#REF!</v>
      </c>
    </row>
    <row r="2887" spans="1:20" s="376" customFormat="1" ht="18.75" customHeight="1" x14ac:dyDescent="0.4">
      <c r="A2887" s="1" t="s">
        <v>11124</v>
      </c>
      <c r="B2887" s="289" t="s">
        <v>11125</v>
      </c>
      <c r="C2887" s="1" t="s">
        <v>433</v>
      </c>
      <c r="D2887" s="1" t="s">
        <v>9084</v>
      </c>
      <c r="E2887" s="1" t="s">
        <v>10</v>
      </c>
      <c r="F2887" s="1" t="s">
        <v>11107</v>
      </c>
      <c r="G2887" s="2">
        <v>45765</v>
      </c>
      <c r="H2887" s="1" t="s">
        <v>11126</v>
      </c>
      <c r="I2887" s="1">
        <v>77328</v>
      </c>
      <c r="J2887" s="1" t="s">
        <v>11127</v>
      </c>
      <c r="K2887" s="1" t="s">
        <v>11128</v>
      </c>
      <c r="L2887" s="1" t="s">
        <v>364</v>
      </c>
      <c r="M2887" s="1" t="s">
        <v>364</v>
      </c>
      <c r="N2887" s="1" t="s">
        <v>364</v>
      </c>
      <c r="O2887" s="1" t="s">
        <v>364</v>
      </c>
      <c r="P2887" s="293" t="s">
        <v>11129</v>
      </c>
      <c r="Q2887" s="1" t="str">
        <f t="shared" si="90"/>
        <v/>
      </c>
      <c r="R2887" s="1">
        <f t="shared" si="91"/>
        <v>1</v>
      </c>
      <c r="S2887" s="1">
        <f t="shared" si="89"/>
        <v>1</v>
      </c>
      <c r="T2887" s="512" t="e">
        <f>_xlfn.XLOOKUP(H2887,#REF!,#REF!,0,0)</f>
        <v>#REF!</v>
      </c>
    </row>
    <row r="2888" spans="1:20" s="328" customFormat="1" x14ac:dyDescent="0.4">
      <c r="A2888" s="324" t="s">
        <v>11130</v>
      </c>
      <c r="B2888" s="324" t="s">
        <v>11131</v>
      </c>
      <c r="C2888" s="324" t="s">
        <v>431</v>
      </c>
      <c r="D2888" s="324" t="s">
        <v>9084</v>
      </c>
      <c r="E2888" s="324" t="s">
        <v>10</v>
      </c>
      <c r="F2888" s="324" t="s">
        <v>3072</v>
      </c>
      <c r="G2888" s="326"/>
      <c r="H2888" s="324" t="s">
        <v>10969</v>
      </c>
      <c r="I2888" s="327">
        <v>72473</v>
      </c>
      <c r="J2888" s="324"/>
      <c r="K2888" s="326">
        <v>45782</v>
      </c>
      <c r="L2888" s="324" t="s">
        <v>364</v>
      </c>
      <c r="M2888" s="324"/>
      <c r="N2888" s="324"/>
      <c r="O2888" s="324"/>
      <c r="P2888" s="528" t="s">
        <v>11132</v>
      </c>
      <c r="Q2888" s="324">
        <f>IF(AND(C2888="Priorità/stagisti/Scorta"),1,"")</f>
        <v>1</v>
      </c>
      <c r="R2888" s="324" t="str">
        <f>IF(AND(C2888&lt;&gt;"Priorità/Stagisti/Scorta",C2888&lt;&gt;""),1,"")</f>
        <v/>
      </c>
      <c r="S2888" s="324">
        <f>IF(AND(D2888&lt;&gt;"Priorità/Stagisti/Scorta",D2888&lt;&gt;""),1,"")</f>
        <v>1</v>
      </c>
      <c r="T2888" s="512" t="e">
        <f>_xlfn.XLOOKUP(H2888,#REF!,#REF!,0,0)</f>
        <v>#REF!</v>
      </c>
    </row>
    <row r="2889" spans="1:20" s="376" customFormat="1" ht="18.75" customHeight="1" x14ac:dyDescent="0.4">
      <c r="A2889" s="1" t="s">
        <v>11133</v>
      </c>
      <c r="B2889" s="1" t="s">
        <v>11134</v>
      </c>
      <c r="C2889" s="1" t="s">
        <v>433</v>
      </c>
      <c r="D2889" s="1" t="s">
        <v>9084</v>
      </c>
      <c r="E2889" s="1" t="s">
        <v>10</v>
      </c>
      <c r="F2889" s="1" t="s">
        <v>437</v>
      </c>
      <c r="G2889" s="2">
        <v>45765</v>
      </c>
      <c r="H2889" s="1" t="s">
        <v>11135</v>
      </c>
      <c r="I2889" s="1">
        <v>77321</v>
      </c>
      <c r="J2889" s="1" t="s">
        <v>11136</v>
      </c>
      <c r="K2889" s="1" t="s">
        <v>11137</v>
      </c>
      <c r="L2889" s="1" t="s">
        <v>364</v>
      </c>
      <c r="M2889" s="1" t="s">
        <v>364</v>
      </c>
      <c r="N2889" s="1" t="s">
        <v>364</v>
      </c>
      <c r="O2889" s="1" t="s">
        <v>364</v>
      </c>
      <c r="P2889" s="293" t="s">
        <v>11138</v>
      </c>
      <c r="Q2889" s="1" t="str">
        <f>IF(A2889="SCORTA 10",1,"")</f>
        <v/>
      </c>
      <c r="R2889" s="1">
        <f t="shared" ref="R2889:S2893" si="92">IF(H2889&lt;&gt;"",1,"")</f>
        <v>1</v>
      </c>
      <c r="S2889" s="1">
        <f t="shared" si="92"/>
        <v>1</v>
      </c>
      <c r="T2889" s="512" t="e">
        <f>_xlfn.XLOOKUP(H2889,#REF!,#REF!,0,0)</f>
        <v>#REF!</v>
      </c>
    </row>
    <row r="2890" spans="1:20" s="376" customFormat="1" ht="18.75" customHeight="1" x14ac:dyDescent="0.4">
      <c r="A2890" s="1" t="s">
        <v>11139</v>
      </c>
      <c r="B2890" s="289" t="s">
        <v>11140</v>
      </c>
      <c r="C2890" s="1" t="s">
        <v>433</v>
      </c>
      <c r="D2890" s="1" t="s">
        <v>9084</v>
      </c>
      <c r="E2890" s="1" t="s">
        <v>10</v>
      </c>
      <c r="F2890" s="1" t="s">
        <v>437</v>
      </c>
      <c r="G2890" s="2">
        <v>45765</v>
      </c>
      <c r="H2890" s="1" t="s">
        <v>11141</v>
      </c>
      <c r="I2890" s="1">
        <v>77327</v>
      </c>
      <c r="J2890" s="1" t="s">
        <v>11142</v>
      </c>
      <c r="K2890" s="1" t="s">
        <v>11137</v>
      </c>
      <c r="L2890" s="1" t="s">
        <v>364</v>
      </c>
      <c r="M2890" s="1" t="s">
        <v>364</v>
      </c>
      <c r="N2890" s="1" t="s">
        <v>364</v>
      </c>
      <c r="O2890" s="1" t="s">
        <v>364</v>
      </c>
      <c r="P2890" s="293" t="s">
        <v>11143</v>
      </c>
      <c r="Q2890" s="1" t="str">
        <f>IF(A2890="SCORTA 10",1,"")</f>
        <v/>
      </c>
      <c r="R2890" s="1">
        <f t="shared" si="92"/>
        <v>1</v>
      </c>
      <c r="S2890" s="1">
        <f t="shared" si="92"/>
        <v>1</v>
      </c>
      <c r="T2890" s="512" t="e">
        <f>_xlfn.XLOOKUP(H2890,#REF!,#REF!,0,0)</f>
        <v>#REF!</v>
      </c>
    </row>
    <row r="2891" spans="1:20" s="286" customFormat="1" x14ac:dyDescent="0.4">
      <c r="A2891" s="281" t="s">
        <v>11144</v>
      </c>
      <c r="B2891" s="281" t="s">
        <v>11145</v>
      </c>
      <c r="C2891" s="281" t="s">
        <v>433</v>
      </c>
      <c r="D2891" s="281" t="s">
        <v>9084</v>
      </c>
      <c r="E2891" s="281" t="s">
        <v>366</v>
      </c>
      <c r="F2891" s="281" t="s">
        <v>367</v>
      </c>
      <c r="G2891" s="2">
        <v>45751</v>
      </c>
      <c r="H2891" s="281" t="s">
        <v>11146</v>
      </c>
      <c r="I2891" s="281">
        <v>77399</v>
      </c>
      <c r="J2891" s="281" t="s">
        <v>11147</v>
      </c>
      <c r="K2891" s="281" t="s">
        <v>11148</v>
      </c>
      <c r="L2891" s="281" t="s">
        <v>364</v>
      </c>
      <c r="M2891" s="281"/>
      <c r="N2891" s="281"/>
      <c r="O2891" s="281"/>
      <c r="P2891" s="550" t="s">
        <v>11149</v>
      </c>
      <c r="Q2891" s="281" t="str">
        <f>IF(A2891="SCORTA 10",1,"")</f>
        <v/>
      </c>
      <c r="R2891" s="1">
        <f t="shared" si="92"/>
        <v>1</v>
      </c>
      <c r="S2891" s="1">
        <f t="shared" si="92"/>
        <v>1</v>
      </c>
      <c r="T2891" s="512" t="e">
        <f>_xlfn.XLOOKUP(H2891,#REF!,#REF!,0,0)</f>
        <v>#REF!</v>
      </c>
    </row>
    <row r="2892" spans="1:20" s="376" customFormat="1" ht="18.75" customHeight="1" x14ac:dyDescent="0.4">
      <c r="A2892" s="1" t="s">
        <v>11150</v>
      </c>
      <c r="B2892" s="1" t="s">
        <v>11151</v>
      </c>
      <c r="C2892" s="1" t="s">
        <v>433</v>
      </c>
      <c r="D2892" s="1" t="s">
        <v>9084</v>
      </c>
      <c r="E2892" s="1" t="s">
        <v>10</v>
      </c>
      <c r="F2892" s="1" t="s">
        <v>437</v>
      </c>
      <c r="G2892" s="2">
        <v>45765</v>
      </c>
      <c r="H2892" s="1" t="s">
        <v>11152</v>
      </c>
      <c r="I2892" s="1">
        <v>77317</v>
      </c>
      <c r="J2892" s="1" t="s">
        <v>11153</v>
      </c>
      <c r="K2892" s="1" t="s">
        <v>11154</v>
      </c>
      <c r="L2892" s="1" t="s">
        <v>364</v>
      </c>
      <c r="M2892" s="1" t="s">
        <v>364</v>
      </c>
      <c r="N2892" s="1" t="s">
        <v>364</v>
      </c>
      <c r="O2892" s="1" t="s">
        <v>364</v>
      </c>
      <c r="P2892" s="293" t="s">
        <v>11155</v>
      </c>
      <c r="Q2892" s="1" t="str">
        <f>IF(A2892="SCORTA 10",1,"")</f>
        <v/>
      </c>
      <c r="R2892" s="1">
        <f t="shared" si="92"/>
        <v>1</v>
      </c>
      <c r="S2892" s="1">
        <f t="shared" si="92"/>
        <v>1</v>
      </c>
      <c r="T2892" s="512" t="e">
        <f>_xlfn.XLOOKUP(H2892,#REF!,#REF!,0,0)</f>
        <v>#REF!</v>
      </c>
    </row>
    <row r="2893" spans="1:20" s="376" customFormat="1" ht="18.75" customHeight="1" x14ac:dyDescent="0.4">
      <c r="A2893" s="1" t="s">
        <v>11156</v>
      </c>
      <c r="B2893" s="1" t="s">
        <v>11157</v>
      </c>
      <c r="C2893" s="1" t="s">
        <v>433</v>
      </c>
      <c r="D2893" s="1" t="s">
        <v>9084</v>
      </c>
      <c r="E2893" s="1" t="s">
        <v>10</v>
      </c>
      <c r="F2893" s="1" t="s">
        <v>437</v>
      </c>
      <c r="G2893" s="2">
        <v>45765</v>
      </c>
      <c r="H2893" s="1" t="s">
        <v>11158</v>
      </c>
      <c r="I2893" s="1">
        <v>77331</v>
      </c>
      <c r="J2893" s="1" t="s">
        <v>11159</v>
      </c>
      <c r="K2893" s="1" t="s">
        <v>11160</v>
      </c>
      <c r="L2893" s="1" t="s">
        <v>364</v>
      </c>
      <c r="M2893" s="1" t="s">
        <v>364</v>
      </c>
      <c r="N2893" s="1" t="s">
        <v>364</v>
      </c>
      <c r="O2893" s="1" t="s">
        <v>364</v>
      </c>
      <c r="P2893" s="293" t="s">
        <v>11161</v>
      </c>
      <c r="Q2893" s="1" t="str">
        <f>IF(A2893="SCORTA 10",1,"")</f>
        <v/>
      </c>
      <c r="R2893" s="1">
        <f t="shared" si="92"/>
        <v>1</v>
      </c>
      <c r="S2893" s="1">
        <f t="shared" si="92"/>
        <v>1</v>
      </c>
      <c r="T2893" s="512" t="e">
        <f>_xlfn.XLOOKUP(H2893,#REF!,#REF!,0,0)</f>
        <v>#REF!</v>
      </c>
    </row>
    <row r="2894" spans="1:20" s="328" customFormat="1" x14ac:dyDescent="0.4">
      <c r="A2894" s="324" t="s">
        <v>11162</v>
      </c>
      <c r="B2894" s="324" t="s">
        <v>11163</v>
      </c>
      <c r="C2894" s="324" t="s">
        <v>433</v>
      </c>
      <c r="D2894" s="324"/>
      <c r="E2894" s="324" t="s">
        <v>366</v>
      </c>
      <c r="F2894" s="324" t="s">
        <v>367</v>
      </c>
      <c r="G2894" s="326">
        <v>45415</v>
      </c>
      <c r="H2894" s="324" t="s">
        <v>478</v>
      </c>
      <c r="I2894" s="327">
        <v>73759</v>
      </c>
      <c r="J2894" s="324" t="s">
        <v>9673</v>
      </c>
      <c r="K2894" s="326"/>
      <c r="L2894" s="324" t="s">
        <v>570</v>
      </c>
      <c r="M2894" s="324" t="s">
        <v>570</v>
      </c>
      <c r="N2894" s="324" t="s">
        <v>570</v>
      </c>
      <c r="O2894" s="529" t="s">
        <v>11164</v>
      </c>
      <c r="P2894" s="528"/>
      <c r="Q2894" s="324" t="str">
        <f>IF(AND(C2894="Priorità/stagisti/Scorta"),1,"")</f>
        <v/>
      </c>
      <c r="R2894" s="324"/>
      <c r="S2894" s="324"/>
      <c r="T2894" s="512" t="e">
        <f>_xlfn.XLOOKUP(H2894,#REF!,#REF!,0,0)</f>
        <v>#REF!</v>
      </c>
    </row>
    <row r="2895" spans="1:20" s="376" customFormat="1" ht="18.75" customHeight="1" x14ac:dyDescent="0.4">
      <c r="A2895" s="1" t="s">
        <v>11165</v>
      </c>
      <c r="B2895" s="1" t="s">
        <v>11166</v>
      </c>
      <c r="C2895" s="1" t="s">
        <v>433</v>
      </c>
      <c r="D2895" s="1" t="s">
        <v>9084</v>
      </c>
      <c r="E2895" s="1" t="s">
        <v>10</v>
      </c>
      <c r="F2895" s="1" t="s">
        <v>11107</v>
      </c>
      <c r="G2895" s="2">
        <v>45765</v>
      </c>
      <c r="H2895" s="1" t="s">
        <v>11167</v>
      </c>
      <c r="I2895" s="1">
        <v>77329</v>
      </c>
      <c r="J2895" s="1" t="s">
        <v>11168</v>
      </c>
      <c r="K2895" s="1" t="s">
        <v>11169</v>
      </c>
      <c r="L2895" s="1" t="s">
        <v>364</v>
      </c>
      <c r="M2895" s="1" t="s">
        <v>364</v>
      </c>
      <c r="N2895" s="1" t="s">
        <v>364</v>
      </c>
      <c r="O2895" s="1" t="s">
        <v>364</v>
      </c>
      <c r="P2895" s="293" t="s">
        <v>11170</v>
      </c>
      <c r="Q2895" s="1" t="str">
        <f>IF(A2895="SCORTA 10",1,"")</f>
        <v/>
      </c>
      <c r="R2895" s="1">
        <f>IF(H2895&lt;&gt;"",1,"")</f>
        <v>1</v>
      </c>
      <c r="S2895" s="1">
        <f>IF(I2895&lt;&gt;"",1,"")</f>
        <v>1</v>
      </c>
      <c r="T2895" s="512" t="e">
        <f>_xlfn.XLOOKUP(H2895,#REF!,#REF!,0,0)</f>
        <v>#REF!</v>
      </c>
    </row>
    <row r="2896" spans="1:20" s="328" customFormat="1" x14ac:dyDescent="0.4">
      <c r="A2896" s="324" t="s">
        <v>11171</v>
      </c>
      <c r="B2896" s="522" t="s">
        <v>11172</v>
      </c>
      <c r="C2896" s="324" t="s">
        <v>434</v>
      </c>
      <c r="D2896" s="324" t="s">
        <v>9084</v>
      </c>
      <c r="E2896" s="324" t="s">
        <v>10</v>
      </c>
      <c r="F2896" s="324" t="s">
        <v>11173</v>
      </c>
      <c r="G2896" s="326"/>
      <c r="H2896" s="324" t="s">
        <v>11174</v>
      </c>
      <c r="I2896" s="327">
        <v>72938</v>
      </c>
      <c r="J2896" s="1" t="s">
        <v>11175</v>
      </c>
      <c r="K2896" s="324" t="s">
        <v>11176</v>
      </c>
      <c r="L2896" s="324" t="s">
        <v>364</v>
      </c>
      <c r="M2896" s="324"/>
      <c r="N2896" s="324"/>
      <c r="O2896" s="324"/>
      <c r="P2896" s="528" t="s">
        <v>11177</v>
      </c>
      <c r="Q2896" s="324" t="str">
        <f>IF(AND(C2896="Priorità/stagisti/Scorta"),1,"")</f>
        <v/>
      </c>
      <c r="R2896" s="324">
        <f>IF(AND(C2896&lt;&gt;"Priorità/Stagisti/Scorta",C2896&lt;&gt;""),1,"")</f>
        <v>1</v>
      </c>
      <c r="S2896" s="324">
        <f>IF(AND(D2896&lt;&gt;"Priorità/Stagisti/Scorta",D2896&lt;&gt;""),1,"")</f>
        <v>1</v>
      </c>
      <c r="T2896" s="512" t="e">
        <f>_xlfn.XLOOKUP(H2896,#REF!,#REF!,0,0)</f>
        <v>#REF!</v>
      </c>
    </row>
    <row r="2897" spans="1:20" s="286" customFormat="1" x14ac:dyDescent="0.4">
      <c r="A2897" s="281" t="s">
        <v>11178</v>
      </c>
      <c r="B2897" s="281" t="s">
        <v>11179</v>
      </c>
      <c r="C2897" s="281" t="s">
        <v>433</v>
      </c>
      <c r="D2897" s="281" t="s">
        <v>9084</v>
      </c>
      <c r="E2897" s="281" t="s">
        <v>366</v>
      </c>
      <c r="F2897" s="281" t="s">
        <v>367</v>
      </c>
      <c r="G2897" s="2">
        <v>45751</v>
      </c>
      <c r="H2897" s="281" t="s">
        <v>11180</v>
      </c>
      <c r="I2897" s="281">
        <v>77401</v>
      </c>
      <c r="J2897" s="281" t="s">
        <v>11181</v>
      </c>
      <c r="K2897" s="281" t="s">
        <v>11182</v>
      </c>
      <c r="L2897" s="281" t="s">
        <v>364</v>
      </c>
      <c r="M2897" s="281" t="s">
        <v>364</v>
      </c>
      <c r="N2897" s="281" t="s">
        <v>364</v>
      </c>
      <c r="O2897" s="281" t="s">
        <v>364</v>
      </c>
      <c r="P2897" s="550" t="s">
        <v>11183</v>
      </c>
      <c r="Q2897" s="281" t="str">
        <f t="shared" ref="Q2897:Q2902" si="93">IF(A2897="SCORTA 10",1,"")</f>
        <v/>
      </c>
      <c r="R2897" s="1">
        <f t="shared" ref="R2897:R2902" si="94">IF(H2897&lt;&gt;"",1,"")</f>
        <v>1</v>
      </c>
      <c r="S2897" s="1">
        <f t="shared" ref="S2897:S2902" si="95">IF(I2897&lt;&gt;"",1,"")</f>
        <v>1</v>
      </c>
      <c r="T2897" s="512" t="e">
        <f>_xlfn.XLOOKUP(H2897,#REF!,#REF!,0,0)</f>
        <v>#REF!</v>
      </c>
    </row>
    <row r="2898" spans="1:20" s="286" customFormat="1" x14ac:dyDescent="0.4">
      <c r="A2898" s="281" t="s">
        <v>11184</v>
      </c>
      <c r="B2898" s="281" t="s">
        <v>11185</v>
      </c>
      <c r="C2898" s="281" t="s">
        <v>433</v>
      </c>
      <c r="D2898" s="281" t="s">
        <v>9084</v>
      </c>
      <c r="E2898" s="281" t="s">
        <v>366</v>
      </c>
      <c r="F2898" s="281" t="s">
        <v>367</v>
      </c>
      <c r="G2898" s="2">
        <v>45751</v>
      </c>
      <c r="H2898" s="281" t="s">
        <v>11186</v>
      </c>
      <c r="I2898" s="281">
        <v>77402</v>
      </c>
      <c r="J2898" s="281" t="s">
        <v>11187</v>
      </c>
      <c r="K2898" s="2">
        <v>45791</v>
      </c>
      <c r="L2898" s="281" t="s">
        <v>364</v>
      </c>
      <c r="M2898" s="281" t="s">
        <v>364</v>
      </c>
      <c r="N2898" s="281" t="s">
        <v>364</v>
      </c>
      <c r="O2898" s="281" t="s">
        <v>364</v>
      </c>
      <c r="P2898" s="550" t="s">
        <v>6493</v>
      </c>
      <c r="Q2898" s="281" t="str">
        <f t="shared" si="93"/>
        <v/>
      </c>
      <c r="R2898" s="1">
        <f t="shared" si="94"/>
        <v>1</v>
      </c>
      <c r="S2898" s="1">
        <f t="shared" si="95"/>
        <v>1</v>
      </c>
      <c r="T2898" s="512" t="e">
        <f>_xlfn.XLOOKUP(H2898,#REF!,#REF!,0,0)</f>
        <v>#REF!</v>
      </c>
    </row>
    <row r="2899" spans="1:20" s="376" customFormat="1" x14ac:dyDescent="0.4">
      <c r="A2899" s="1" t="s">
        <v>11188</v>
      </c>
      <c r="B2899" s="1" t="s">
        <v>11189</v>
      </c>
      <c r="C2899" s="1" t="s">
        <v>433</v>
      </c>
      <c r="D2899" s="1" t="s">
        <v>9084</v>
      </c>
      <c r="E2899" s="1" t="s">
        <v>10</v>
      </c>
      <c r="F2899" s="1" t="s">
        <v>11107</v>
      </c>
      <c r="G2899" s="2">
        <v>45765</v>
      </c>
      <c r="H2899" s="1" t="s">
        <v>11190</v>
      </c>
      <c r="I2899" s="1">
        <v>77330</v>
      </c>
      <c r="J2899" s="1" t="s">
        <v>11191</v>
      </c>
      <c r="K2899" s="1" t="s">
        <v>11192</v>
      </c>
      <c r="L2899" s="1" t="s">
        <v>364</v>
      </c>
      <c r="M2899" s="1" t="s">
        <v>364</v>
      </c>
      <c r="N2899" s="1"/>
      <c r="O2899" s="1" t="s">
        <v>364</v>
      </c>
      <c r="P2899" s="293" t="s">
        <v>11193</v>
      </c>
      <c r="Q2899" s="1" t="str">
        <f t="shared" si="93"/>
        <v/>
      </c>
      <c r="R2899" s="1">
        <f t="shared" si="94"/>
        <v>1</v>
      </c>
      <c r="S2899" s="1">
        <f t="shared" si="95"/>
        <v>1</v>
      </c>
      <c r="T2899" s="512" t="e">
        <f>_xlfn.XLOOKUP(H2899,#REF!,#REF!,0,0)</f>
        <v>#REF!</v>
      </c>
    </row>
    <row r="2900" spans="1:20" s="376" customFormat="1" ht="18.75" customHeight="1" x14ac:dyDescent="0.4">
      <c r="A2900" s="1" t="s">
        <v>11194</v>
      </c>
      <c r="B2900" s="1" t="s">
        <v>11195</v>
      </c>
      <c r="C2900" s="1" t="s">
        <v>433</v>
      </c>
      <c r="D2900" s="1" t="s">
        <v>9084</v>
      </c>
      <c r="E2900" s="1" t="s">
        <v>10</v>
      </c>
      <c r="F2900" s="1" t="s">
        <v>437</v>
      </c>
      <c r="G2900" s="2">
        <v>45765</v>
      </c>
      <c r="H2900" s="1" t="s">
        <v>11196</v>
      </c>
      <c r="I2900" s="1">
        <v>77333</v>
      </c>
      <c r="J2900" s="1" t="s">
        <v>11197</v>
      </c>
      <c r="K2900" s="1" t="s">
        <v>11198</v>
      </c>
      <c r="L2900" s="1" t="s">
        <v>364</v>
      </c>
      <c r="M2900" s="1" t="s">
        <v>364</v>
      </c>
      <c r="N2900" s="1" t="s">
        <v>364</v>
      </c>
      <c r="O2900" s="1" t="s">
        <v>364</v>
      </c>
      <c r="P2900" s="293" t="s">
        <v>6148</v>
      </c>
      <c r="Q2900" s="1" t="str">
        <f t="shared" si="93"/>
        <v/>
      </c>
      <c r="R2900" s="1">
        <f t="shared" si="94"/>
        <v>1</v>
      </c>
      <c r="S2900" s="1">
        <f t="shared" si="95"/>
        <v>1</v>
      </c>
      <c r="T2900" s="512" t="e">
        <f>_xlfn.XLOOKUP(H2900,#REF!,#REF!,0,0)</f>
        <v>#REF!</v>
      </c>
    </row>
    <row r="2901" spans="1:20" s="376" customFormat="1" ht="18.75" customHeight="1" x14ac:dyDescent="0.4">
      <c r="A2901" s="1" t="s">
        <v>11199</v>
      </c>
      <c r="B2901" s="1" t="s">
        <v>11200</v>
      </c>
      <c r="C2901" s="1" t="s">
        <v>433</v>
      </c>
      <c r="D2901" s="1" t="s">
        <v>9084</v>
      </c>
      <c r="E2901" s="1" t="s">
        <v>10</v>
      </c>
      <c r="F2901" s="1" t="s">
        <v>437</v>
      </c>
      <c r="G2901" s="2">
        <v>45765</v>
      </c>
      <c r="H2901" s="1" t="s">
        <v>11201</v>
      </c>
      <c r="I2901" s="1">
        <v>77332</v>
      </c>
      <c r="J2901" s="1" t="s">
        <v>11202</v>
      </c>
      <c r="K2901" s="1" t="s">
        <v>11203</v>
      </c>
      <c r="L2901" s="1" t="s">
        <v>364</v>
      </c>
      <c r="M2901" s="1" t="s">
        <v>364</v>
      </c>
      <c r="N2901" s="1" t="s">
        <v>364</v>
      </c>
      <c r="O2901" s="1" t="s">
        <v>364</v>
      </c>
      <c r="P2901" s="293" t="s">
        <v>11204</v>
      </c>
      <c r="Q2901" s="1" t="str">
        <f t="shared" si="93"/>
        <v/>
      </c>
      <c r="R2901" s="1">
        <f t="shared" si="94"/>
        <v>1</v>
      </c>
      <c r="S2901" s="1">
        <f t="shared" si="95"/>
        <v>1</v>
      </c>
      <c r="T2901" s="512" t="e">
        <f>_xlfn.XLOOKUP(H2901,#REF!,#REF!,0,0)</f>
        <v>#REF!</v>
      </c>
    </row>
    <row r="2902" spans="1:20" s="376" customFormat="1" ht="18.75" customHeight="1" x14ac:dyDescent="0.4">
      <c r="A2902" s="1" t="s">
        <v>11205</v>
      </c>
      <c r="B2902" s="1" t="s">
        <v>11206</v>
      </c>
      <c r="C2902" s="1" t="s">
        <v>433</v>
      </c>
      <c r="D2902" s="1" t="s">
        <v>9084</v>
      </c>
      <c r="E2902" s="1" t="s">
        <v>10</v>
      </c>
      <c r="F2902" s="1" t="s">
        <v>437</v>
      </c>
      <c r="G2902" s="2">
        <v>45765</v>
      </c>
      <c r="H2902" s="1" t="s">
        <v>11207</v>
      </c>
      <c r="I2902" s="1">
        <v>77334</v>
      </c>
      <c r="J2902" s="1" t="s">
        <v>11208</v>
      </c>
      <c r="K2902" s="1" t="s">
        <v>11209</v>
      </c>
      <c r="L2902" s="1" t="s">
        <v>364</v>
      </c>
      <c r="M2902" s="1" t="s">
        <v>364</v>
      </c>
      <c r="N2902" s="1" t="s">
        <v>364</v>
      </c>
      <c r="O2902" s="1" t="s">
        <v>364</v>
      </c>
      <c r="P2902" s="293" t="s">
        <v>11210</v>
      </c>
      <c r="Q2902" s="1" t="str">
        <f t="shared" si="93"/>
        <v/>
      </c>
      <c r="R2902" s="1">
        <f t="shared" si="94"/>
        <v>1</v>
      </c>
      <c r="S2902" s="1">
        <f t="shared" si="95"/>
        <v>1</v>
      </c>
      <c r="T2902" s="512" t="e">
        <f>_xlfn.XLOOKUP(H2902,#REF!,#REF!,0,0)</f>
        <v>#REF!</v>
      </c>
    </row>
    <row r="2903" spans="1:20" s="328" customFormat="1" x14ac:dyDescent="0.4">
      <c r="A2903" s="324" t="s">
        <v>11211</v>
      </c>
      <c r="B2903" s="324" t="s">
        <v>11212</v>
      </c>
      <c r="C2903" s="324" t="s">
        <v>434</v>
      </c>
      <c r="D2903" s="324" t="s">
        <v>9084</v>
      </c>
      <c r="E2903" s="324" t="s">
        <v>10</v>
      </c>
      <c r="F2903" s="324" t="s">
        <v>436</v>
      </c>
      <c r="G2903" s="326">
        <v>45566</v>
      </c>
      <c r="H2903" s="324" t="s">
        <v>10929</v>
      </c>
      <c r="I2903" s="327">
        <v>76827</v>
      </c>
      <c r="J2903" s="324" t="s">
        <v>10930</v>
      </c>
      <c r="K2903" s="326"/>
      <c r="L2903" s="324"/>
      <c r="M2903" s="324"/>
      <c r="N2903" s="324"/>
      <c r="O2903" s="324"/>
      <c r="P2903" s="528" t="s">
        <v>11213</v>
      </c>
      <c r="Q2903" s="324" t="str">
        <f>IF(AND(C2903="Priorità/stagisti/Scorta"),1,"")</f>
        <v/>
      </c>
      <c r="R2903" s="324"/>
      <c r="S2903" s="324"/>
      <c r="T2903" s="512" t="e">
        <f>_xlfn.XLOOKUP(H2903,#REF!,#REF!,0,0)</f>
        <v>#REF!</v>
      </c>
    </row>
    <row r="2904" spans="1:20" s="286" customFormat="1" x14ac:dyDescent="0.4">
      <c r="A2904" s="281" t="s">
        <v>11214</v>
      </c>
      <c r="B2904" s="281" t="s">
        <v>11215</v>
      </c>
      <c r="C2904" s="281" t="s">
        <v>433</v>
      </c>
      <c r="D2904" s="281" t="s">
        <v>9084</v>
      </c>
      <c r="E2904" s="281" t="s">
        <v>366</v>
      </c>
      <c r="F2904" s="281" t="s">
        <v>367</v>
      </c>
      <c r="G2904" s="2">
        <v>45751</v>
      </c>
      <c r="H2904" s="281" t="s">
        <v>11216</v>
      </c>
      <c r="I2904" s="281">
        <v>77404</v>
      </c>
      <c r="J2904" s="281" t="s">
        <v>11217</v>
      </c>
      <c r="K2904" s="2">
        <v>45798</v>
      </c>
      <c r="L2904" s="281" t="s">
        <v>364</v>
      </c>
      <c r="M2904" s="281" t="s">
        <v>364</v>
      </c>
      <c r="N2904" s="281" t="s">
        <v>364</v>
      </c>
      <c r="O2904" s="281" t="s">
        <v>364</v>
      </c>
      <c r="P2904" s="550" t="s">
        <v>11218</v>
      </c>
      <c r="Q2904" s="281" t="str">
        <f t="shared" ref="Q2904:Q2915" si="96">IF(A2904="SCORTA 10",1,"")</f>
        <v/>
      </c>
      <c r="R2904" s="1">
        <f t="shared" ref="R2904:R2915" si="97">IF(H2904&lt;&gt;"",1,"")</f>
        <v>1</v>
      </c>
      <c r="S2904" s="1">
        <f t="shared" ref="S2904:S2920" si="98">IF(I2904&lt;&gt;"",1,"")</f>
        <v>1</v>
      </c>
      <c r="T2904" s="512" t="e">
        <f>_xlfn.XLOOKUP(H2904,#REF!,#REF!,0,0)</f>
        <v>#REF!</v>
      </c>
    </row>
    <row r="2905" spans="1:20" s="286" customFormat="1" x14ac:dyDescent="0.4">
      <c r="A2905" s="281" t="s">
        <v>11219</v>
      </c>
      <c r="B2905" s="281" t="s">
        <v>11220</v>
      </c>
      <c r="C2905" s="281" t="s">
        <v>433</v>
      </c>
      <c r="D2905" s="281" t="s">
        <v>9084</v>
      </c>
      <c r="E2905" s="281" t="s">
        <v>366</v>
      </c>
      <c r="F2905" s="281" t="s">
        <v>367</v>
      </c>
      <c r="G2905" s="2">
        <v>45751</v>
      </c>
      <c r="H2905" s="281" t="s">
        <v>11221</v>
      </c>
      <c r="I2905" s="281">
        <v>77400</v>
      </c>
      <c r="J2905" s="281" t="s">
        <v>11222</v>
      </c>
      <c r="K2905" s="2">
        <v>45800</v>
      </c>
      <c r="L2905" s="281" t="s">
        <v>364</v>
      </c>
      <c r="M2905" s="281" t="s">
        <v>364</v>
      </c>
      <c r="N2905" s="281" t="s">
        <v>364</v>
      </c>
      <c r="O2905" s="281" t="s">
        <v>364</v>
      </c>
      <c r="P2905" s="550"/>
      <c r="Q2905" s="281" t="str">
        <f t="shared" si="96"/>
        <v/>
      </c>
      <c r="R2905" s="1">
        <f t="shared" si="97"/>
        <v>1</v>
      </c>
      <c r="S2905" s="1">
        <f t="shared" si="98"/>
        <v>1</v>
      </c>
      <c r="T2905" s="512" t="e">
        <f>_xlfn.XLOOKUP(H2905,#REF!,#REF!,0,0)</f>
        <v>#REF!</v>
      </c>
    </row>
    <row r="2906" spans="1:20" s="376" customFormat="1" ht="18.75" customHeight="1" x14ac:dyDescent="0.4">
      <c r="A2906" s="1" t="s">
        <v>11223</v>
      </c>
      <c r="B2906" s="1" t="s">
        <v>11224</v>
      </c>
      <c r="C2906" s="1" t="s">
        <v>433</v>
      </c>
      <c r="D2906" s="1" t="s">
        <v>9084</v>
      </c>
      <c r="E2906" s="1" t="s">
        <v>10</v>
      </c>
      <c r="F2906" s="1" t="s">
        <v>437</v>
      </c>
      <c r="G2906" s="2">
        <v>45765</v>
      </c>
      <c r="H2906" s="1" t="s">
        <v>11225</v>
      </c>
      <c r="I2906" s="1">
        <v>77319</v>
      </c>
      <c r="J2906" s="1" t="s">
        <v>11226</v>
      </c>
      <c r="K2906" s="1" t="s">
        <v>11227</v>
      </c>
      <c r="L2906" s="1" t="s">
        <v>364</v>
      </c>
      <c r="M2906" s="1" t="s">
        <v>364</v>
      </c>
      <c r="N2906" s="1" t="s">
        <v>364</v>
      </c>
      <c r="O2906" s="1" t="s">
        <v>364</v>
      </c>
      <c r="P2906" s="293" t="s">
        <v>11228</v>
      </c>
      <c r="Q2906" s="1" t="str">
        <f t="shared" si="96"/>
        <v/>
      </c>
      <c r="R2906" s="1">
        <f t="shared" si="97"/>
        <v>1</v>
      </c>
      <c r="S2906" s="1">
        <f t="shared" si="98"/>
        <v>1</v>
      </c>
      <c r="T2906" s="512" t="e">
        <f>_xlfn.XLOOKUP(H2906,#REF!,#REF!,0,0)</f>
        <v>#REF!</v>
      </c>
    </row>
    <row r="2907" spans="1:20" s="286" customFormat="1" x14ac:dyDescent="0.4">
      <c r="A2907" s="281" t="s">
        <v>11229</v>
      </c>
      <c r="B2907" s="281" t="s">
        <v>11230</v>
      </c>
      <c r="C2907" s="281" t="s">
        <v>433</v>
      </c>
      <c r="D2907" s="281" t="s">
        <v>9084</v>
      </c>
      <c r="E2907" s="281" t="s">
        <v>366</v>
      </c>
      <c r="F2907" s="281" t="s">
        <v>367</v>
      </c>
      <c r="G2907" s="2">
        <v>45751</v>
      </c>
      <c r="H2907" s="281" t="s">
        <v>11231</v>
      </c>
      <c r="I2907" s="281">
        <v>77403</v>
      </c>
      <c r="J2907" s="281" t="s">
        <v>11232</v>
      </c>
      <c r="K2907" s="2">
        <v>45800</v>
      </c>
      <c r="L2907" s="281" t="s">
        <v>11002</v>
      </c>
      <c r="M2907" s="281" t="s">
        <v>364</v>
      </c>
      <c r="N2907" s="281" t="s">
        <v>364</v>
      </c>
      <c r="O2907" s="281" t="s">
        <v>364</v>
      </c>
      <c r="P2907" s="550" t="s">
        <v>11233</v>
      </c>
      <c r="Q2907" s="281" t="str">
        <f t="shared" si="96"/>
        <v/>
      </c>
      <c r="R2907" s="1">
        <f t="shared" si="97"/>
        <v>1</v>
      </c>
      <c r="S2907" s="1">
        <f t="shared" si="98"/>
        <v>1</v>
      </c>
      <c r="T2907" s="512" t="e">
        <f>_xlfn.XLOOKUP(H2907,#REF!,#REF!,0,0)</f>
        <v>#REF!</v>
      </c>
    </row>
    <row r="2908" spans="1:20" s="286" customFormat="1" x14ac:dyDescent="0.4">
      <c r="A2908" s="281" t="s">
        <v>11234</v>
      </c>
      <c r="B2908" s="281" t="s">
        <v>11235</v>
      </c>
      <c r="C2908" s="281" t="s">
        <v>433</v>
      </c>
      <c r="D2908" s="281" t="s">
        <v>9084</v>
      </c>
      <c r="E2908" s="281" t="s">
        <v>366</v>
      </c>
      <c r="F2908" s="281" t="s">
        <v>367</v>
      </c>
      <c r="G2908" s="2">
        <v>45751</v>
      </c>
      <c r="H2908" s="281" t="s">
        <v>11236</v>
      </c>
      <c r="I2908" s="281">
        <v>77406</v>
      </c>
      <c r="J2908" s="281" t="s">
        <v>11237</v>
      </c>
      <c r="K2908" s="281"/>
      <c r="L2908" s="281"/>
      <c r="M2908" s="281"/>
      <c r="N2908" s="281"/>
      <c r="O2908" s="281"/>
      <c r="P2908" s="550"/>
      <c r="Q2908" s="281" t="str">
        <f t="shared" si="96"/>
        <v/>
      </c>
      <c r="R2908" s="1">
        <f t="shared" si="97"/>
        <v>1</v>
      </c>
      <c r="S2908" s="1">
        <f t="shared" si="98"/>
        <v>1</v>
      </c>
      <c r="T2908" s="512" t="e">
        <f>_xlfn.XLOOKUP(H2908,#REF!,#REF!,0,0)</f>
        <v>#REF!</v>
      </c>
    </row>
    <row r="2909" spans="1:20" s="286" customFormat="1" x14ac:dyDescent="0.4">
      <c r="A2909" s="281" t="s">
        <v>11238</v>
      </c>
      <c r="B2909" s="281" t="s">
        <v>11235</v>
      </c>
      <c r="C2909" s="281" t="s">
        <v>433</v>
      </c>
      <c r="D2909" s="281" t="s">
        <v>9084</v>
      </c>
      <c r="E2909" s="281" t="s">
        <v>366</v>
      </c>
      <c r="F2909" s="281" t="s">
        <v>367</v>
      </c>
      <c r="G2909" s="2">
        <v>45751</v>
      </c>
      <c r="H2909" s="281" t="s">
        <v>11239</v>
      </c>
      <c r="I2909" s="281">
        <v>77407</v>
      </c>
      <c r="J2909" s="281" t="s">
        <v>11240</v>
      </c>
      <c r="K2909" s="281"/>
      <c r="L2909" s="281"/>
      <c r="M2909" s="281"/>
      <c r="N2909" s="281"/>
      <c r="O2909" s="281"/>
      <c r="P2909" s="550"/>
      <c r="Q2909" s="281" t="str">
        <f t="shared" si="96"/>
        <v/>
      </c>
      <c r="R2909" s="1">
        <f t="shared" si="97"/>
        <v>1</v>
      </c>
      <c r="S2909" s="1">
        <f t="shared" si="98"/>
        <v>1</v>
      </c>
      <c r="T2909" s="512" t="e">
        <f>_xlfn.XLOOKUP(H2909,#REF!,#REF!,0,0)</f>
        <v>#REF!</v>
      </c>
    </row>
    <row r="2910" spans="1:20" s="286" customFormat="1" x14ac:dyDescent="0.4">
      <c r="A2910" s="281" t="s">
        <v>11241</v>
      </c>
      <c r="B2910" s="281" t="s">
        <v>11235</v>
      </c>
      <c r="C2910" s="281" t="s">
        <v>433</v>
      </c>
      <c r="D2910" s="281" t="s">
        <v>9084</v>
      </c>
      <c r="E2910" s="281" t="s">
        <v>366</v>
      </c>
      <c r="F2910" s="281" t="s">
        <v>367</v>
      </c>
      <c r="G2910" s="2">
        <v>45751</v>
      </c>
      <c r="H2910" s="281" t="s">
        <v>11242</v>
      </c>
      <c r="I2910" s="281">
        <v>77408</v>
      </c>
      <c r="J2910" s="281" t="s">
        <v>11243</v>
      </c>
      <c r="K2910" s="281"/>
      <c r="L2910" s="281"/>
      <c r="M2910" s="281"/>
      <c r="N2910" s="281"/>
      <c r="O2910" s="281"/>
      <c r="P2910" s="550"/>
      <c r="Q2910" s="281" t="str">
        <f t="shared" si="96"/>
        <v/>
      </c>
      <c r="R2910" s="1">
        <f t="shared" si="97"/>
        <v>1</v>
      </c>
      <c r="S2910" s="1">
        <f t="shared" si="98"/>
        <v>1</v>
      </c>
      <c r="T2910" s="512" t="e">
        <f>_xlfn.XLOOKUP(H2910,#REF!,#REF!,0,0)</f>
        <v>#REF!</v>
      </c>
    </row>
    <row r="2911" spans="1:20" s="286" customFormat="1" x14ac:dyDescent="0.4">
      <c r="A2911" s="281" t="s">
        <v>11244</v>
      </c>
      <c r="B2911" s="281" t="s">
        <v>11235</v>
      </c>
      <c r="C2911" s="281" t="s">
        <v>433</v>
      </c>
      <c r="D2911" s="281" t="s">
        <v>9084</v>
      </c>
      <c r="E2911" s="281" t="s">
        <v>366</v>
      </c>
      <c r="F2911" s="281" t="s">
        <v>367</v>
      </c>
      <c r="G2911" s="2">
        <v>45751</v>
      </c>
      <c r="H2911" s="281" t="s">
        <v>11245</v>
      </c>
      <c r="I2911" s="281">
        <v>77409</v>
      </c>
      <c r="J2911" s="281" t="s">
        <v>11246</v>
      </c>
      <c r="K2911" s="281"/>
      <c r="L2911" s="281"/>
      <c r="M2911" s="281"/>
      <c r="N2911" s="281"/>
      <c r="O2911" s="281"/>
      <c r="P2911" s="550"/>
      <c r="Q2911" s="281" t="str">
        <f t="shared" si="96"/>
        <v/>
      </c>
      <c r="R2911" s="1">
        <f t="shared" si="97"/>
        <v>1</v>
      </c>
      <c r="S2911" s="1">
        <f t="shared" si="98"/>
        <v>1</v>
      </c>
      <c r="T2911" s="512" t="e">
        <f>_xlfn.XLOOKUP(H2911,#REF!,#REF!,0,0)</f>
        <v>#REF!</v>
      </c>
    </row>
    <row r="2912" spans="1:20" s="286" customFormat="1" x14ac:dyDescent="0.4">
      <c r="A2912" s="281" t="s">
        <v>11247</v>
      </c>
      <c r="B2912" s="281" t="s">
        <v>11235</v>
      </c>
      <c r="C2912" s="281" t="s">
        <v>433</v>
      </c>
      <c r="D2912" s="281" t="s">
        <v>9084</v>
      </c>
      <c r="E2912" s="281" t="s">
        <v>366</v>
      </c>
      <c r="F2912" s="281" t="s">
        <v>367</v>
      </c>
      <c r="G2912" s="2">
        <v>45751</v>
      </c>
      <c r="H2912" s="281" t="s">
        <v>11248</v>
      </c>
      <c r="I2912" s="281">
        <v>77410</v>
      </c>
      <c r="J2912" s="281" t="s">
        <v>11249</v>
      </c>
      <c r="K2912" s="281"/>
      <c r="L2912" s="281"/>
      <c r="M2912" s="281"/>
      <c r="N2912" s="281"/>
      <c r="O2912" s="281"/>
      <c r="P2912" s="550"/>
      <c r="Q2912" s="281" t="str">
        <f t="shared" si="96"/>
        <v/>
      </c>
      <c r="R2912" s="1">
        <f t="shared" si="97"/>
        <v>1</v>
      </c>
      <c r="S2912" s="1">
        <f t="shared" si="98"/>
        <v>1</v>
      </c>
      <c r="T2912" s="512" t="e">
        <f>_xlfn.XLOOKUP(H2912,#REF!,#REF!,0,0)</f>
        <v>#REF!</v>
      </c>
    </row>
    <row r="2913" spans="1:20" s="286" customFormat="1" x14ac:dyDescent="0.4">
      <c r="A2913" s="281" t="s">
        <v>11250</v>
      </c>
      <c r="B2913" s="281" t="s">
        <v>11235</v>
      </c>
      <c r="C2913" s="281" t="s">
        <v>433</v>
      </c>
      <c r="D2913" s="281" t="s">
        <v>9084</v>
      </c>
      <c r="E2913" s="281" t="s">
        <v>366</v>
      </c>
      <c r="F2913" s="281" t="s">
        <v>367</v>
      </c>
      <c r="G2913" s="2">
        <v>45751</v>
      </c>
      <c r="H2913" s="281" t="s">
        <v>11251</v>
      </c>
      <c r="I2913" s="281">
        <v>77411</v>
      </c>
      <c r="J2913" s="281" t="s">
        <v>11252</v>
      </c>
      <c r="K2913" s="281"/>
      <c r="L2913" s="281"/>
      <c r="M2913" s="281"/>
      <c r="N2913" s="281"/>
      <c r="O2913" s="281"/>
      <c r="P2913" s="550"/>
      <c r="Q2913" s="281" t="str">
        <f t="shared" si="96"/>
        <v/>
      </c>
      <c r="R2913" s="1">
        <f t="shared" si="97"/>
        <v>1</v>
      </c>
      <c r="S2913" s="1">
        <f t="shared" si="98"/>
        <v>1</v>
      </c>
      <c r="T2913" s="512" t="e">
        <f>_xlfn.XLOOKUP(H2913,#REF!,#REF!,0,0)</f>
        <v>#REF!</v>
      </c>
    </row>
    <row r="2914" spans="1:20" s="376" customFormat="1" ht="18.75" customHeight="1" x14ac:dyDescent="0.4">
      <c r="A2914" s="1" t="s">
        <v>11253</v>
      </c>
      <c r="B2914" s="1" t="s">
        <v>11254</v>
      </c>
      <c r="C2914" s="1" t="s">
        <v>433</v>
      </c>
      <c r="D2914" s="1" t="s">
        <v>9084</v>
      </c>
      <c r="E2914" s="1" t="s">
        <v>10</v>
      </c>
      <c r="F2914" s="1" t="s">
        <v>437</v>
      </c>
      <c r="G2914" s="2">
        <v>45765</v>
      </c>
      <c r="H2914" s="1" t="s">
        <v>11255</v>
      </c>
      <c r="I2914" s="1">
        <v>77336</v>
      </c>
      <c r="J2914" s="1" t="s">
        <v>11256</v>
      </c>
      <c r="K2914" s="1" t="s">
        <v>11257</v>
      </c>
      <c r="L2914" s="1" t="s">
        <v>11258</v>
      </c>
      <c r="M2914" s="1" t="s">
        <v>364</v>
      </c>
      <c r="N2914" s="1" t="s">
        <v>364</v>
      </c>
      <c r="O2914" s="1" t="s">
        <v>364</v>
      </c>
      <c r="P2914" s="293" t="s">
        <v>11259</v>
      </c>
      <c r="Q2914" s="1" t="str">
        <f t="shared" si="96"/>
        <v/>
      </c>
      <c r="R2914" s="1">
        <f t="shared" si="97"/>
        <v>1</v>
      </c>
      <c r="S2914" s="1">
        <f t="shared" si="98"/>
        <v>1</v>
      </c>
      <c r="T2914" s="512" t="e">
        <f>_xlfn.XLOOKUP(H2914,#REF!,#REF!,0,0)</f>
        <v>#REF!</v>
      </c>
    </row>
    <row r="2915" spans="1:20" s="286" customFormat="1" x14ac:dyDescent="0.4">
      <c r="A2915" s="2" t="s">
        <v>11260</v>
      </c>
      <c r="B2915" s="2" t="s">
        <v>11261</v>
      </c>
      <c r="C2915" s="2" t="s">
        <v>433</v>
      </c>
      <c r="D2915" s="2" t="s">
        <v>9084</v>
      </c>
      <c r="E2915" s="2" t="s">
        <v>366</v>
      </c>
      <c r="F2915" s="2" t="s">
        <v>367</v>
      </c>
      <c r="G2915" s="2">
        <v>45673</v>
      </c>
      <c r="H2915" s="2" t="s">
        <v>490</v>
      </c>
      <c r="I2915" s="281">
        <v>77561</v>
      </c>
      <c r="J2915" s="2" t="s">
        <v>11262</v>
      </c>
      <c r="K2915" s="2">
        <v>45806</v>
      </c>
      <c r="L2915" s="2" t="s">
        <v>364</v>
      </c>
      <c r="M2915" s="2" t="s">
        <v>364</v>
      </c>
      <c r="N2915" s="2" t="s">
        <v>364</v>
      </c>
      <c r="O2915" s="2" t="s">
        <v>364</v>
      </c>
      <c r="P2915" s="524" t="s">
        <v>11263</v>
      </c>
      <c r="Q2915" s="281" t="str">
        <f t="shared" si="96"/>
        <v/>
      </c>
      <c r="R2915" s="1">
        <f t="shared" si="97"/>
        <v>1</v>
      </c>
      <c r="S2915" s="1">
        <f t="shared" si="98"/>
        <v>1</v>
      </c>
      <c r="T2915" s="512" t="e">
        <f>_xlfn.XLOOKUP(H2915,#REF!,#REF!,0,0)</f>
        <v>#REF!</v>
      </c>
    </row>
    <row r="2916" spans="1:20" s="376" customFormat="1" ht="18.75" customHeight="1" x14ac:dyDescent="0.4">
      <c r="A2916" s="1" t="s">
        <v>11264</v>
      </c>
      <c r="B2916" s="1" t="s">
        <v>11265</v>
      </c>
      <c r="C2916" s="1" t="s">
        <v>433</v>
      </c>
      <c r="D2916" s="1" t="s">
        <v>9084</v>
      </c>
      <c r="E2916" s="1" t="s">
        <v>10</v>
      </c>
      <c r="F2916" s="1" t="s">
        <v>437</v>
      </c>
      <c r="G2916" s="2">
        <v>45765</v>
      </c>
      <c r="H2916" s="1" t="s">
        <v>11266</v>
      </c>
      <c r="I2916" s="1">
        <v>77338</v>
      </c>
      <c r="J2916" s="1" t="s">
        <v>11267</v>
      </c>
      <c r="K2916" s="2">
        <v>45804</v>
      </c>
      <c r="L2916" s="1" t="s">
        <v>364</v>
      </c>
      <c r="M2916" s="1" t="s">
        <v>364</v>
      </c>
      <c r="N2916" s="1" t="s">
        <v>364</v>
      </c>
      <c r="O2916" s="1" t="s">
        <v>364</v>
      </c>
      <c r="P2916" s="293" t="s">
        <v>11268</v>
      </c>
      <c r="Q2916" s="1" t="str">
        <f t="shared" ref="Q2916:Q2921" si="99">IF(A2916="SCORTA 10",1,"")</f>
        <v/>
      </c>
      <c r="R2916" s="1">
        <f>IF(H2916&lt;&gt;"",1,"")</f>
        <v>1</v>
      </c>
      <c r="S2916" s="1">
        <f t="shared" si="98"/>
        <v>1</v>
      </c>
      <c r="T2916" s="512" t="e">
        <f>_xlfn.XLOOKUP(H2916,#REF!,#REF!,0,0)</f>
        <v>#REF!</v>
      </c>
    </row>
    <row r="2917" spans="1:20" s="376" customFormat="1" ht="18.75" customHeight="1" x14ac:dyDescent="0.4">
      <c r="A2917" s="1" t="s">
        <v>11269</v>
      </c>
      <c r="B2917" s="1" t="s">
        <v>11265</v>
      </c>
      <c r="C2917" s="1" t="s">
        <v>433</v>
      </c>
      <c r="D2917" s="1" t="s">
        <v>9084</v>
      </c>
      <c r="E2917" s="1" t="s">
        <v>10</v>
      </c>
      <c r="F2917" s="1" t="s">
        <v>437</v>
      </c>
      <c r="G2917" s="2">
        <v>45765</v>
      </c>
      <c r="H2917" s="1" t="s">
        <v>11270</v>
      </c>
      <c r="I2917" s="1">
        <v>77339</v>
      </c>
      <c r="J2917" s="1" t="s">
        <v>11271</v>
      </c>
      <c r="K2917" s="2">
        <v>45804</v>
      </c>
      <c r="L2917" s="1" t="s">
        <v>364</v>
      </c>
      <c r="M2917" s="1" t="s">
        <v>364</v>
      </c>
      <c r="N2917" s="1" t="s">
        <v>364</v>
      </c>
      <c r="O2917" s="1" t="s">
        <v>364</v>
      </c>
      <c r="P2917" s="293" t="s">
        <v>11268</v>
      </c>
      <c r="Q2917" s="1" t="str">
        <f t="shared" si="99"/>
        <v/>
      </c>
      <c r="R2917" s="1">
        <f>IF(H2917&lt;&gt;"",1,"")</f>
        <v>1</v>
      </c>
      <c r="S2917" s="1">
        <f t="shared" si="98"/>
        <v>1</v>
      </c>
      <c r="T2917" s="512" t="e">
        <f>_xlfn.XLOOKUP(H2917,#REF!,#REF!,0,0)</f>
        <v>#REF!</v>
      </c>
    </row>
    <row r="2918" spans="1:20" s="376" customFormat="1" ht="18.75" customHeight="1" x14ac:dyDescent="0.4">
      <c r="A2918" s="1" t="s">
        <v>11272</v>
      </c>
      <c r="B2918" s="1" t="s">
        <v>11273</v>
      </c>
      <c r="C2918" s="1" t="s">
        <v>433</v>
      </c>
      <c r="D2918" s="1" t="s">
        <v>9084</v>
      </c>
      <c r="E2918" s="1" t="s">
        <v>10</v>
      </c>
      <c r="F2918" s="1" t="s">
        <v>437</v>
      </c>
      <c r="G2918" s="2">
        <v>45765</v>
      </c>
      <c r="H2918" s="1" t="s">
        <v>11274</v>
      </c>
      <c r="I2918" s="1">
        <v>77337</v>
      </c>
      <c r="J2918" s="1" t="s">
        <v>11275</v>
      </c>
      <c r="K2918" s="2">
        <v>45807</v>
      </c>
      <c r="L2918" s="1" t="s">
        <v>364</v>
      </c>
      <c r="M2918" s="1" t="s">
        <v>364</v>
      </c>
      <c r="N2918" s="1" t="s">
        <v>364</v>
      </c>
      <c r="O2918" s="1"/>
      <c r="P2918" s="293" t="s">
        <v>11276</v>
      </c>
      <c r="Q2918" s="1" t="str">
        <f t="shared" si="99"/>
        <v/>
      </c>
      <c r="R2918" s="1">
        <f>IF(H2918&lt;&gt;"",1,"")</f>
        <v>1</v>
      </c>
      <c r="S2918" s="1">
        <f t="shared" si="98"/>
        <v>1</v>
      </c>
      <c r="T2918" s="512" t="e">
        <f>_xlfn.XLOOKUP(H2918,#REF!,#REF!,0,0)</f>
        <v>#REF!</v>
      </c>
    </row>
    <row r="2919" spans="1:20" s="286" customFormat="1" x14ac:dyDescent="0.4">
      <c r="A2919" s="2" t="s">
        <v>11277</v>
      </c>
      <c r="B2919" s="2" t="s">
        <v>11278</v>
      </c>
      <c r="C2919" s="2" t="s">
        <v>435</v>
      </c>
      <c r="D2919" s="2" t="s">
        <v>9084</v>
      </c>
      <c r="E2919" s="2" t="s">
        <v>366</v>
      </c>
      <c r="F2919" s="2" t="s">
        <v>367</v>
      </c>
      <c r="G2919" s="2">
        <v>45673</v>
      </c>
      <c r="H2919" s="2" t="s">
        <v>492</v>
      </c>
      <c r="I2919" s="281">
        <v>77573</v>
      </c>
      <c r="J2919" s="2" t="s">
        <v>11279</v>
      </c>
      <c r="K2919" s="2">
        <v>45811</v>
      </c>
      <c r="L2919" s="2" t="s">
        <v>364</v>
      </c>
      <c r="M2919" s="2" t="s">
        <v>364</v>
      </c>
      <c r="N2919" s="2"/>
      <c r="O2919" s="2"/>
      <c r="P2919" s="524" t="s">
        <v>11280</v>
      </c>
      <c r="Q2919" s="281" t="str">
        <f t="shared" si="99"/>
        <v/>
      </c>
      <c r="R2919" s="1">
        <f>IF(H2919&lt;&gt;"",1,"")</f>
        <v>1</v>
      </c>
      <c r="S2919" s="1">
        <f t="shared" si="98"/>
        <v>1</v>
      </c>
      <c r="T2919" s="512" t="e">
        <f>_xlfn.XLOOKUP(H2919,#REF!,#REF!,0,0)</f>
        <v>#REF!</v>
      </c>
    </row>
    <row r="2920" spans="1:20" s="376" customFormat="1" ht="18.75" customHeight="1" x14ac:dyDescent="0.4">
      <c r="A2920" s="1" t="s">
        <v>11281</v>
      </c>
      <c r="B2920" s="1" t="s">
        <v>11282</v>
      </c>
      <c r="C2920" s="1" t="s">
        <v>435</v>
      </c>
      <c r="D2920" s="1" t="s">
        <v>9084</v>
      </c>
      <c r="E2920" s="1" t="s">
        <v>10</v>
      </c>
      <c r="F2920" s="1" t="s">
        <v>436</v>
      </c>
      <c r="G2920" s="2">
        <v>45566</v>
      </c>
      <c r="H2920" s="1" t="s">
        <v>11283</v>
      </c>
      <c r="I2920" s="1">
        <v>76833</v>
      </c>
      <c r="J2920" s="1" t="s">
        <v>11284</v>
      </c>
      <c r="K2920" s="534">
        <v>45811</v>
      </c>
      <c r="L2920" s="1" t="s">
        <v>364</v>
      </c>
      <c r="M2920" s="1" t="s">
        <v>364</v>
      </c>
      <c r="N2920" s="1"/>
      <c r="O2920" s="1"/>
      <c r="P2920" s="293"/>
      <c r="Q2920" s="1" t="str">
        <f t="shared" si="99"/>
        <v/>
      </c>
      <c r="R2920" s="1">
        <f>IF(H2920&lt;&gt;"",1,"")</f>
        <v>1</v>
      </c>
      <c r="S2920" s="1">
        <f t="shared" si="98"/>
        <v>1</v>
      </c>
      <c r="T2920" s="512" t="e">
        <f>_xlfn.XLOOKUP(H2920,#REF!,#REF!,0,0)</f>
        <v>#REF!</v>
      </c>
    </row>
    <row r="2921" spans="1:20" s="376" customFormat="1" ht="18.75" customHeight="1" x14ac:dyDescent="0.4">
      <c r="A2921" s="1" t="s">
        <v>11285</v>
      </c>
      <c r="B2921" s="1" t="s">
        <v>11286</v>
      </c>
      <c r="C2921" s="1" t="s">
        <v>435</v>
      </c>
      <c r="D2921" s="1" t="s">
        <v>9084</v>
      </c>
      <c r="E2921" s="1" t="s">
        <v>10</v>
      </c>
      <c r="F2921" s="1" t="s">
        <v>437</v>
      </c>
      <c r="G2921" s="2">
        <v>45765</v>
      </c>
      <c r="H2921" s="1" t="s">
        <v>11287</v>
      </c>
      <c r="I2921" s="1">
        <v>77367</v>
      </c>
      <c r="J2921" s="1" t="s">
        <v>11288</v>
      </c>
      <c r="K2921" s="534">
        <v>45811</v>
      </c>
      <c r="L2921" s="1" t="s">
        <v>364</v>
      </c>
      <c r="M2921" s="1"/>
      <c r="N2921" s="1"/>
      <c r="O2921" s="1"/>
      <c r="P2921" s="293" t="s">
        <v>11289</v>
      </c>
      <c r="Q2921" s="1" t="str">
        <f t="shared" si="99"/>
        <v/>
      </c>
      <c r="R2921" s="1">
        <v>1</v>
      </c>
      <c r="S2921" s="1">
        <v>1</v>
      </c>
      <c r="T2921" s="512" t="e">
        <f>_xlfn.XLOOKUP(H2921,#REF!,#REF!,0,0)</f>
        <v>#REF!</v>
      </c>
    </row>
    <row r="2922" spans="1:20" s="328" customFormat="1" x14ac:dyDescent="0.4">
      <c r="A2922" s="324" t="s">
        <v>11290</v>
      </c>
      <c r="B2922" s="324" t="s">
        <v>11291</v>
      </c>
      <c r="C2922" s="324" t="s">
        <v>434</v>
      </c>
      <c r="D2922" s="324" t="s">
        <v>9084</v>
      </c>
      <c r="E2922" s="324" t="s">
        <v>10</v>
      </c>
      <c r="F2922" s="324" t="s">
        <v>11292</v>
      </c>
      <c r="G2922" s="326"/>
      <c r="H2922" s="324" t="s">
        <v>11293</v>
      </c>
      <c r="I2922" s="327">
        <v>76121</v>
      </c>
      <c r="J2922" s="324" t="s">
        <v>9375</v>
      </c>
      <c r="K2922" s="326">
        <v>45811</v>
      </c>
      <c r="L2922" s="324" t="s">
        <v>364</v>
      </c>
      <c r="M2922" s="324" t="s">
        <v>364</v>
      </c>
      <c r="N2922" s="324" t="s">
        <v>364</v>
      </c>
      <c r="O2922" s="324" t="s">
        <v>364</v>
      </c>
      <c r="P2922" s="528" t="s">
        <v>11294</v>
      </c>
      <c r="Q2922" s="324" t="str">
        <f>IF(AND(C2922="Priorità/stagisti/Scorta"),1,"")</f>
        <v/>
      </c>
      <c r="R2922" s="324">
        <v>1</v>
      </c>
      <c r="S2922" s="324">
        <v>1</v>
      </c>
      <c r="T2922" s="512" t="e">
        <f>_xlfn.XLOOKUP(H2922,#REF!,#REF!,0,0)</f>
        <v>#REF!</v>
      </c>
    </row>
    <row r="2923" spans="1:20" s="376" customFormat="1" ht="18.75" customHeight="1" x14ac:dyDescent="0.4">
      <c r="A2923" s="1" t="s">
        <v>11295</v>
      </c>
      <c r="B2923" s="1" t="s">
        <v>11296</v>
      </c>
      <c r="C2923" s="1" t="s">
        <v>433</v>
      </c>
      <c r="D2923" s="1" t="s">
        <v>9084</v>
      </c>
      <c r="E2923" s="1" t="s">
        <v>10</v>
      </c>
      <c r="F2923" s="1" t="s">
        <v>437</v>
      </c>
      <c r="G2923" s="2">
        <v>45765</v>
      </c>
      <c r="H2923" s="1" t="s">
        <v>11297</v>
      </c>
      <c r="I2923" s="1">
        <v>77342</v>
      </c>
      <c r="J2923" s="1" t="s">
        <v>11298</v>
      </c>
      <c r="K2923" s="1" t="s">
        <v>11299</v>
      </c>
      <c r="L2923" s="1" t="s">
        <v>364</v>
      </c>
      <c r="M2923" s="1" t="s">
        <v>364</v>
      </c>
      <c r="N2923" s="1" t="s">
        <v>364</v>
      </c>
      <c r="O2923" s="1" t="s">
        <v>364</v>
      </c>
      <c r="P2923" s="293" t="s">
        <v>11300</v>
      </c>
      <c r="Q2923" s="1" t="str">
        <f>IF(A2923="SCORTA 10",1,"")</f>
        <v/>
      </c>
      <c r="R2923" s="1">
        <f>IF(H2923&lt;&gt;"",1,"")</f>
        <v>1</v>
      </c>
      <c r="S2923" s="1">
        <f>IF(I2923&lt;&gt;"",1,"")</f>
        <v>1</v>
      </c>
      <c r="T2923" s="512" t="e">
        <f>_xlfn.XLOOKUP(H2923,#REF!,#REF!,0,0)</f>
        <v>#REF!</v>
      </c>
    </row>
    <row r="2924" spans="1:20" s="328" customFormat="1" x14ac:dyDescent="0.4">
      <c r="A2924" s="324" t="s">
        <v>11301</v>
      </c>
      <c r="B2924" s="324" t="s">
        <v>11302</v>
      </c>
      <c r="C2924" s="324" t="s">
        <v>431</v>
      </c>
      <c r="D2924" s="324" t="s">
        <v>8127</v>
      </c>
      <c r="E2924" s="324" t="s">
        <v>10</v>
      </c>
      <c r="F2924" s="324" t="s">
        <v>68</v>
      </c>
      <c r="G2924" s="326"/>
      <c r="H2924" s="324" t="s">
        <v>11303</v>
      </c>
      <c r="I2924" s="327">
        <v>76188</v>
      </c>
      <c r="J2924" s="324"/>
      <c r="K2924" s="326">
        <v>45811</v>
      </c>
      <c r="L2924" s="324" t="s">
        <v>364</v>
      </c>
      <c r="M2924" s="324"/>
      <c r="N2924" s="324"/>
      <c r="O2924" s="324"/>
      <c r="P2924" s="528" t="s">
        <v>11304</v>
      </c>
      <c r="Q2924" s="324">
        <f>IF(AND(C2924="Priorità/stagisti/Scorta"),1,"")</f>
        <v>1</v>
      </c>
      <c r="R2924" s="324"/>
      <c r="S2924" s="324"/>
      <c r="T2924" s="512" t="e">
        <f>_xlfn.XLOOKUP(H2924,#REF!,#REF!,0,0)</f>
        <v>#REF!</v>
      </c>
    </row>
    <row r="2925" spans="1:20" s="328" customFormat="1" x14ac:dyDescent="0.4">
      <c r="A2925" s="324" t="s">
        <v>11305</v>
      </c>
      <c r="B2925" s="324" t="s">
        <v>11306</v>
      </c>
      <c r="C2925" s="324" t="s">
        <v>431</v>
      </c>
      <c r="D2925" s="324" t="s">
        <v>8127</v>
      </c>
      <c r="E2925" s="324" t="s">
        <v>10</v>
      </c>
      <c r="F2925" s="324" t="s">
        <v>244</v>
      </c>
      <c r="G2925" s="326"/>
      <c r="H2925" s="324" t="s">
        <v>11307</v>
      </c>
      <c r="I2925" s="327">
        <v>72277</v>
      </c>
      <c r="J2925" s="324"/>
      <c r="K2925" s="326">
        <v>45811</v>
      </c>
      <c r="L2925" s="324" t="s">
        <v>364</v>
      </c>
      <c r="M2925" s="324"/>
      <c r="N2925" s="324"/>
      <c r="O2925" s="324"/>
      <c r="P2925" s="528" t="s">
        <v>11308</v>
      </c>
      <c r="Q2925" s="324">
        <f>IF(AND(C2925="Priorità/stagisti/Scorta"),1,"")</f>
        <v>1</v>
      </c>
      <c r="R2925" s="324"/>
      <c r="S2925" s="324"/>
      <c r="T2925" s="512" t="e">
        <f>_xlfn.XLOOKUP(H2925,#REF!,#REF!,0,0)</f>
        <v>#REF!</v>
      </c>
    </row>
    <row r="2926" spans="1:20" s="376" customFormat="1" ht="18.75" customHeight="1" x14ac:dyDescent="0.4">
      <c r="A2926" s="1" t="s">
        <v>11309</v>
      </c>
      <c r="B2926" s="1" t="s">
        <v>11310</v>
      </c>
      <c r="C2926" s="1" t="s">
        <v>433</v>
      </c>
      <c r="D2926" s="1" t="s">
        <v>9084</v>
      </c>
      <c r="E2926" s="1" t="s">
        <v>10</v>
      </c>
      <c r="F2926" s="1" t="s">
        <v>437</v>
      </c>
      <c r="G2926" s="2">
        <v>45765</v>
      </c>
      <c r="H2926" s="1" t="s">
        <v>11311</v>
      </c>
      <c r="I2926" s="1">
        <v>77345</v>
      </c>
      <c r="J2926" s="1" t="s">
        <v>11312</v>
      </c>
      <c r="K2926" s="1" t="s">
        <v>11313</v>
      </c>
      <c r="L2926" s="1" t="s">
        <v>364</v>
      </c>
      <c r="M2926" s="1" t="s">
        <v>364</v>
      </c>
      <c r="N2926" s="1" t="s">
        <v>364</v>
      </c>
      <c r="O2926" s="1" t="s">
        <v>364</v>
      </c>
      <c r="P2926" s="293" t="s">
        <v>6148</v>
      </c>
      <c r="Q2926" s="1" t="str">
        <f>IF(A2926="SCORTA 10",1,"")</f>
        <v/>
      </c>
      <c r="R2926" s="1">
        <f t="shared" ref="R2926:S2929" si="100">IF(H2926&lt;&gt;"",1,"")</f>
        <v>1</v>
      </c>
      <c r="S2926" s="1">
        <f t="shared" si="100"/>
        <v>1</v>
      </c>
      <c r="T2926" s="512" t="e">
        <f>_xlfn.XLOOKUP(H2926,#REF!,#REF!,0,0)</f>
        <v>#REF!</v>
      </c>
    </row>
    <row r="2927" spans="1:20" s="286" customFormat="1" x14ac:dyDescent="0.4">
      <c r="A2927" s="2" t="s">
        <v>11314</v>
      </c>
      <c r="B2927" s="2" t="s">
        <v>11315</v>
      </c>
      <c r="C2927" s="2" t="s">
        <v>433</v>
      </c>
      <c r="D2927" s="2" t="s">
        <v>9084</v>
      </c>
      <c r="E2927" s="2" t="s">
        <v>366</v>
      </c>
      <c r="F2927" s="2" t="s">
        <v>367</v>
      </c>
      <c r="G2927" s="2">
        <v>45673</v>
      </c>
      <c r="H2927" s="2" t="s">
        <v>499</v>
      </c>
      <c r="I2927" s="281">
        <v>77581</v>
      </c>
      <c r="J2927" s="2" t="s">
        <v>11316</v>
      </c>
      <c r="K2927" s="2" t="s">
        <v>11317</v>
      </c>
      <c r="L2927" s="2" t="s">
        <v>364</v>
      </c>
      <c r="M2927" s="2" t="s">
        <v>364</v>
      </c>
      <c r="N2927" s="2"/>
      <c r="O2927" s="2" t="s">
        <v>364</v>
      </c>
      <c r="P2927" s="524" t="s">
        <v>11318</v>
      </c>
      <c r="Q2927" s="281" t="str">
        <f>IF(A2927="SCORTA 10",1,"")</f>
        <v/>
      </c>
      <c r="R2927" s="1">
        <f t="shared" si="100"/>
        <v>1</v>
      </c>
      <c r="S2927" s="1">
        <f t="shared" si="100"/>
        <v>1</v>
      </c>
      <c r="T2927" s="512" t="e">
        <f>_xlfn.XLOOKUP(H2927,#REF!,#REF!,0,0)</f>
        <v>#REF!</v>
      </c>
    </row>
    <row r="2928" spans="1:20" s="286" customFormat="1" x14ac:dyDescent="0.4">
      <c r="A2928" s="281" t="s">
        <v>11319</v>
      </c>
      <c r="B2928" s="281" t="s">
        <v>11320</v>
      </c>
      <c r="C2928" s="281" t="s">
        <v>433</v>
      </c>
      <c r="D2928" s="281" t="s">
        <v>9084</v>
      </c>
      <c r="E2928" s="281" t="s">
        <v>366</v>
      </c>
      <c r="F2928" s="281" t="s">
        <v>367</v>
      </c>
      <c r="G2928" s="2">
        <v>45751</v>
      </c>
      <c r="H2928" s="281" t="s">
        <v>483</v>
      </c>
      <c r="I2928" s="281">
        <v>77412</v>
      </c>
      <c r="J2928" s="281" t="s">
        <v>11321</v>
      </c>
      <c r="K2928" s="281" t="s">
        <v>11322</v>
      </c>
      <c r="L2928" s="281" t="s">
        <v>364</v>
      </c>
      <c r="M2928" s="281" t="s">
        <v>364</v>
      </c>
      <c r="N2928" s="281" t="s">
        <v>364</v>
      </c>
      <c r="O2928" s="281" t="s">
        <v>364</v>
      </c>
      <c r="P2928" s="550" t="s">
        <v>11323</v>
      </c>
      <c r="Q2928" s="281" t="str">
        <f>IF(A2928="SCORTA 10",1,"")</f>
        <v/>
      </c>
      <c r="R2928" s="1">
        <f t="shared" si="100"/>
        <v>1</v>
      </c>
      <c r="S2928" s="1">
        <f t="shared" si="100"/>
        <v>1</v>
      </c>
      <c r="T2928" s="512" t="e">
        <f>_xlfn.XLOOKUP(H2928,#REF!,#REF!,0,0)</f>
        <v>#REF!</v>
      </c>
    </row>
    <row r="2929" spans="1:20" s="286" customFormat="1" x14ac:dyDescent="0.4">
      <c r="A2929" s="2" t="s">
        <v>11324</v>
      </c>
      <c r="B2929" s="2" t="s">
        <v>11325</v>
      </c>
      <c r="C2929" s="2" t="s">
        <v>433</v>
      </c>
      <c r="D2929" s="2" t="s">
        <v>9084</v>
      </c>
      <c r="E2929" s="2" t="s">
        <v>366</v>
      </c>
      <c r="F2929" s="2" t="s">
        <v>367</v>
      </c>
      <c r="G2929" s="2">
        <v>45673</v>
      </c>
      <c r="H2929" s="2" t="s">
        <v>496</v>
      </c>
      <c r="I2929" s="281">
        <v>77578</v>
      </c>
      <c r="J2929" s="2" t="s">
        <v>11326</v>
      </c>
      <c r="K2929" s="2" t="s">
        <v>11327</v>
      </c>
      <c r="L2929" s="2" t="s">
        <v>364</v>
      </c>
      <c r="M2929" s="2" t="s">
        <v>364</v>
      </c>
      <c r="N2929" s="2" t="s">
        <v>364</v>
      </c>
      <c r="O2929" s="2" t="s">
        <v>364</v>
      </c>
      <c r="P2929" s="524" t="s">
        <v>11328</v>
      </c>
      <c r="Q2929" s="281" t="str">
        <f>IF(A2929="SCORTA 10",1,"")</f>
        <v/>
      </c>
      <c r="R2929" s="1">
        <f t="shared" si="100"/>
        <v>1</v>
      </c>
      <c r="S2929" s="1">
        <f t="shared" si="100"/>
        <v>1</v>
      </c>
      <c r="T2929" s="512" t="e">
        <f>_xlfn.XLOOKUP(H2929,#REF!,#REF!,0,0)</f>
        <v>#REF!</v>
      </c>
    </row>
    <row r="2930" spans="1:20" s="328" customFormat="1" x14ac:dyDescent="0.4">
      <c r="A2930" s="324" t="s">
        <v>11329</v>
      </c>
      <c r="B2930" s="324" t="s">
        <v>11330</v>
      </c>
      <c r="C2930" s="324" t="s">
        <v>434</v>
      </c>
      <c r="D2930" s="324" t="s">
        <v>8127</v>
      </c>
      <c r="E2930" s="325" t="s">
        <v>11331</v>
      </c>
      <c r="F2930" s="324" t="s">
        <v>367</v>
      </c>
      <c r="G2930" s="326"/>
      <c r="H2930" s="324" t="s">
        <v>489</v>
      </c>
      <c r="I2930" s="327">
        <v>77553</v>
      </c>
      <c r="J2930" s="324" t="s">
        <v>11020</v>
      </c>
      <c r="K2930" s="326"/>
      <c r="L2930" s="324"/>
      <c r="M2930" s="324"/>
      <c r="N2930" s="324"/>
      <c r="O2930" s="324"/>
      <c r="P2930" s="528"/>
      <c r="Q2930" s="324" t="str">
        <f>IF(AND(C2930="Priorità/stagisti/Scorta"),1,"")</f>
        <v/>
      </c>
      <c r="R2930" s="324"/>
      <c r="S2930" s="324"/>
      <c r="T2930" s="512" t="e">
        <f>_xlfn.XLOOKUP(H2930,#REF!,#REF!,0,0)</f>
        <v>#REF!</v>
      </c>
    </row>
    <row r="2931" spans="1:20" s="286" customFormat="1" x14ac:dyDescent="0.4">
      <c r="A2931" s="2" t="s">
        <v>11332</v>
      </c>
      <c r="B2931" s="2" t="s">
        <v>11333</v>
      </c>
      <c r="C2931" s="2" t="s">
        <v>433</v>
      </c>
      <c r="D2931" s="2" t="s">
        <v>9084</v>
      </c>
      <c r="E2931" s="2" t="s">
        <v>366</v>
      </c>
      <c r="F2931" s="2" t="s">
        <v>367</v>
      </c>
      <c r="G2931" s="2">
        <v>45673</v>
      </c>
      <c r="H2931" s="2" t="s">
        <v>495</v>
      </c>
      <c r="I2931" s="281">
        <v>77577</v>
      </c>
      <c r="J2931" s="2" t="s">
        <v>11334</v>
      </c>
      <c r="K2931" s="2" t="s">
        <v>11335</v>
      </c>
      <c r="L2931" s="2" t="s">
        <v>364</v>
      </c>
      <c r="M2931" s="2"/>
      <c r="N2931" s="2"/>
      <c r="O2931" s="2"/>
      <c r="P2931" s="524" t="s">
        <v>11336</v>
      </c>
      <c r="Q2931" s="281" t="str">
        <f>IF(A2931="SCORTA 10",1,"")</f>
        <v/>
      </c>
      <c r="R2931" s="1">
        <f t="shared" ref="R2931:S2935" si="101">IF(H2931&lt;&gt;"",1,"")</f>
        <v>1</v>
      </c>
      <c r="S2931" s="1">
        <f t="shared" si="101"/>
        <v>1</v>
      </c>
      <c r="T2931" s="512" t="e">
        <f>_xlfn.XLOOKUP(H2931,#REF!,#REF!,0,0)</f>
        <v>#REF!</v>
      </c>
    </row>
    <row r="2932" spans="1:20" s="286" customFormat="1" x14ac:dyDescent="0.4">
      <c r="A2932" s="2" t="s">
        <v>11337</v>
      </c>
      <c r="B2932" s="2" t="s">
        <v>11338</v>
      </c>
      <c r="C2932" s="2" t="s">
        <v>433</v>
      </c>
      <c r="D2932" s="2"/>
      <c r="E2932" s="2" t="s">
        <v>366</v>
      </c>
      <c r="F2932" s="2" t="s">
        <v>367</v>
      </c>
      <c r="G2932" s="2">
        <v>45673</v>
      </c>
      <c r="H2932" s="2" t="s">
        <v>498</v>
      </c>
      <c r="I2932" s="281">
        <v>77580</v>
      </c>
      <c r="J2932" s="2" t="s">
        <v>11339</v>
      </c>
      <c r="K2932" s="2" t="s">
        <v>11340</v>
      </c>
      <c r="L2932" s="2" t="s">
        <v>364</v>
      </c>
      <c r="M2932" s="2" t="s">
        <v>364</v>
      </c>
      <c r="N2932" s="2"/>
      <c r="O2932" s="2" t="s">
        <v>364</v>
      </c>
      <c r="P2932" s="524"/>
      <c r="Q2932" s="281" t="str">
        <f>IF(A2932="SCORTA 10",1,"")</f>
        <v/>
      </c>
      <c r="R2932" s="1">
        <f t="shared" si="101"/>
        <v>1</v>
      </c>
      <c r="S2932" s="1">
        <f t="shared" si="101"/>
        <v>1</v>
      </c>
      <c r="T2932" s="512" t="e">
        <f>_xlfn.XLOOKUP(H2932,#REF!,#REF!,0,0)</f>
        <v>#REF!</v>
      </c>
    </row>
    <row r="2933" spans="1:20" s="286" customFormat="1" x14ac:dyDescent="0.4">
      <c r="A2933" s="2" t="s">
        <v>11341</v>
      </c>
      <c r="B2933" s="2" t="s">
        <v>11342</v>
      </c>
      <c r="C2933" s="2" t="s">
        <v>8925</v>
      </c>
      <c r="D2933" s="2" t="s">
        <v>9084</v>
      </c>
      <c r="E2933" s="2" t="s">
        <v>366</v>
      </c>
      <c r="F2933" s="2" t="s">
        <v>367</v>
      </c>
      <c r="G2933" s="2">
        <v>45673</v>
      </c>
      <c r="H2933" s="2" t="s">
        <v>501</v>
      </c>
      <c r="I2933" s="281">
        <v>77583</v>
      </c>
      <c r="J2933" s="2" t="s">
        <v>11343</v>
      </c>
      <c r="K2933" s="2">
        <v>45839</v>
      </c>
      <c r="L2933" s="2" t="s">
        <v>364</v>
      </c>
      <c r="M2933" s="2" t="s">
        <v>364</v>
      </c>
      <c r="N2933" s="2"/>
      <c r="O2933" s="2"/>
      <c r="P2933" s="524" t="s">
        <v>11344</v>
      </c>
      <c r="Q2933" s="281" t="str">
        <f>IF(A2933="SCORTA 10",1,"")</f>
        <v/>
      </c>
      <c r="R2933" s="1">
        <f t="shared" si="101"/>
        <v>1</v>
      </c>
      <c r="S2933" s="1">
        <f t="shared" si="101"/>
        <v>1</v>
      </c>
      <c r="T2933" s="512" t="e">
        <f>_xlfn.XLOOKUP(H2933,#REF!,#REF!,0,0)</f>
        <v>#REF!</v>
      </c>
    </row>
    <row r="2934" spans="1:20" s="286" customFormat="1" x14ac:dyDescent="0.4">
      <c r="A2934" s="2" t="s">
        <v>11345</v>
      </c>
      <c r="B2934" s="2" t="s">
        <v>11346</v>
      </c>
      <c r="C2934" s="2" t="s">
        <v>435</v>
      </c>
      <c r="D2934" s="2" t="s">
        <v>9084</v>
      </c>
      <c r="E2934" s="2" t="s">
        <v>366</v>
      </c>
      <c r="F2934" s="2" t="s">
        <v>367</v>
      </c>
      <c r="G2934" s="2">
        <v>45673</v>
      </c>
      <c r="H2934" s="2" t="s">
        <v>500</v>
      </c>
      <c r="I2934" s="281">
        <v>77582</v>
      </c>
      <c r="J2934" s="2" t="s">
        <v>11347</v>
      </c>
      <c r="K2934" s="2">
        <v>45824</v>
      </c>
      <c r="L2934" s="2" t="s">
        <v>364</v>
      </c>
      <c r="M2934" s="2" t="s">
        <v>364</v>
      </c>
      <c r="N2934" s="2" t="s">
        <v>364</v>
      </c>
      <c r="O2934" s="2" t="s">
        <v>364</v>
      </c>
      <c r="P2934" s="524"/>
      <c r="Q2934" s="281" t="str">
        <f>IF(A2934="SCORTA 10",1,"")</f>
        <v/>
      </c>
      <c r="R2934" s="1">
        <f t="shared" si="101"/>
        <v>1</v>
      </c>
      <c r="S2934" s="1">
        <f t="shared" si="101"/>
        <v>1</v>
      </c>
      <c r="T2934" s="512" t="e">
        <f>_xlfn.XLOOKUP(H2934,#REF!,#REF!,0,0)</f>
        <v>#REF!</v>
      </c>
    </row>
    <row r="2935" spans="1:20" s="376" customFormat="1" ht="18.75" customHeight="1" x14ac:dyDescent="0.4">
      <c r="A2935" s="1" t="s">
        <v>11348</v>
      </c>
      <c r="B2935" s="1" t="s">
        <v>11349</v>
      </c>
      <c r="C2935" s="1" t="s">
        <v>433</v>
      </c>
      <c r="D2935" s="1" t="s">
        <v>9084</v>
      </c>
      <c r="E2935" s="1" t="s">
        <v>10</v>
      </c>
      <c r="F2935" s="1" t="s">
        <v>437</v>
      </c>
      <c r="G2935" s="2">
        <v>45765</v>
      </c>
      <c r="H2935" s="1" t="s">
        <v>11350</v>
      </c>
      <c r="I2935" s="1">
        <v>77346</v>
      </c>
      <c r="J2935" s="1" t="s">
        <v>11351</v>
      </c>
      <c r="K2935" s="1" t="s">
        <v>11352</v>
      </c>
      <c r="L2935" s="1" t="s">
        <v>364</v>
      </c>
      <c r="M2935" s="1" t="s">
        <v>364</v>
      </c>
      <c r="N2935" s="1" t="s">
        <v>364</v>
      </c>
      <c r="O2935" s="1" t="s">
        <v>364</v>
      </c>
      <c r="P2935" s="293" t="s">
        <v>6148</v>
      </c>
      <c r="Q2935" s="1" t="str">
        <f>IF(A2935="SCORTA 10",1,"")</f>
        <v/>
      </c>
      <c r="R2935" s="1">
        <f t="shared" si="101"/>
        <v>1</v>
      </c>
      <c r="S2935" s="1">
        <f t="shared" si="101"/>
        <v>1</v>
      </c>
      <c r="T2935" s="512" t="e">
        <f>_xlfn.XLOOKUP(H2935,#REF!,#REF!,0,0)</f>
        <v>#REF!</v>
      </c>
    </row>
    <row r="2936" spans="1:20" s="328" customFormat="1" x14ac:dyDescent="0.4">
      <c r="A2936" s="324" t="s">
        <v>11353</v>
      </c>
      <c r="B2936" s="522" t="s">
        <v>11354</v>
      </c>
      <c r="C2936" s="324" t="s">
        <v>434</v>
      </c>
      <c r="D2936" s="324" t="s">
        <v>9084</v>
      </c>
      <c r="E2936" s="325" t="s">
        <v>10</v>
      </c>
      <c r="F2936" s="324" t="s">
        <v>11355</v>
      </c>
      <c r="G2936" s="326"/>
      <c r="H2936" s="324" t="s">
        <v>11356</v>
      </c>
      <c r="I2936" s="327">
        <v>70716</v>
      </c>
      <c r="J2936" s="325" t="s">
        <v>5360</v>
      </c>
      <c r="K2936" s="326"/>
      <c r="L2936" s="324"/>
      <c r="M2936" s="324"/>
      <c r="N2936" s="324"/>
      <c r="O2936" s="324"/>
      <c r="P2936" s="528" t="s">
        <v>11357</v>
      </c>
      <c r="Q2936" s="324" t="str">
        <f>IF(AND(C2936="Priorità/stagisti/Scorta"),1,"")</f>
        <v/>
      </c>
      <c r="R2936" s="324">
        <v>1</v>
      </c>
      <c r="S2936" s="324">
        <v>1</v>
      </c>
      <c r="T2936" s="512" t="e">
        <f>_xlfn.XLOOKUP(H2936,#REF!,#REF!,0,0)</f>
        <v>#REF!</v>
      </c>
    </row>
    <row r="2937" spans="1:20" s="376" customFormat="1" ht="18.75" customHeight="1" x14ac:dyDescent="0.4">
      <c r="A2937" s="1" t="s">
        <v>11358</v>
      </c>
      <c r="B2937" s="1" t="s">
        <v>11359</v>
      </c>
      <c r="C2937" s="1" t="s">
        <v>433</v>
      </c>
      <c r="D2937" s="1" t="s">
        <v>9084</v>
      </c>
      <c r="E2937" s="1" t="s">
        <v>10</v>
      </c>
      <c r="F2937" s="1" t="s">
        <v>437</v>
      </c>
      <c r="G2937" s="2">
        <v>45765</v>
      </c>
      <c r="H2937" s="1" t="s">
        <v>11360</v>
      </c>
      <c r="I2937" s="1">
        <v>77341</v>
      </c>
      <c r="J2937" s="1" t="s">
        <v>11361</v>
      </c>
      <c r="K2937" s="1" t="s">
        <v>11362</v>
      </c>
      <c r="L2937" s="1" t="s">
        <v>364</v>
      </c>
      <c r="M2937" s="1" t="s">
        <v>364</v>
      </c>
      <c r="N2937" s="1" t="s">
        <v>364</v>
      </c>
      <c r="O2937" s="1" t="s">
        <v>364</v>
      </c>
      <c r="P2937" s="293" t="s">
        <v>11363</v>
      </c>
      <c r="Q2937" s="1" t="str">
        <f t="shared" ref="Q2937:Q2942" si="102">IF(A2937="SCORTA 10",1,"")</f>
        <v/>
      </c>
      <c r="R2937" s="1">
        <f t="shared" ref="R2937:R2942" si="103">IF(H2937&lt;&gt;"",1,"")</f>
        <v>1</v>
      </c>
      <c r="S2937" s="1">
        <f t="shared" ref="S2937:S2942" si="104">IF(I2937&lt;&gt;"",1,"")</f>
        <v>1</v>
      </c>
      <c r="T2937" s="512" t="e">
        <f>_xlfn.XLOOKUP(H2937,#REF!,#REF!,0,0)</f>
        <v>#REF!</v>
      </c>
    </row>
    <row r="2938" spans="1:20" s="286" customFormat="1" x14ac:dyDescent="0.4">
      <c r="A2938" s="2" t="s">
        <v>11364</v>
      </c>
      <c r="B2938" s="2" t="s">
        <v>11365</v>
      </c>
      <c r="C2938" s="2" t="s">
        <v>433</v>
      </c>
      <c r="D2938" s="2" t="s">
        <v>9084</v>
      </c>
      <c r="E2938" s="2" t="s">
        <v>366</v>
      </c>
      <c r="F2938" s="2" t="s">
        <v>367</v>
      </c>
      <c r="G2938" s="2">
        <v>45673</v>
      </c>
      <c r="H2938" s="2" t="s">
        <v>494</v>
      </c>
      <c r="I2938" s="281">
        <v>77575</v>
      </c>
      <c r="J2938" s="2" t="s">
        <v>11366</v>
      </c>
      <c r="K2938" s="2" t="s">
        <v>11367</v>
      </c>
      <c r="L2938" s="2" t="s">
        <v>364</v>
      </c>
      <c r="M2938" s="2" t="s">
        <v>364</v>
      </c>
      <c r="N2938" s="2" t="s">
        <v>364</v>
      </c>
      <c r="O2938" s="2" t="s">
        <v>364</v>
      </c>
      <c r="P2938" s="524"/>
      <c r="Q2938" s="281" t="str">
        <f t="shared" si="102"/>
        <v/>
      </c>
      <c r="R2938" s="1">
        <f t="shared" si="103"/>
        <v>1</v>
      </c>
      <c r="S2938" s="1">
        <f t="shared" si="104"/>
        <v>1</v>
      </c>
      <c r="T2938" s="512" t="e">
        <f>_xlfn.XLOOKUP(H2938,#REF!,#REF!,0,0)</f>
        <v>#REF!</v>
      </c>
    </row>
    <row r="2939" spans="1:20" s="286" customFormat="1" x14ac:dyDescent="0.4">
      <c r="A2939" s="2" t="s">
        <v>11368</v>
      </c>
      <c r="B2939" s="2" t="s">
        <v>11369</v>
      </c>
      <c r="C2939" s="2" t="s">
        <v>433</v>
      </c>
      <c r="D2939" s="2" t="s">
        <v>11370</v>
      </c>
      <c r="E2939" s="2" t="s">
        <v>366</v>
      </c>
      <c r="F2939" s="2" t="s">
        <v>367</v>
      </c>
      <c r="G2939" s="2">
        <v>45673</v>
      </c>
      <c r="H2939" s="2" t="s">
        <v>502</v>
      </c>
      <c r="I2939" s="281">
        <v>77584</v>
      </c>
      <c r="J2939" s="2" t="s">
        <v>11371</v>
      </c>
      <c r="K2939" s="2" t="s">
        <v>11367</v>
      </c>
      <c r="L2939" s="2" t="s">
        <v>364</v>
      </c>
      <c r="M2939" s="2" t="s">
        <v>364</v>
      </c>
      <c r="N2939" s="2" t="s">
        <v>364</v>
      </c>
      <c r="O2939" s="2" t="s">
        <v>364</v>
      </c>
      <c r="P2939" s="524"/>
      <c r="Q2939" s="281" t="str">
        <f t="shared" si="102"/>
        <v/>
      </c>
      <c r="R2939" s="1">
        <f t="shared" si="103"/>
        <v>1</v>
      </c>
      <c r="S2939" s="1">
        <f t="shared" si="104"/>
        <v>1</v>
      </c>
      <c r="T2939" s="512" t="e">
        <f>_xlfn.XLOOKUP(H2939,#REF!,#REF!,0,0)</f>
        <v>#REF!</v>
      </c>
    </row>
    <row r="2940" spans="1:20" s="376" customFormat="1" ht="18.75" customHeight="1" x14ac:dyDescent="0.4">
      <c r="A2940" s="1" t="s">
        <v>11372</v>
      </c>
      <c r="B2940" s="1" t="s">
        <v>11373</v>
      </c>
      <c r="C2940" s="1" t="s">
        <v>433</v>
      </c>
      <c r="D2940" s="1" t="s">
        <v>9084</v>
      </c>
      <c r="E2940" s="1" t="s">
        <v>10</v>
      </c>
      <c r="F2940" s="1" t="s">
        <v>437</v>
      </c>
      <c r="G2940" s="2">
        <v>45765</v>
      </c>
      <c r="H2940" s="1" t="s">
        <v>11374</v>
      </c>
      <c r="I2940" s="1">
        <v>77340</v>
      </c>
      <c r="J2940" s="1" t="s">
        <v>11375</v>
      </c>
      <c r="K2940" s="2">
        <v>45826</v>
      </c>
      <c r="L2940" s="1" t="s">
        <v>364</v>
      </c>
      <c r="M2940" s="1" t="s">
        <v>364</v>
      </c>
      <c r="N2940" s="1" t="s">
        <v>364</v>
      </c>
      <c r="O2940" s="1" t="s">
        <v>364</v>
      </c>
      <c r="P2940" s="293"/>
      <c r="Q2940" s="1" t="str">
        <f t="shared" si="102"/>
        <v/>
      </c>
      <c r="R2940" s="1">
        <f t="shared" si="103"/>
        <v>1</v>
      </c>
      <c r="S2940" s="1">
        <f t="shared" si="104"/>
        <v>1</v>
      </c>
      <c r="T2940" s="512" t="e">
        <f>_xlfn.XLOOKUP(H2940,#REF!,#REF!,0,0)</f>
        <v>#REF!</v>
      </c>
    </row>
    <row r="2941" spans="1:20" s="286" customFormat="1" x14ac:dyDescent="0.4">
      <c r="A2941" s="281" t="s">
        <v>11376</v>
      </c>
      <c r="B2941" s="281" t="s">
        <v>11377</v>
      </c>
      <c r="C2941" s="281" t="s">
        <v>433</v>
      </c>
      <c r="D2941" s="281" t="s">
        <v>9084</v>
      </c>
      <c r="E2941" s="281" t="s">
        <v>366</v>
      </c>
      <c r="F2941" s="281" t="s">
        <v>367</v>
      </c>
      <c r="G2941" s="2">
        <v>45751</v>
      </c>
      <c r="H2941" s="281" t="s">
        <v>11378</v>
      </c>
      <c r="I2941" s="281">
        <v>77396</v>
      </c>
      <c r="J2941" s="281" t="s">
        <v>11379</v>
      </c>
      <c r="K2941" s="281" t="s">
        <v>11380</v>
      </c>
      <c r="L2941" s="281" t="s">
        <v>364</v>
      </c>
      <c r="M2941" s="281" t="s">
        <v>364</v>
      </c>
      <c r="N2941" s="281" t="s">
        <v>364</v>
      </c>
      <c r="O2941" s="281" t="s">
        <v>364</v>
      </c>
      <c r="P2941" s="550" t="s">
        <v>11381</v>
      </c>
      <c r="Q2941" s="281" t="str">
        <f t="shared" si="102"/>
        <v/>
      </c>
      <c r="R2941" s="1">
        <f t="shared" si="103"/>
        <v>1</v>
      </c>
      <c r="S2941" s="1">
        <f t="shared" si="104"/>
        <v>1</v>
      </c>
      <c r="T2941" s="512" t="e">
        <f>_xlfn.XLOOKUP(H2941,#REF!,#REF!,0,0)</f>
        <v>#REF!</v>
      </c>
    </row>
    <row r="2942" spans="1:20" s="286" customFormat="1" x14ac:dyDescent="0.4">
      <c r="A2942" s="281" t="s">
        <v>11382</v>
      </c>
      <c r="B2942" s="281" t="s">
        <v>11383</v>
      </c>
      <c r="C2942" s="281" t="s">
        <v>433</v>
      </c>
      <c r="D2942" s="281" t="s">
        <v>9084</v>
      </c>
      <c r="E2942" s="281" t="s">
        <v>366</v>
      </c>
      <c r="F2942" s="281" t="s">
        <v>367</v>
      </c>
      <c r="G2942" s="2">
        <v>45751</v>
      </c>
      <c r="H2942" s="281" t="s">
        <v>481</v>
      </c>
      <c r="I2942" s="281">
        <v>77397</v>
      </c>
      <c r="J2942" s="281" t="s">
        <v>11384</v>
      </c>
      <c r="K2942" s="2">
        <v>45827</v>
      </c>
      <c r="L2942" s="281" t="s">
        <v>364</v>
      </c>
      <c r="M2942" s="281" t="s">
        <v>364</v>
      </c>
      <c r="N2942" s="281" t="s">
        <v>364</v>
      </c>
      <c r="O2942" s="281" t="s">
        <v>364</v>
      </c>
      <c r="P2942" s="550"/>
      <c r="Q2942" s="281" t="str">
        <f t="shared" si="102"/>
        <v/>
      </c>
      <c r="R2942" s="1">
        <f t="shared" si="103"/>
        <v>1</v>
      </c>
      <c r="S2942" s="1">
        <f t="shared" si="104"/>
        <v>1</v>
      </c>
      <c r="T2942" s="512" t="e">
        <f>_xlfn.XLOOKUP(H2942,#REF!,#REF!,0,0)</f>
        <v>#REF!</v>
      </c>
    </row>
    <row r="2943" spans="1:20" s="328" customFormat="1" x14ac:dyDescent="0.4">
      <c r="A2943" s="324" t="s">
        <v>11385</v>
      </c>
      <c r="B2943" s="324" t="s">
        <v>11386</v>
      </c>
      <c r="C2943" s="324" t="s">
        <v>431</v>
      </c>
      <c r="D2943" s="324" t="s">
        <v>9084</v>
      </c>
      <c r="E2943" s="325" t="s">
        <v>10</v>
      </c>
      <c r="F2943" s="324" t="s">
        <v>11387</v>
      </c>
      <c r="G2943" s="326"/>
      <c r="H2943" s="324" t="s">
        <v>11388</v>
      </c>
      <c r="I2943" s="327">
        <v>73347</v>
      </c>
      <c r="J2943" s="324" t="s">
        <v>8826</v>
      </c>
      <c r="K2943" s="333">
        <v>45824</v>
      </c>
      <c r="L2943" s="324" t="s">
        <v>364</v>
      </c>
      <c r="M2943" s="324" t="s">
        <v>364</v>
      </c>
      <c r="N2943" s="324" t="s">
        <v>364</v>
      </c>
      <c r="O2943" s="324" t="s">
        <v>364</v>
      </c>
      <c r="P2943" s="528" t="s">
        <v>11389</v>
      </c>
      <c r="Q2943" s="324">
        <f>IF(AND(C2943="Priorità/stagisti/Scorta"),1,"")</f>
        <v>1</v>
      </c>
      <c r="R2943" s="324">
        <v>1</v>
      </c>
      <c r="S2943" s="324">
        <v>1</v>
      </c>
      <c r="T2943" s="512" t="e">
        <f>_xlfn.XLOOKUP(H2943,#REF!,#REF!,0,0)</f>
        <v>#REF!</v>
      </c>
    </row>
    <row r="2944" spans="1:20" s="286" customFormat="1" x14ac:dyDescent="0.4">
      <c r="A2944" s="281" t="s">
        <v>11390</v>
      </c>
      <c r="B2944" s="281" t="s">
        <v>11391</v>
      </c>
      <c r="C2944" s="281" t="s">
        <v>433</v>
      </c>
      <c r="D2944" s="281" t="s">
        <v>11392</v>
      </c>
      <c r="E2944" s="281" t="s">
        <v>366</v>
      </c>
      <c r="F2944" s="281" t="s">
        <v>367</v>
      </c>
      <c r="G2944" s="2">
        <v>45751</v>
      </c>
      <c r="H2944" s="281" t="s">
        <v>482</v>
      </c>
      <c r="I2944" s="281">
        <v>77405</v>
      </c>
      <c r="J2944" s="281" t="s">
        <v>11393</v>
      </c>
      <c r="K2944" s="281" t="s">
        <v>11394</v>
      </c>
      <c r="L2944" s="281" t="s">
        <v>364</v>
      </c>
      <c r="M2944" s="281" t="s">
        <v>364</v>
      </c>
      <c r="N2944" s="281" t="s">
        <v>364</v>
      </c>
      <c r="O2944" s="281" t="s">
        <v>364</v>
      </c>
      <c r="P2944" s="550"/>
      <c r="Q2944" s="281" t="str">
        <f>IF(A2944="SCORTA 10",1,"")</f>
        <v/>
      </c>
      <c r="R2944" s="1">
        <f>IF(H2944&lt;&gt;"",1,"")</f>
        <v>1</v>
      </c>
      <c r="S2944" s="1">
        <f>IF(I2944&lt;&gt;"",1,"")</f>
        <v>1</v>
      </c>
      <c r="T2944" s="512" t="e">
        <f>_xlfn.XLOOKUP(H2944,#REF!,#REF!,0,0)</f>
        <v>#REF!</v>
      </c>
    </row>
    <row r="2945" spans="1:20" s="328" customFormat="1" x14ac:dyDescent="0.4">
      <c r="A2945" s="324" t="s">
        <v>11395</v>
      </c>
      <c r="B2945" s="324" t="s">
        <v>11396</v>
      </c>
      <c r="C2945" s="324" t="s">
        <v>434</v>
      </c>
      <c r="D2945" s="324" t="s">
        <v>8127</v>
      </c>
      <c r="E2945" s="325" t="s">
        <v>11331</v>
      </c>
      <c r="F2945" s="324" t="s">
        <v>367</v>
      </c>
      <c r="G2945" s="326"/>
      <c r="H2945" s="324" t="s">
        <v>479</v>
      </c>
      <c r="I2945" s="327">
        <v>76870</v>
      </c>
      <c r="J2945" s="324" t="s">
        <v>10706</v>
      </c>
      <c r="K2945" s="333" t="s">
        <v>11397</v>
      </c>
      <c r="L2945" s="324" t="s">
        <v>364</v>
      </c>
      <c r="M2945" s="324" t="s">
        <v>364</v>
      </c>
      <c r="N2945" s="324" t="s">
        <v>364</v>
      </c>
      <c r="O2945" s="324" t="s">
        <v>364</v>
      </c>
      <c r="P2945" s="528" t="s">
        <v>11398</v>
      </c>
      <c r="Q2945" s="324" t="str">
        <f>IF(AND(C2945="Priorità/stagisti/Scorta"),1,"")</f>
        <v/>
      </c>
      <c r="R2945" s="324">
        <v>1</v>
      </c>
      <c r="S2945" s="324">
        <v>1</v>
      </c>
      <c r="T2945" s="512" t="e">
        <f>_xlfn.XLOOKUP(H2945,#REF!,#REF!,0,0)</f>
        <v>#REF!</v>
      </c>
    </row>
    <row r="2946" spans="1:20" s="286" customFormat="1" x14ac:dyDescent="0.4">
      <c r="A2946" s="2" t="s">
        <v>11399</v>
      </c>
      <c r="B2946" s="2" t="s">
        <v>11400</v>
      </c>
      <c r="C2946" s="2" t="s">
        <v>433</v>
      </c>
      <c r="D2946" s="2" t="s">
        <v>9084</v>
      </c>
      <c r="E2946" s="2" t="s">
        <v>366</v>
      </c>
      <c r="F2946" s="2" t="s">
        <v>367</v>
      </c>
      <c r="G2946" s="2">
        <v>45673</v>
      </c>
      <c r="H2946" s="2" t="s">
        <v>506</v>
      </c>
      <c r="I2946" s="281">
        <v>77589</v>
      </c>
      <c r="J2946" s="2" t="s">
        <v>11401</v>
      </c>
      <c r="K2946" s="2">
        <v>45839</v>
      </c>
      <c r="L2946" s="2" t="s">
        <v>364</v>
      </c>
      <c r="M2946" s="2" t="s">
        <v>364</v>
      </c>
      <c r="N2946" s="2" t="s">
        <v>364</v>
      </c>
      <c r="O2946" s="2" t="s">
        <v>364</v>
      </c>
      <c r="P2946" s="524"/>
      <c r="Q2946" s="281" t="str">
        <f>IF(A2946="SCORTA 10",1,"")</f>
        <v/>
      </c>
      <c r="R2946" s="1">
        <f>IF(H2946&lt;&gt;"",1,"")</f>
        <v>1</v>
      </c>
      <c r="S2946" s="1">
        <f>IF(I2946&lt;&gt;"",1,"")</f>
        <v>1</v>
      </c>
      <c r="T2946" s="512" t="e">
        <f>_xlfn.XLOOKUP(H2946,#REF!,#REF!,0,0)</f>
        <v>#REF!</v>
      </c>
    </row>
    <row r="2947" spans="1:20" s="286" customFormat="1" x14ac:dyDescent="0.4">
      <c r="A2947" s="2" t="s">
        <v>11402</v>
      </c>
      <c r="B2947" s="2" t="s">
        <v>11403</v>
      </c>
      <c r="C2947" s="2" t="s">
        <v>433</v>
      </c>
      <c r="D2947" s="2" t="s">
        <v>447</v>
      </c>
      <c r="E2947" s="2" t="s">
        <v>366</v>
      </c>
      <c r="F2947" s="2" t="s">
        <v>367</v>
      </c>
      <c r="G2947" s="2">
        <v>45673</v>
      </c>
      <c r="H2947" s="2" t="s">
        <v>486</v>
      </c>
      <c r="I2947" s="281">
        <v>77539</v>
      </c>
      <c r="J2947" s="2" t="s">
        <v>10818</v>
      </c>
      <c r="K2947" s="2" t="s">
        <v>11404</v>
      </c>
      <c r="L2947" s="2" t="s">
        <v>364</v>
      </c>
      <c r="M2947" s="2"/>
      <c r="N2947" s="2"/>
      <c r="O2947" s="2"/>
      <c r="P2947" s="524" t="s">
        <v>11405</v>
      </c>
      <c r="Q2947" s="281" t="str">
        <f>IF(A2947="SCORTA 10",1,"")</f>
        <v/>
      </c>
      <c r="R2947" s="1">
        <f>IF(H2947&lt;&gt;"",1,"")</f>
        <v>1</v>
      </c>
      <c r="S2947" s="1">
        <f>IF(I2947&lt;&gt;"",1,"")</f>
        <v>1</v>
      </c>
      <c r="T2947" s="512" t="e">
        <f>_xlfn.XLOOKUP(H2947,#REF!,#REF!,0,0)</f>
        <v>#REF!</v>
      </c>
    </row>
    <row r="2948" spans="1:20" s="328" customFormat="1" x14ac:dyDescent="0.4">
      <c r="A2948" s="324" t="s">
        <v>11406</v>
      </c>
      <c r="B2948" s="324" t="s">
        <v>11407</v>
      </c>
      <c r="C2948" s="324" t="s">
        <v>434</v>
      </c>
      <c r="D2948" s="324" t="s">
        <v>8127</v>
      </c>
      <c r="E2948" s="325" t="s">
        <v>11331</v>
      </c>
      <c r="F2948" s="324" t="s">
        <v>367</v>
      </c>
      <c r="G2948" s="326"/>
      <c r="H2948" s="324" t="s">
        <v>488</v>
      </c>
      <c r="I2948" s="327">
        <v>77549</v>
      </c>
      <c r="J2948" s="324" t="s">
        <v>10889</v>
      </c>
      <c r="K2948" s="333" t="s">
        <v>11408</v>
      </c>
      <c r="L2948" s="324" t="s">
        <v>364</v>
      </c>
      <c r="M2948" s="324" t="s">
        <v>364</v>
      </c>
      <c r="N2948" s="324" t="s">
        <v>364</v>
      </c>
      <c r="O2948" s="324" t="s">
        <v>364</v>
      </c>
      <c r="P2948" s="528"/>
      <c r="Q2948" s="324" t="str">
        <f>IF(AND(C2948="Priorità/stagisti/Scorta"),1,"")</f>
        <v/>
      </c>
      <c r="R2948" s="324">
        <v>1</v>
      </c>
      <c r="S2948" s="324">
        <v>1</v>
      </c>
      <c r="T2948" s="512" t="e">
        <f>_xlfn.XLOOKUP(H2948,#REF!,#REF!,0,0)</f>
        <v>#REF!</v>
      </c>
    </row>
    <row r="2949" spans="1:20" s="328" customFormat="1" x14ac:dyDescent="0.4">
      <c r="A2949" s="324" t="s">
        <v>11409</v>
      </c>
      <c r="B2949" s="522" t="s">
        <v>11410</v>
      </c>
      <c r="C2949" s="324" t="s">
        <v>431</v>
      </c>
      <c r="D2949" s="324"/>
      <c r="E2949" s="325" t="s">
        <v>10</v>
      </c>
      <c r="F2949" s="324" t="s">
        <v>11411</v>
      </c>
      <c r="G2949" s="326"/>
      <c r="H2949" s="324" t="s">
        <v>11412</v>
      </c>
      <c r="I2949" s="327">
        <v>72779</v>
      </c>
      <c r="J2949" s="324" t="s">
        <v>7651</v>
      </c>
      <c r="K2949" s="326"/>
      <c r="L2949" s="324"/>
      <c r="M2949" s="324"/>
      <c r="N2949" s="324"/>
      <c r="O2949" s="324"/>
      <c r="P2949" s="528"/>
      <c r="Q2949" s="324">
        <f>IF(AND(C2949="Priorità/stagisti/Scorta"),1,"")</f>
        <v>1</v>
      </c>
      <c r="R2949" s="324">
        <v>1</v>
      </c>
      <c r="S2949" s="324">
        <v>1</v>
      </c>
      <c r="T2949" s="512" t="e">
        <f>_xlfn.XLOOKUP(H2949,#REF!,#REF!,0,0)</f>
        <v>#REF!</v>
      </c>
    </row>
    <row r="2950" spans="1:20" s="286" customFormat="1" x14ac:dyDescent="0.4">
      <c r="A2950" s="2" t="s">
        <v>11413</v>
      </c>
      <c r="B2950" s="2" t="s">
        <v>11414</v>
      </c>
      <c r="C2950" s="2" t="s">
        <v>433</v>
      </c>
      <c r="D2950" s="2" t="s">
        <v>8127</v>
      </c>
      <c r="E2950" s="2" t="s">
        <v>366</v>
      </c>
      <c r="F2950" s="2" t="s">
        <v>367</v>
      </c>
      <c r="G2950" s="2">
        <v>45673</v>
      </c>
      <c r="H2950" s="2" t="s">
        <v>505</v>
      </c>
      <c r="I2950" s="281">
        <v>77588</v>
      </c>
      <c r="J2950" s="2" t="s">
        <v>11415</v>
      </c>
      <c r="K2950" s="2" t="s">
        <v>11416</v>
      </c>
      <c r="L2950" s="2" t="s">
        <v>364</v>
      </c>
      <c r="M2950" s="2" t="s">
        <v>364</v>
      </c>
      <c r="N2950" s="2" t="s">
        <v>364</v>
      </c>
      <c r="O2950" s="2" t="s">
        <v>364</v>
      </c>
      <c r="P2950" s="524"/>
      <c r="Q2950" s="281" t="str">
        <f>IF(A2950="SCORTA 10",1,"")</f>
        <v/>
      </c>
      <c r="R2950" s="1">
        <f>IF(H2950&lt;&gt;"",1,"")</f>
        <v>1</v>
      </c>
      <c r="S2950" s="1">
        <f>IF(I2950&lt;&gt;"",1,"")</f>
        <v>1</v>
      </c>
      <c r="T2950" s="512" t="e">
        <f>_xlfn.XLOOKUP(H2950,#REF!,#REF!,0,0)</f>
        <v>#REF!</v>
      </c>
    </row>
    <row r="2951" spans="1:20" s="328" customFormat="1" x14ac:dyDescent="0.4">
      <c r="A2951" s="324" t="s">
        <v>11417</v>
      </c>
      <c r="B2951" s="535" t="s">
        <v>11418</v>
      </c>
      <c r="C2951" s="324" t="s">
        <v>431</v>
      </c>
      <c r="D2951" s="324" t="s">
        <v>11419</v>
      </c>
      <c r="E2951" s="325" t="s">
        <v>10</v>
      </c>
      <c r="F2951" s="324" t="s">
        <v>318</v>
      </c>
      <c r="G2951" s="326"/>
      <c r="H2951" s="324" t="s">
        <v>11420</v>
      </c>
      <c r="I2951" s="327">
        <v>72269</v>
      </c>
      <c r="J2951" s="324" t="s">
        <v>6580</v>
      </c>
      <c r="K2951" s="333">
        <v>45833</v>
      </c>
      <c r="L2951" s="324" t="s">
        <v>364</v>
      </c>
      <c r="M2951" s="324" t="s">
        <v>364</v>
      </c>
      <c r="N2951" s="324" t="s">
        <v>364</v>
      </c>
      <c r="O2951" s="324" t="s">
        <v>364</v>
      </c>
      <c r="P2951" s="528" t="s">
        <v>11421</v>
      </c>
      <c r="Q2951" s="324">
        <f>IF(AND(C2951="Priorità/stagisti/Scorta"),1,"")</f>
        <v>1</v>
      </c>
      <c r="R2951" s="324">
        <v>1</v>
      </c>
      <c r="S2951" s="324">
        <v>1</v>
      </c>
      <c r="T2951" s="512" t="e">
        <f>_xlfn.XLOOKUP(H2951,#REF!,#REF!,0,0)</f>
        <v>#REF!</v>
      </c>
    </row>
    <row r="2952" spans="1:20" s="328" customFormat="1" x14ac:dyDescent="0.4">
      <c r="A2952" s="324" t="s">
        <v>11422</v>
      </c>
      <c r="B2952" s="535" t="s">
        <v>11423</v>
      </c>
      <c r="C2952" s="324" t="s">
        <v>431</v>
      </c>
      <c r="D2952" s="324" t="s">
        <v>11419</v>
      </c>
      <c r="E2952" s="325" t="s">
        <v>10</v>
      </c>
      <c r="F2952" s="324" t="s">
        <v>318</v>
      </c>
      <c r="G2952" s="326"/>
      <c r="H2952" s="324" t="s">
        <v>11424</v>
      </c>
      <c r="I2952" s="327">
        <v>70953</v>
      </c>
      <c r="J2952" s="324" t="s">
        <v>5642</v>
      </c>
      <c r="K2952" s="333">
        <v>45833</v>
      </c>
      <c r="L2952" s="324" t="s">
        <v>364</v>
      </c>
      <c r="M2952" s="324" t="s">
        <v>364</v>
      </c>
      <c r="N2952" s="324" t="s">
        <v>364</v>
      </c>
      <c r="O2952" s="324" t="s">
        <v>364</v>
      </c>
      <c r="P2952" s="528" t="s">
        <v>11421</v>
      </c>
      <c r="Q2952" s="324">
        <f>IF(AND(C2952="Priorità/stagisti/Scorta"),1,"")</f>
        <v>1</v>
      </c>
      <c r="R2952" s="324">
        <v>1</v>
      </c>
      <c r="S2952" s="324">
        <v>1</v>
      </c>
      <c r="T2952" s="512" t="e">
        <f>_xlfn.XLOOKUP(H2952,#REF!,#REF!,0,0)</f>
        <v>#REF!</v>
      </c>
    </row>
    <row r="2953" spans="1:20" s="328" customFormat="1" x14ac:dyDescent="0.4">
      <c r="A2953" s="324" t="s">
        <v>11425</v>
      </c>
      <c r="B2953" s="535" t="s">
        <v>11426</v>
      </c>
      <c r="C2953" s="324" t="s">
        <v>431</v>
      </c>
      <c r="D2953" s="324" t="s">
        <v>11427</v>
      </c>
      <c r="E2953" s="325" t="s">
        <v>10</v>
      </c>
      <c r="F2953" s="324" t="s">
        <v>318</v>
      </c>
      <c r="G2953" s="326"/>
      <c r="H2953" s="324" t="s">
        <v>554</v>
      </c>
      <c r="I2953" s="327">
        <v>70762</v>
      </c>
      <c r="J2953" s="324" t="s">
        <v>5642</v>
      </c>
      <c r="K2953" s="333">
        <v>45833</v>
      </c>
      <c r="L2953" s="324" t="s">
        <v>364</v>
      </c>
      <c r="M2953" s="324" t="s">
        <v>364</v>
      </c>
      <c r="N2953" s="324" t="s">
        <v>364</v>
      </c>
      <c r="O2953" s="324" t="s">
        <v>364</v>
      </c>
      <c r="P2953" s="528" t="s">
        <v>11421</v>
      </c>
      <c r="Q2953" s="324">
        <f>IF(AND(C2953="Priorità/stagisti/Scorta"),1,"")</f>
        <v>1</v>
      </c>
      <c r="R2953" s="324">
        <v>1</v>
      </c>
      <c r="S2953" s="324">
        <v>1</v>
      </c>
      <c r="T2953" s="512" t="e">
        <f>_xlfn.XLOOKUP(H2953,#REF!,#REF!,0,0)</f>
        <v>#REF!</v>
      </c>
    </row>
    <row r="2954" spans="1:20" s="286" customFormat="1" x14ac:dyDescent="0.4">
      <c r="A2954" s="2" t="s">
        <v>11428</v>
      </c>
      <c r="B2954" s="2" t="s">
        <v>11429</v>
      </c>
      <c r="C2954" s="2" t="s">
        <v>433</v>
      </c>
      <c r="D2954" s="2" t="s">
        <v>8127</v>
      </c>
      <c r="E2954" s="2" t="s">
        <v>366</v>
      </c>
      <c r="F2954" s="2" t="s">
        <v>367</v>
      </c>
      <c r="G2954" s="2">
        <v>45673</v>
      </c>
      <c r="H2954" s="2" t="s">
        <v>503</v>
      </c>
      <c r="I2954" s="281">
        <v>77586</v>
      </c>
      <c r="J2954" s="2" t="s">
        <v>11430</v>
      </c>
      <c r="K2954" s="2" t="s">
        <v>11431</v>
      </c>
      <c r="L2954" s="2" t="s">
        <v>364</v>
      </c>
      <c r="M2954" s="2" t="s">
        <v>364</v>
      </c>
      <c r="N2954" s="2" t="s">
        <v>364</v>
      </c>
      <c r="O2954" s="2" t="s">
        <v>364</v>
      </c>
      <c r="P2954" s="524"/>
      <c r="Q2954" s="281" t="str">
        <f>IF(A2954="SCORTA 10",1,"")</f>
        <v/>
      </c>
      <c r="R2954" s="1">
        <f t="shared" ref="R2954:S2956" si="105">IF(H2954&lt;&gt;"",1,"")</f>
        <v>1</v>
      </c>
      <c r="S2954" s="1">
        <f t="shared" si="105"/>
        <v>1</v>
      </c>
      <c r="T2954" s="512" t="e">
        <f>_xlfn.XLOOKUP(H2954,#REF!,#REF!,0,0)</f>
        <v>#REF!</v>
      </c>
    </row>
    <row r="2955" spans="1:20" s="376" customFormat="1" ht="18.75" customHeight="1" x14ac:dyDescent="0.4">
      <c r="A2955" s="1" t="s">
        <v>11432</v>
      </c>
      <c r="B2955" s="1" t="s">
        <v>11433</v>
      </c>
      <c r="C2955" s="1" t="s">
        <v>433</v>
      </c>
      <c r="D2955" s="1" t="s">
        <v>8127</v>
      </c>
      <c r="E2955" s="1" t="s">
        <v>10</v>
      </c>
      <c r="F2955" s="1" t="s">
        <v>437</v>
      </c>
      <c r="G2955" s="2">
        <v>45765</v>
      </c>
      <c r="H2955" s="1" t="s">
        <v>11434</v>
      </c>
      <c r="I2955" s="1">
        <v>77323</v>
      </c>
      <c r="J2955" s="1" t="s">
        <v>11435</v>
      </c>
      <c r="K2955" s="2">
        <v>45841</v>
      </c>
      <c r="L2955" s="1" t="s">
        <v>364</v>
      </c>
      <c r="M2955" s="1" t="s">
        <v>364</v>
      </c>
      <c r="N2955" s="1" t="s">
        <v>364</v>
      </c>
      <c r="O2955" s="1" t="s">
        <v>364</v>
      </c>
      <c r="P2955" s="293" t="s">
        <v>11436</v>
      </c>
      <c r="Q2955" s="1" t="str">
        <f>IF(A2955="SCORTA 10",1,"")</f>
        <v/>
      </c>
      <c r="R2955" s="1">
        <f t="shared" si="105"/>
        <v>1</v>
      </c>
      <c r="S2955" s="1">
        <f t="shared" si="105"/>
        <v>1</v>
      </c>
      <c r="T2955" s="512" t="e">
        <f>_xlfn.XLOOKUP(H2955,#REF!,#REF!,0,0)</f>
        <v>#REF!</v>
      </c>
    </row>
    <row r="2956" spans="1:20" s="376" customFormat="1" ht="18.75" customHeight="1" x14ac:dyDescent="0.4">
      <c r="A2956" s="1" t="s">
        <v>11437</v>
      </c>
      <c r="B2956" s="1" t="s">
        <v>11438</v>
      </c>
      <c r="C2956" s="1" t="s">
        <v>433</v>
      </c>
      <c r="D2956" s="1" t="s">
        <v>8127</v>
      </c>
      <c r="E2956" s="1" t="s">
        <v>10</v>
      </c>
      <c r="F2956" s="1" t="s">
        <v>437</v>
      </c>
      <c r="G2956" s="2">
        <v>45765</v>
      </c>
      <c r="H2956" s="1" t="s">
        <v>11439</v>
      </c>
      <c r="I2956" s="1">
        <v>77351</v>
      </c>
      <c r="J2956" s="1" t="s">
        <v>11440</v>
      </c>
      <c r="K2956" s="1" t="s">
        <v>11441</v>
      </c>
      <c r="L2956" s="1" t="s">
        <v>364</v>
      </c>
      <c r="M2956" s="1" t="s">
        <v>364</v>
      </c>
      <c r="N2956" s="1" t="s">
        <v>364</v>
      </c>
      <c r="O2956" s="1" t="s">
        <v>364</v>
      </c>
      <c r="P2956" s="293" t="s">
        <v>523</v>
      </c>
      <c r="Q2956" s="1" t="str">
        <f>IF(A2956="SCORTA 10",1,"")</f>
        <v/>
      </c>
      <c r="R2956" s="1">
        <f t="shared" si="105"/>
        <v>1</v>
      </c>
      <c r="S2956" s="1">
        <f t="shared" si="105"/>
        <v>1</v>
      </c>
      <c r="T2956" s="512" t="e">
        <f>_xlfn.XLOOKUP(H2956,#REF!,#REF!,0,0)</f>
        <v>#REF!</v>
      </c>
    </row>
    <row r="2957" spans="1:20" s="328" customFormat="1" x14ac:dyDescent="0.4">
      <c r="A2957" s="360" t="s">
        <v>11442</v>
      </c>
      <c r="B2957" s="525" t="s">
        <v>11443</v>
      </c>
      <c r="C2957" s="360" t="s">
        <v>431</v>
      </c>
      <c r="D2957" s="360" t="s">
        <v>8127</v>
      </c>
      <c r="E2957" s="536" t="s">
        <v>10</v>
      </c>
      <c r="F2957" s="360" t="s">
        <v>244</v>
      </c>
      <c r="G2957" s="527"/>
      <c r="H2957" s="360" t="s">
        <v>11444</v>
      </c>
      <c r="I2957" s="526">
        <v>71376</v>
      </c>
      <c r="J2957" s="360" t="s">
        <v>7132</v>
      </c>
      <c r="K2957" s="527">
        <v>45845</v>
      </c>
      <c r="L2957" s="360" t="s">
        <v>364</v>
      </c>
      <c r="M2957" s="360" t="s">
        <v>364</v>
      </c>
      <c r="N2957" s="360" t="s">
        <v>364</v>
      </c>
      <c r="O2957" s="360" t="s">
        <v>364</v>
      </c>
      <c r="P2957" s="546" t="s">
        <v>11445</v>
      </c>
      <c r="Q2957" s="360"/>
      <c r="R2957" s="360"/>
      <c r="S2957" s="360"/>
      <c r="T2957" s="512" t="e">
        <f>_xlfn.XLOOKUP(H2957,#REF!,#REF!,0,0)</f>
        <v>#REF!</v>
      </c>
    </row>
    <row r="2958" spans="1:20" s="376" customFormat="1" ht="18.75" customHeight="1" x14ac:dyDescent="0.4">
      <c r="A2958" s="1" t="s">
        <v>11446</v>
      </c>
      <c r="B2958" s="1" t="s">
        <v>11447</v>
      </c>
      <c r="C2958" s="1" t="s">
        <v>433</v>
      </c>
      <c r="D2958" s="1" t="s">
        <v>11448</v>
      </c>
      <c r="E2958" s="1" t="s">
        <v>10</v>
      </c>
      <c r="F2958" s="1" t="s">
        <v>436</v>
      </c>
      <c r="G2958" s="2">
        <v>45566</v>
      </c>
      <c r="H2958" s="1" t="s">
        <v>11449</v>
      </c>
      <c r="I2958" s="1">
        <v>76834</v>
      </c>
      <c r="J2958" s="1" t="s">
        <v>11450</v>
      </c>
      <c r="K2958" s="1"/>
      <c r="L2958" s="1"/>
      <c r="M2958" s="1"/>
      <c r="N2958" s="1"/>
      <c r="O2958" s="1"/>
      <c r="P2958" s="293"/>
      <c r="Q2958" s="1" t="str">
        <f>IF(A2958="SCORTA 10",1,"")</f>
        <v/>
      </c>
      <c r="R2958" s="1">
        <f>IF(H2958&lt;&gt;"",1,"")</f>
        <v>1</v>
      </c>
      <c r="S2958" s="1">
        <f>IF(I2958&lt;&gt;"",1,"")</f>
        <v>1</v>
      </c>
      <c r="T2958" s="512" t="e">
        <f>_xlfn.XLOOKUP(H2958,#REF!,#REF!,0,0)</f>
        <v>#REF!</v>
      </c>
    </row>
    <row r="2959" spans="1:20" s="376" customFormat="1" ht="18.75" customHeight="1" x14ac:dyDescent="0.4">
      <c r="A2959" s="1" t="s">
        <v>11451</v>
      </c>
      <c r="B2959" s="1" t="s">
        <v>11452</v>
      </c>
      <c r="C2959" s="1" t="s">
        <v>433</v>
      </c>
      <c r="D2959" s="1" t="s">
        <v>8127</v>
      </c>
      <c r="E2959" s="1" t="s">
        <v>10</v>
      </c>
      <c r="F2959" s="1" t="s">
        <v>437</v>
      </c>
      <c r="G2959" s="2">
        <v>45765</v>
      </c>
      <c r="H2959" s="1" t="s">
        <v>11453</v>
      </c>
      <c r="I2959" s="1">
        <v>77352</v>
      </c>
      <c r="J2959" s="1" t="s">
        <v>11454</v>
      </c>
      <c r="K2959" s="1" t="s">
        <v>11455</v>
      </c>
      <c r="L2959" s="1" t="s">
        <v>364</v>
      </c>
      <c r="M2959" s="1" t="s">
        <v>364</v>
      </c>
      <c r="N2959" s="1" t="s">
        <v>364</v>
      </c>
      <c r="O2959" s="1" t="s">
        <v>364</v>
      </c>
      <c r="P2959" s="293" t="s">
        <v>11456</v>
      </c>
      <c r="Q2959" s="1" t="str">
        <f>IF(A2959="SCORTA 10",1,"")</f>
        <v/>
      </c>
      <c r="R2959" s="1">
        <f>IF(H2959&lt;&gt;"",1,"")</f>
        <v>1</v>
      </c>
      <c r="S2959" s="1">
        <f>IF(I2959&lt;&gt;"",1,"")</f>
        <v>1</v>
      </c>
      <c r="T2959" s="512" t="e">
        <f>_xlfn.XLOOKUP(H2959,#REF!,#REF!,0,0)</f>
        <v>#REF!</v>
      </c>
    </row>
    <row r="2960" spans="1:20" s="328" customFormat="1" x14ac:dyDescent="0.4">
      <c r="A2960" s="324" t="s">
        <v>11457</v>
      </c>
      <c r="B2960" s="522" t="s">
        <v>11458</v>
      </c>
      <c r="C2960" s="324" t="s">
        <v>434</v>
      </c>
      <c r="D2960" s="324" t="s">
        <v>8127</v>
      </c>
      <c r="E2960" s="325" t="s">
        <v>11331</v>
      </c>
      <c r="F2960" s="324" t="s">
        <v>367</v>
      </c>
      <c r="G2960" s="326"/>
      <c r="H2960" s="324" t="s">
        <v>478</v>
      </c>
      <c r="I2960" s="327">
        <v>73759</v>
      </c>
      <c r="J2960" s="324" t="s">
        <v>9673</v>
      </c>
      <c r="K2960" s="326">
        <v>45845</v>
      </c>
      <c r="L2960" s="324"/>
      <c r="M2960" s="324"/>
      <c r="N2960" s="324"/>
      <c r="O2960" s="324"/>
      <c r="P2960" s="528"/>
      <c r="Q2960" s="324"/>
      <c r="R2960" s="324"/>
      <c r="S2960" s="324"/>
      <c r="T2960" s="512" t="e">
        <f>_xlfn.XLOOKUP(H2960,#REF!,#REF!,0,0)</f>
        <v>#REF!</v>
      </c>
    </row>
    <row r="2961" spans="1:20" s="286" customFormat="1" x14ac:dyDescent="0.4">
      <c r="A2961" s="2" t="s">
        <v>11459</v>
      </c>
      <c r="B2961" s="2" t="s">
        <v>11460</v>
      </c>
      <c r="C2961" s="2" t="s">
        <v>433</v>
      </c>
      <c r="D2961" s="2" t="s">
        <v>11461</v>
      </c>
      <c r="E2961" s="2" t="s">
        <v>366</v>
      </c>
      <c r="F2961" s="2" t="s">
        <v>367</v>
      </c>
      <c r="G2961" s="2">
        <v>45673</v>
      </c>
      <c r="H2961" s="2" t="s">
        <v>507</v>
      </c>
      <c r="I2961" s="281">
        <v>77590</v>
      </c>
      <c r="J2961" s="2" t="s">
        <v>11462</v>
      </c>
      <c r="K2961" s="2"/>
      <c r="L2961" s="2" t="s">
        <v>364</v>
      </c>
      <c r="M2961" s="2"/>
      <c r="N2961" s="2"/>
      <c r="O2961" s="2"/>
      <c r="P2961" s="524" t="s">
        <v>7518</v>
      </c>
      <c r="Q2961" s="281" t="str">
        <f>IF(A2961="SCORTA 10",1,"")</f>
        <v/>
      </c>
      <c r="R2961" s="1">
        <f t="shared" ref="R2961:S2964" si="106">IF(H2961&lt;&gt;"",1,"")</f>
        <v>1</v>
      </c>
      <c r="S2961" s="1">
        <f t="shared" si="106"/>
        <v>1</v>
      </c>
      <c r="T2961" s="512" t="e">
        <f>_xlfn.XLOOKUP(H2961,#REF!,#REF!,0,0)</f>
        <v>#REF!</v>
      </c>
    </row>
    <row r="2962" spans="1:20" s="286" customFormat="1" x14ac:dyDescent="0.4">
      <c r="A2962" s="2" t="s">
        <v>11463</v>
      </c>
      <c r="B2962" s="2" t="s">
        <v>11464</v>
      </c>
      <c r="C2962" s="2" t="s">
        <v>433</v>
      </c>
      <c r="D2962" s="2" t="s">
        <v>8127</v>
      </c>
      <c r="E2962" s="2" t="s">
        <v>366</v>
      </c>
      <c r="F2962" s="2" t="s">
        <v>367</v>
      </c>
      <c r="G2962" s="2">
        <v>45673</v>
      </c>
      <c r="H2962" s="2" t="s">
        <v>508</v>
      </c>
      <c r="I2962" s="281">
        <v>77591</v>
      </c>
      <c r="J2962" s="2" t="s">
        <v>11465</v>
      </c>
      <c r="K2962" s="2"/>
      <c r="L2962" s="2" t="s">
        <v>364</v>
      </c>
      <c r="M2962" s="2" t="s">
        <v>364</v>
      </c>
      <c r="N2962" s="2" t="s">
        <v>364</v>
      </c>
      <c r="O2962" s="2" t="s">
        <v>364</v>
      </c>
      <c r="P2962" s="2"/>
      <c r="Q2962" s="281" t="str">
        <f>IF(A2962="SCORTA 10",1,"")</f>
        <v/>
      </c>
      <c r="R2962" s="1">
        <f t="shared" si="106"/>
        <v>1</v>
      </c>
      <c r="S2962" s="1">
        <f t="shared" si="106"/>
        <v>1</v>
      </c>
      <c r="T2962" s="512" t="e">
        <f>_xlfn.XLOOKUP(H2962,#REF!,#REF!,0,0)</f>
        <v>#REF!</v>
      </c>
    </row>
    <row r="2963" spans="1:20" s="376" customFormat="1" ht="18.75" customHeight="1" x14ac:dyDescent="0.4">
      <c r="A2963" s="1" t="s">
        <v>11466</v>
      </c>
      <c r="B2963" s="1" t="s">
        <v>11467</v>
      </c>
      <c r="C2963" s="1" t="s">
        <v>433</v>
      </c>
      <c r="D2963" s="1" t="s">
        <v>9084</v>
      </c>
      <c r="E2963" s="1" t="s">
        <v>10</v>
      </c>
      <c r="F2963" s="1" t="s">
        <v>437</v>
      </c>
      <c r="G2963" s="2">
        <v>45765</v>
      </c>
      <c r="H2963" s="1" t="s">
        <v>11468</v>
      </c>
      <c r="I2963" s="1">
        <v>77350</v>
      </c>
      <c r="J2963" s="1" t="s">
        <v>11469</v>
      </c>
      <c r="K2963" s="1" t="s">
        <v>11470</v>
      </c>
      <c r="L2963" s="1" t="s">
        <v>364</v>
      </c>
      <c r="M2963" s="1" t="s">
        <v>364</v>
      </c>
      <c r="N2963" s="1" t="s">
        <v>364</v>
      </c>
      <c r="O2963" s="1" t="s">
        <v>364</v>
      </c>
      <c r="P2963" s="1" t="s">
        <v>11471</v>
      </c>
      <c r="Q2963" s="1" t="str">
        <f>IF(A2963="SCORTA 10",1,"")</f>
        <v/>
      </c>
      <c r="R2963" s="1">
        <f t="shared" si="106"/>
        <v>1</v>
      </c>
      <c r="S2963" s="1">
        <f t="shared" si="106"/>
        <v>1</v>
      </c>
      <c r="T2963" s="512" t="e">
        <f>_xlfn.XLOOKUP(H2963,#REF!,#REF!,0,0)</f>
        <v>#REF!</v>
      </c>
    </row>
    <row r="2964" spans="1:20" s="286" customFormat="1" x14ac:dyDescent="0.4">
      <c r="A2964" s="2" t="s">
        <v>11472</v>
      </c>
      <c r="B2964" s="2" t="s">
        <v>11473</v>
      </c>
      <c r="C2964" s="2" t="s">
        <v>433</v>
      </c>
      <c r="D2964" s="2" t="s">
        <v>8127</v>
      </c>
      <c r="E2964" s="2" t="s">
        <v>366</v>
      </c>
      <c r="F2964" s="2" t="s">
        <v>367</v>
      </c>
      <c r="G2964" s="2">
        <v>45673</v>
      </c>
      <c r="H2964" s="2" t="s">
        <v>504</v>
      </c>
      <c r="I2964" s="281">
        <v>77587</v>
      </c>
      <c r="J2964" s="2" t="s">
        <v>11474</v>
      </c>
      <c r="K2964" s="2"/>
      <c r="L2964" s="2" t="s">
        <v>364</v>
      </c>
      <c r="M2964" s="2"/>
      <c r="N2964" s="2"/>
      <c r="O2964" s="2"/>
      <c r="P2964" s="2"/>
      <c r="Q2964" s="281" t="str">
        <f>IF(A2964="SCORTA 10",1,"")</f>
        <v/>
      </c>
      <c r="R2964" s="1">
        <f t="shared" si="106"/>
        <v>1</v>
      </c>
      <c r="S2964" s="1">
        <f t="shared" si="106"/>
        <v>1</v>
      </c>
      <c r="T2964" s="512" t="e">
        <f>_xlfn.XLOOKUP(H2964,#REF!,#REF!,0,0)</f>
        <v>#REF!</v>
      </c>
    </row>
    <row r="2965" spans="1:20" s="328" customFormat="1" x14ac:dyDescent="0.4">
      <c r="A2965" s="324" t="s">
        <v>11475</v>
      </c>
      <c r="B2965" s="522" t="s">
        <v>11476</v>
      </c>
      <c r="C2965" s="324" t="s">
        <v>431</v>
      </c>
      <c r="D2965" s="324" t="s">
        <v>8127</v>
      </c>
      <c r="E2965" s="325" t="s">
        <v>11477</v>
      </c>
      <c r="F2965" s="324" t="s">
        <v>68</v>
      </c>
      <c r="G2965" s="326"/>
      <c r="H2965" s="324" t="s">
        <v>11478</v>
      </c>
      <c r="I2965" s="327">
        <v>73126</v>
      </c>
      <c r="J2965" s="324"/>
      <c r="K2965" s="326" t="s">
        <v>11479</v>
      </c>
      <c r="L2965" s="324"/>
      <c r="M2965" s="324"/>
      <c r="N2965" s="324"/>
      <c r="O2965" s="324"/>
      <c r="P2965" s="324"/>
      <c r="Q2965" s="324"/>
      <c r="R2965" s="324"/>
      <c r="S2965" s="324"/>
      <c r="T2965" s="512" t="e">
        <f>_xlfn.XLOOKUP(H2965,#REF!,#REF!,0,0)</f>
        <v>#REF!</v>
      </c>
    </row>
    <row r="2966" spans="1:20" s="376" customFormat="1" ht="18.75" customHeight="1" x14ac:dyDescent="0.4">
      <c r="A2966" s="1" t="s">
        <v>11480</v>
      </c>
      <c r="B2966" s="1" t="s">
        <v>11481</v>
      </c>
      <c r="C2966" s="1" t="s">
        <v>433</v>
      </c>
      <c r="D2966" s="1" t="s">
        <v>8127</v>
      </c>
      <c r="E2966" s="1" t="s">
        <v>10</v>
      </c>
      <c r="F2966" s="1" t="s">
        <v>437</v>
      </c>
      <c r="G2966" s="2">
        <v>45765</v>
      </c>
      <c r="H2966" s="1" t="s">
        <v>11482</v>
      </c>
      <c r="I2966" s="1">
        <v>77355</v>
      </c>
      <c r="J2966" s="1" t="s">
        <v>11483</v>
      </c>
      <c r="K2966" s="1" t="s">
        <v>11484</v>
      </c>
      <c r="L2966" s="1" t="s">
        <v>364</v>
      </c>
      <c r="M2966" s="1" t="s">
        <v>364</v>
      </c>
      <c r="N2966" s="1" t="s">
        <v>364</v>
      </c>
      <c r="O2966" s="1" t="s">
        <v>364</v>
      </c>
      <c r="P2966" s="1" t="s">
        <v>11485</v>
      </c>
      <c r="Q2966" s="1" t="str">
        <f>IF(A2966="SCORTA 10",1,"")</f>
        <v/>
      </c>
      <c r="R2966" s="1">
        <f>IF(H2966&lt;&gt;"",1,"")</f>
        <v>1</v>
      </c>
      <c r="S2966" s="1">
        <f>IF(I2966&lt;&gt;"",1,"")</f>
        <v>1</v>
      </c>
      <c r="T2966" s="512" t="e">
        <f>_xlfn.XLOOKUP(H2966,#REF!,#REF!,0,0)</f>
        <v>#REF!</v>
      </c>
    </row>
    <row r="2967" spans="1:20" s="376" customFormat="1" ht="18.75" customHeight="1" x14ac:dyDescent="0.4">
      <c r="A2967" s="1" t="s">
        <v>11486</v>
      </c>
      <c r="B2967" s="1" t="s">
        <v>11487</v>
      </c>
      <c r="C2967" s="1" t="s">
        <v>433</v>
      </c>
      <c r="D2967" s="1" t="s">
        <v>8127</v>
      </c>
      <c r="E2967" s="1" t="s">
        <v>10</v>
      </c>
      <c r="F2967" s="1" t="s">
        <v>437</v>
      </c>
      <c r="G2967" s="2">
        <v>45765</v>
      </c>
      <c r="H2967" s="1" t="s">
        <v>11488</v>
      </c>
      <c r="I2967" s="1">
        <v>77356</v>
      </c>
      <c r="J2967" s="1" t="s">
        <v>11489</v>
      </c>
      <c r="K2967" s="1" t="s">
        <v>11490</v>
      </c>
      <c r="L2967" s="1" t="s">
        <v>364</v>
      </c>
      <c r="M2967" s="1" t="s">
        <v>364</v>
      </c>
      <c r="N2967" s="1" t="s">
        <v>364</v>
      </c>
      <c r="O2967" s="1" t="s">
        <v>364</v>
      </c>
      <c r="P2967" s="293" t="s">
        <v>11491</v>
      </c>
      <c r="Q2967" s="1" t="str">
        <f>IF(A2967="SCORTA 10",1,"")</f>
        <v/>
      </c>
      <c r="R2967" s="1">
        <f>IF(H2967&lt;&gt;"",1,"")</f>
        <v>1</v>
      </c>
      <c r="S2967" s="1">
        <f>IF(I2967&lt;&gt;"",1,"")</f>
        <v>1</v>
      </c>
      <c r="T2967" s="512" t="e">
        <f>_xlfn.XLOOKUP(H2967,#REF!,#REF!,0,0)</f>
        <v>#REF!</v>
      </c>
    </row>
    <row r="2968" spans="1:20" s="328" customFormat="1" x14ac:dyDescent="0.4">
      <c r="A2968" s="324" t="s">
        <v>11492</v>
      </c>
      <c r="B2968" s="522" t="s">
        <v>11493</v>
      </c>
      <c r="C2968" s="324" t="s">
        <v>434</v>
      </c>
      <c r="D2968" s="324" t="s">
        <v>8127</v>
      </c>
      <c r="E2968" s="325" t="s">
        <v>10</v>
      </c>
      <c r="F2968" s="324" t="s">
        <v>11494</v>
      </c>
      <c r="G2968" s="326"/>
      <c r="H2968" s="324" t="s">
        <v>11495</v>
      </c>
      <c r="I2968" s="327">
        <v>73331</v>
      </c>
      <c r="J2968" s="324" t="s">
        <v>8567</v>
      </c>
      <c r="K2968" s="326" t="s">
        <v>11496</v>
      </c>
      <c r="L2968" s="324" t="s">
        <v>364</v>
      </c>
      <c r="M2968" s="324"/>
      <c r="N2968" s="324"/>
      <c r="O2968" s="324"/>
      <c r="P2968" s="324" t="s">
        <v>11497</v>
      </c>
      <c r="Q2968" s="324"/>
      <c r="R2968" s="324">
        <v>1</v>
      </c>
      <c r="S2968" s="324">
        <v>1</v>
      </c>
      <c r="T2968" s="512" t="e">
        <f>_xlfn.XLOOKUP(H2968,#REF!,#REF!,0,0)</f>
        <v>#REF!</v>
      </c>
    </row>
    <row r="2969" spans="1:20" s="328" customFormat="1" x14ac:dyDescent="0.4">
      <c r="A2969" s="324" t="s">
        <v>11498</v>
      </c>
      <c r="B2969" s="522" t="s">
        <v>11499</v>
      </c>
      <c r="C2969" s="324" t="s">
        <v>434</v>
      </c>
      <c r="D2969" s="324"/>
      <c r="E2969" s="325"/>
      <c r="F2969" s="324" t="s">
        <v>367</v>
      </c>
      <c r="G2969" s="326"/>
      <c r="H2969" s="324" t="s">
        <v>11186</v>
      </c>
      <c r="I2969" s="327">
        <v>77402</v>
      </c>
      <c r="J2969" s="324" t="s">
        <v>11187</v>
      </c>
      <c r="K2969" s="326"/>
      <c r="L2969" s="324"/>
      <c r="M2969" s="324"/>
      <c r="N2969" s="324"/>
      <c r="O2969" s="324"/>
      <c r="P2969" s="324"/>
      <c r="Q2969" s="324"/>
      <c r="R2969" s="324">
        <v>1</v>
      </c>
      <c r="S2969" s="324">
        <v>1</v>
      </c>
      <c r="T2969" s="512" t="e">
        <f>_xlfn.XLOOKUP(H2969,#REF!,#REF!,0,0)</f>
        <v>#REF!</v>
      </c>
    </row>
    <row r="2970" spans="1:20" s="376" customFormat="1" ht="18.75" customHeight="1" x14ac:dyDescent="0.4">
      <c r="A2970" s="1" t="s">
        <v>11500</v>
      </c>
      <c r="B2970" s="1" t="s">
        <v>11501</v>
      </c>
      <c r="C2970" s="1" t="s">
        <v>433</v>
      </c>
      <c r="D2970" s="1" t="s">
        <v>8127</v>
      </c>
      <c r="E2970" s="1" t="s">
        <v>10</v>
      </c>
      <c r="F2970" s="1" t="s">
        <v>437</v>
      </c>
      <c r="G2970" s="2">
        <v>45765</v>
      </c>
      <c r="H2970" s="1" t="s">
        <v>11502</v>
      </c>
      <c r="I2970" s="1">
        <v>77358</v>
      </c>
      <c r="J2970" s="1" t="s">
        <v>11503</v>
      </c>
      <c r="K2970" s="1" t="s">
        <v>11504</v>
      </c>
      <c r="L2970" s="1" t="s">
        <v>364</v>
      </c>
      <c r="M2970" s="1" t="s">
        <v>364</v>
      </c>
      <c r="N2970" s="1" t="s">
        <v>364</v>
      </c>
      <c r="O2970" s="1" t="s">
        <v>364</v>
      </c>
      <c r="P2970" s="1" t="s">
        <v>11505</v>
      </c>
      <c r="Q2970" s="1" t="str">
        <f t="shared" ref="Q2970:Q2975" si="107">IF(A2970="SCORTA 10",1,"")</f>
        <v/>
      </c>
      <c r="R2970" s="1">
        <f t="shared" ref="R2970:R2975" si="108">IF(H2970&lt;&gt;"",1,"")</f>
        <v>1</v>
      </c>
      <c r="S2970" s="1">
        <f t="shared" ref="S2970:S2975" si="109">IF(I2970&lt;&gt;"",1,"")</f>
        <v>1</v>
      </c>
      <c r="T2970" s="512" t="e">
        <f>_xlfn.XLOOKUP(H2970,#REF!,#REF!,0,0)</f>
        <v>#REF!</v>
      </c>
    </row>
    <row r="2971" spans="1:20" s="286" customFormat="1" x14ac:dyDescent="0.4">
      <c r="A2971" s="2" t="s">
        <v>11506</v>
      </c>
      <c r="B2971" s="2" t="s">
        <v>11507</v>
      </c>
      <c r="C2971" s="2" t="s">
        <v>433</v>
      </c>
      <c r="D2971" s="2" t="s">
        <v>8127</v>
      </c>
      <c r="E2971" s="2" t="s">
        <v>366</v>
      </c>
      <c r="F2971" s="2" t="s">
        <v>367</v>
      </c>
      <c r="G2971" s="2">
        <v>45673</v>
      </c>
      <c r="H2971" s="2" t="s">
        <v>510</v>
      </c>
      <c r="I2971" s="281">
        <v>77594</v>
      </c>
      <c r="J2971" s="2" t="s">
        <v>11508</v>
      </c>
      <c r="K2971" s="2" t="s">
        <v>9595</v>
      </c>
      <c r="L2971" s="2" t="s">
        <v>364</v>
      </c>
      <c r="M2971" s="2" t="s">
        <v>364</v>
      </c>
      <c r="N2971" s="2" t="s">
        <v>364</v>
      </c>
      <c r="O2971" s="2" t="s">
        <v>364</v>
      </c>
      <c r="P2971" s="2" t="s">
        <v>11509</v>
      </c>
      <c r="Q2971" s="281" t="str">
        <f t="shared" si="107"/>
        <v/>
      </c>
      <c r="R2971" s="1">
        <f t="shared" si="108"/>
        <v>1</v>
      </c>
      <c r="S2971" s="1">
        <f t="shared" si="109"/>
        <v>1</v>
      </c>
      <c r="T2971" s="512" t="e">
        <f>_xlfn.XLOOKUP(H2971,#REF!,#REF!,0,0)</f>
        <v>#REF!</v>
      </c>
    </row>
    <row r="2972" spans="1:20" s="286" customFormat="1" x14ac:dyDescent="0.4">
      <c r="A2972" s="2" t="s">
        <v>11510</v>
      </c>
      <c r="B2972" s="2" t="s">
        <v>11511</v>
      </c>
      <c r="C2972" s="2" t="s">
        <v>433</v>
      </c>
      <c r="D2972" s="2" t="s">
        <v>8127</v>
      </c>
      <c r="E2972" s="2" t="s">
        <v>366</v>
      </c>
      <c r="F2972" s="2" t="s">
        <v>367</v>
      </c>
      <c r="G2972" s="2">
        <v>45673</v>
      </c>
      <c r="H2972" s="2" t="s">
        <v>513</v>
      </c>
      <c r="I2972" s="281">
        <v>77597</v>
      </c>
      <c r="J2972" s="2" t="s">
        <v>11512</v>
      </c>
      <c r="K2972" s="2">
        <v>45862</v>
      </c>
      <c r="L2972" s="2" t="s">
        <v>364</v>
      </c>
      <c r="M2972" s="2" t="s">
        <v>364</v>
      </c>
      <c r="N2972" s="2" t="s">
        <v>364</v>
      </c>
      <c r="O2972" s="2" t="s">
        <v>364</v>
      </c>
      <c r="P2972" s="2"/>
      <c r="Q2972" s="281" t="str">
        <f t="shared" si="107"/>
        <v/>
      </c>
      <c r="R2972" s="1">
        <f t="shared" si="108"/>
        <v>1</v>
      </c>
      <c r="S2972" s="1">
        <f t="shared" si="109"/>
        <v>1</v>
      </c>
      <c r="T2972" s="512" t="e">
        <f>_xlfn.XLOOKUP(H2972,#REF!,#REF!,0,0)</f>
        <v>#REF!</v>
      </c>
    </row>
    <row r="2973" spans="1:20" s="376" customFormat="1" ht="18.75" customHeight="1" x14ac:dyDescent="0.4">
      <c r="A2973" s="1" t="s">
        <v>11513</v>
      </c>
      <c r="B2973" s="1" t="s">
        <v>11514</v>
      </c>
      <c r="C2973" s="1" t="s">
        <v>433</v>
      </c>
      <c r="D2973" s="1" t="s">
        <v>8127</v>
      </c>
      <c r="E2973" s="1" t="s">
        <v>10</v>
      </c>
      <c r="F2973" s="1" t="s">
        <v>437</v>
      </c>
      <c r="G2973" s="2">
        <v>45765</v>
      </c>
      <c r="H2973" s="1" t="s">
        <v>11515</v>
      </c>
      <c r="I2973" s="1">
        <v>77349</v>
      </c>
      <c r="J2973" s="1" t="s">
        <v>11516</v>
      </c>
      <c r="K2973" s="1" t="s">
        <v>11517</v>
      </c>
      <c r="L2973" s="1" t="s">
        <v>364</v>
      </c>
      <c r="M2973" s="1" t="s">
        <v>364</v>
      </c>
      <c r="N2973" s="1" t="s">
        <v>364</v>
      </c>
      <c r="O2973" s="1" t="s">
        <v>364</v>
      </c>
      <c r="P2973" s="293" t="s">
        <v>6278</v>
      </c>
      <c r="Q2973" s="1" t="str">
        <f t="shared" si="107"/>
        <v/>
      </c>
      <c r="R2973" s="1">
        <f t="shared" si="108"/>
        <v>1</v>
      </c>
      <c r="S2973" s="1">
        <f t="shared" si="109"/>
        <v>1</v>
      </c>
      <c r="T2973" s="512" t="e">
        <f>_xlfn.XLOOKUP(H2973,#REF!,#REF!,0,0)</f>
        <v>#REF!</v>
      </c>
    </row>
    <row r="2974" spans="1:20" s="286" customFormat="1" x14ac:dyDescent="0.4">
      <c r="A2974" s="2" t="s">
        <v>11518</v>
      </c>
      <c r="B2974" s="2" t="s">
        <v>11519</v>
      </c>
      <c r="C2974" s="2" t="s">
        <v>433</v>
      </c>
      <c r="D2974" s="2" t="s">
        <v>8127</v>
      </c>
      <c r="E2974" s="2" t="s">
        <v>366</v>
      </c>
      <c r="F2974" s="2" t="s">
        <v>367</v>
      </c>
      <c r="G2974" s="2">
        <v>45673</v>
      </c>
      <c r="H2974" s="2" t="s">
        <v>514</v>
      </c>
      <c r="I2974" s="281">
        <v>77598</v>
      </c>
      <c r="J2974" s="2" t="s">
        <v>11520</v>
      </c>
      <c r="K2974" s="2">
        <v>45862</v>
      </c>
      <c r="L2974" s="2" t="s">
        <v>364</v>
      </c>
      <c r="M2974" s="2" t="s">
        <v>364</v>
      </c>
      <c r="N2974" s="2" t="s">
        <v>364</v>
      </c>
      <c r="O2974" s="2" t="s">
        <v>364</v>
      </c>
      <c r="P2974" s="2"/>
      <c r="Q2974" s="281" t="str">
        <f t="shared" si="107"/>
        <v/>
      </c>
      <c r="R2974" s="1">
        <f t="shared" si="108"/>
        <v>1</v>
      </c>
      <c r="S2974" s="1">
        <f t="shared" si="109"/>
        <v>1</v>
      </c>
      <c r="T2974" s="512" t="e">
        <f>_xlfn.XLOOKUP(H2974,#REF!,#REF!,0,0)</f>
        <v>#REF!</v>
      </c>
    </row>
    <row r="2975" spans="1:20" s="286" customFormat="1" x14ac:dyDescent="0.4">
      <c r="A2975" s="2" t="s">
        <v>11521</v>
      </c>
      <c r="B2975" s="2" t="s">
        <v>11522</v>
      </c>
      <c r="C2975" s="2" t="s">
        <v>433</v>
      </c>
      <c r="D2975" s="2" t="s">
        <v>447</v>
      </c>
      <c r="E2975" s="2" t="s">
        <v>366</v>
      </c>
      <c r="F2975" s="2" t="s">
        <v>367</v>
      </c>
      <c r="G2975" s="2">
        <v>45673</v>
      </c>
      <c r="H2975" s="2" t="s">
        <v>491</v>
      </c>
      <c r="I2975" s="281">
        <v>77572</v>
      </c>
      <c r="J2975" s="2" t="s">
        <v>11523</v>
      </c>
      <c r="K2975" s="2">
        <v>45863</v>
      </c>
      <c r="L2975" s="2" t="s">
        <v>364</v>
      </c>
      <c r="M2975" s="2"/>
      <c r="N2975" s="2"/>
      <c r="O2975" s="2"/>
      <c r="P2975" s="2" t="s">
        <v>6493</v>
      </c>
      <c r="Q2975" s="281" t="str">
        <f t="shared" si="107"/>
        <v/>
      </c>
      <c r="R2975" s="1">
        <f t="shared" si="108"/>
        <v>1</v>
      </c>
      <c r="S2975" s="1">
        <f t="shared" si="109"/>
        <v>1</v>
      </c>
      <c r="T2975" s="512" t="e">
        <f>_xlfn.XLOOKUP(H2975,#REF!,#REF!,0,0)</f>
        <v>#REF!</v>
      </c>
    </row>
    <row r="2976" spans="1:20" s="328" customFormat="1" x14ac:dyDescent="0.4">
      <c r="A2976" s="324" t="s">
        <v>11524</v>
      </c>
      <c r="B2976" s="522" t="s">
        <v>11525</v>
      </c>
      <c r="C2976" s="324" t="s">
        <v>433</v>
      </c>
      <c r="D2976" s="324" t="s">
        <v>8127</v>
      </c>
      <c r="E2976" s="325" t="s">
        <v>10</v>
      </c>
      <c r="F2976" s="324" t="s">
        <v>539</v>
      </c>
      <c r="G2976" s="326"/>
      <c r="H2976" s="324" t="s">
        <v>11526</v>
      </c>
      <c r="I2976" s="327">
        <v>72731</v>
      </c>
      <c r="J2976" s="324" t="s">
        <v>7362</v>
      </c>
      <c r="K2976" s="326" t="s">
        <v>522</v>
      </c>
      <c r="L2976" s="324" t="s">
        <v>364</v>
      </c>
      <c r="M2976" s="324"/>
      <c r="N2976" s="324"/>
      <c r="O2976" s="324"/>
      <c r="P2976" s="324" t="s">
        <v>11527</v>
      </c>
      <c r="Q2976" s="324"/>
      <c r="R2976" s="324">
        <v>1</v>
      </c>
      <c r="S2976" s="324">
        <v>1</v>
      </c>
      <c r="T2976" s="512" t="e">
        <f>_xlfn.XLOOKUP(H2976,#REF!,#REF!,0,0)</f>
        <v>#REF!</v>
      </c>
    </row>
    <row r="2977" spans="1:20" s="328" customFormat="1" x14ac:dyDescent="0.4">
      <c r="A2977" s="324" t="s">
        <v>11528</v>
      </c>
      <c r="B2977" s="522" t="s">
        <v>11529</v>
      </c>
      <c r="C2977" s="324" t="s">
        <v>433</v>
      </c>
      <c r="D2977" s="324" t="s">
        <v>8127</v>
      </c>
      <c r="E2977" s="325" t="s">
        <v>10</v>
      </c>
      <c r="F2977" s="324" t="s">
        <v>539</v>
      </c>
      <c r="G2977" s="326"/>
      <c r="H2977" s="324" t="s">
        <v>11530</v>
      </c>
      <c r="I2977" s="327">
        <v>72730</v>
      </c>
      <c r="J2977" s="324" t="s">
        <v>7353</v>
      </c>
      <c r="K2977" s="326" t="s">
        <v>522</v>
      </c>
      <c r="L2977" s="324" t="s">
        <v>364</v>
      </c>
      <c r="M2977" s="324"/>
      <c r="N2977" s="324"/>
      <c r="O2977" s="324"/>
      <c r="P2977" s="324" t="s">
        <v>11527</v>
      </c>
      <c r="Q2977" s="324"/>
      <c r="R2977" s="324">
        <v>1</v>
      </c>
      <c r="S2977" s="324">
        <v>1</v>
      </c>
      <c r="T2977" s="512" t="e">
        <f>_xlfn.XLOOKUP(H2977,#REF!,#REF!,0,0)</f>
        <v>#REF!</v>
      </c>
    </row>
    <row r="2978" spans="1:20" s="328" customFormat="1" x14ac:dyDescent="0.4">
      <c r="A2978" s="324" t="s">
        <v>11531</v>
      </c>
      <c r="B2978" s="522" t="s">
        <v>11532</v>
      </c>
      <c r="C2978" s="324" t="s">
        <v>433</v>
      </c>
      <c r="D2978" s="324" t="s">
        <v>8127</v>
      </c>
      <c r="E2978" s="325" t="s">
        <v>10</v>
      </c>
      <c r="F2978" s="324" t="s">
        <v>68</v>
      </c>
      <c r="G2978" s="326"/>
      <c r="H2978" s="324" t="s">
        <v>11412</v>
      </c>
      <c r="I2978" s="327">
        <v>72779</v>
      </c>
      <c r="J2978" s="324" t="s">
        <v>7651</v>
      </c>
      <c r="K2978" s="326" t="s">
        <v>11533</v>
      </c>
      <c r="L2978" s="324" t="s">
        <v>364</v>
      </c>
      <c r="M2978" s="324" t="s">
        <v>364</v>
      </c>
      <c r="N2978" s="324" t="s">
        <v>364</v>
      </c>
      <c r="O2978" s="324" t="s">
        <v>570</v>
      </c>
      <c r="P2978" s="324" t="s">
        <v>11534</v>
      </c>
      <c r="Q2978" s="324"/>
      <c r="R2978" s="324">
        <v>1</v>
      </c>
      <c r="S2978" s="324">
        <v>1</v>
      </c>
      <c r="T2978" s="512" t="e">
        <f>_xlfn.XLOOKUP(H2978,#REF!,#REF!,0,0)</f>
        <v>#REF!</v>
      </c>
    </row>
    <row r="2979" spans="1:20" s="376" customFormat="1" ht="18.75" customHeight="1" x14ac:dyDescent="0.4">
      <c r="A2979" s="1" t="s">
        <v>11535</v>
      </c>
      <c r="B2979" s="1" t="s">
        <v>11536</v>
      </c>
      <c r="C2979" s="1" t="s">
        <v>433</v>
      </c>
      <c r="D2979" s="1" t="s">
        <v>8127</v>
      </c>
      <c r="E2979" s="1" t="s">
        <v>10</v>
      </c>
      <c r="F2979" s="1" t="s">
        <v>437</v>
      </c>
      <c r="G2979" s="2">
        <v>45765</v>
      </c>
      <c r="H2979" s="1" t="s">
        <v>11537</v>
      </c>
      <c r="I2979" s="1">
        <v>77343</v>
      </c>
      <c r="J2979" s="1" t="s">
        <v>11538</v>
      </c>
      <c r="K2979" s="1"/>
      <c r="L2979" s="1" t="s">
        <v>364</v>
      </c>
      <c r="M2979" s="1" t="s">
        <v>364</v>
      </c>
      <c r="N2979" s="1" t="s">
        <v>364</v>
      </c>
      <c r="O2979" s="1" t="s">
        <v>364</v>
      </c>
      <c r="P2979" s="293" t="s">
        <v>11539</v>
      </c>
      <c r="Q2979" s="1" t="str">
        <f t="shared" ref="Q2979:Q2984" si="110">IF(A2979="SCORTA 10",1,"")</f>
        <v/>
      </c>
      <c r="R2979" s="1">
        <f t="shared" ref="R2979:R2984" si="111">IF(H2979&lt;&gt;"",1,"")</f>
        <v>1</v>
      </c>
      <c r="S2979" s="1">
        <f t="shared" ref="S2979:S2987" si="112">IF(I2979&lt;&gt;"",1,"")</f>
        <v>1</v>
      </c>
      <c r="T2979" s="512" t="e">
        <f>_xlfn.XLOOKUP(H2979,#REF!,#REF!,0,0)</f>
        <v>#REF!</v>
      </c>
    </row>
    <row r="2980" spans="1:20" s="376" customFormat="1" ht="18.75" customHeight="1" x14ac:dyDescent="0.4">
      <c r="A2980" s="1" t="s">
        <v>11540</v>
      </c>
      <c r="B2980" s="1" t="s">
        <v>11541</v>
      </c>
      <c r="C2980" s="1" t="s">
        <v>433</v>
      </c>
      <c r="D2980" s="1"/>
      <c r="E2980" s="1" t="s">
        <v>10</v>
      </c>
      <c r="F2980" s="1" t="s">
        <v>437</v>
      </c>
      <c r="G2980" s="2">
        <v>45765</v>
      </c>
      <c r="H2980" s="1" t="s">
        <v>11542</v>
      </c>
      <c r="I2980" s="1">
        <v>77320</v>
      </c>
      <c r="J2980" s="1" t="s">
        <v>11543</v>
      </c>
      <c r="K2980" s="1" t="s">
        <v>11544</v>
      </c>
      <c r="L2980" s="1" t="s">
        <v>364</v>
      </c>
      <c r="M2980" s="1" t="s">
        <v>364</v>
      </c>
      <c r="N2980" s="1" t="s">
        <v>364</v>
      </c>
      <c r="O2980" s="1" t="s">
        <v>364</v>
      </c>
      <c r="P2980" s="1" t="s">
        <v>11545</v>
      </c>
      <c r="Q2980" s="1" t="str">
        <f t="shared" si="110"/>
        <v/>
      </c>
      <c r="R2980" s="1">
        <f t="shared" si="111"/>
        <v>1</v>
      </c>
      <c r="S2980" s="1">
        <f t="shared" si="112"/>
        <v>1</v>
      </c>
      <c r="T2980" s="512" t="e">
        <f>_xlfn.XLOOKUP(H2980,#REF!,#REF!,0,0)</f>
        <v>#REF!</v>
      </c>
    </row>
    <row r="2981" spans="1:20" s="376" customFormat="1" ht="18.75" customHeight="1" x14ac:dyDescent="0.4">
      <c r="A2981" s="1" t="s">
        <v>11546</v>
      </c>
      <c r="B2981" s="1" t="s">
        <v>11547</v>
      </c>
      <c r="C2981" s="1" t="s">
        <v>433</v>
      </c>
      <c r="D2981" s="1" t="s">
        <v>8127</v>
      </c>
      <c r="E2981" s="1" t="s">
        <v>10</v>
      </c>
      <c r="F2981" s="1" t="s">
        <v>437</v>
      </c>
      <c r="G2981" s="2">
        <v>45765</v>
      </c>
      <c r="H2981" s="1" t="s">
        <v>11548</v>
      </c>
      <c r="I2981" s="1">
        <v>77347</v>
      </c>
      <c r="J2981" s="1" t="s">
        <v>11549</v>
      </c>
      <c r="K2981" s="338">
        <v>45846.59375</v>
      </c>
      <c r="L2981" s="1" t="s">
        <v>364</v>
      </c>
      <c r="M2981" s="1" t="s">
        <v>364</v>
      </c>
      <c r="N2981" s="1"/>
      <c r="O2981" s="1"/>
      <c r="P2981" s="1" t="s">
        <v>11550</v>
      </c>
      <c r="Q2981" s="1" t="str">
        <f t="shared" si="110"/>
        <v/>
      </c>
      <c r="R2981" s="1">
        <f t="shared" si="111"/>
        <v>1</v>
      </c>
      <c r="S2981" s="1">
        <f t="shared" si="112"/>
        <v>1</v>
      </c>
      <c r="T2981" s="512" t="e">
        <f>_xlfn.XLOOKUP(H2981,#REF!,#REF!,0,0)</f>
        <v>#REF!</v>
      </c>
    </row>
    <row r="2982" spans="1:20" s="376" customFormat="1" ht="18.75" customHeight="1" x14ac:dyDescent="0.4">
      <c r="A2982" s="1" t="s">
        <v>11551</v>
      </c>
      <c r="B2982" s="1" t="s">
        <v>11552</v>
      </c>
      <c r="C2982" s="1" t="s">
        <v>433</v>
      </c>
      <c r="D2982" s="1" t="s">
        <v>3778</v>
      </c>
      <c r="E2982" s="1" t="s">
        <v>10</v>
      </c>
      <c r="F2982" s="1" t="s">
        <v>437</v>
      </c>
      <c r="G2982" s="2">
        <v>45765</v>
      </c>
      <c r="H2982" s="1" t="s">
        <v>11553</v>
      </c>
      <c r="I2982" s="1">
        <v>77344</v>
      </c>
      <c r="J2982" s="1" t="s">
        <v>11554</v>
      </c>
      <c r="K2982" s="1" t="s">
        <v>11416</v>
      </c>
      <c r="L2982" s="1" t="s">
        <v>364</v>
      </c>
      <c r="M2982" s="1" t="s">
        <v>364</v>
      </c>
      <c r="N2982" s="1" t="s">
        <v>364</v>
      </c>
      <c r="O2982" s="1" t="s">
        <v>364</v>
      </c>
      <c r="P2982" s="1" t="s">
        <v>11555</v>
      </c>
      <c r="Q2982" s="1" t="str">
        <f t="shared" si="110"/>
        <v/>
      </c>
      <c r="R2982" s="1">
        <f t="shared" si="111"/>
        <v>1</v>
      </c>
      <c r="S2982" s="1">
        <f t="shared" si="112"/>
        <v>1</v>
      </c>
      <c r="T2982" s="512" t="e">
        <f>_xlfn.XLOOKUP(H2982,#REF!,#REF!,0,0)</f>
        <v>#REF!</v>
      </c>
    </row>
    <row r="2983" spans="1:20" s="376" customFormat="1" ht="18.75" customHeight="1" x14ac:dyDescent="0.4">
      <c r="A2983" s="1" t="s">
        <v>11556</v>
      </c>
      <c r="B2983" s="1" t="s">
        <v>11557</v>
      </c>
      <c r="C2983" s="1" t="s">
        <v>433</v>
      </c>
      <c r="D2983" s="1" t="s">
        <v>8127</v>
      </c>
      <c r="E2983" s="1" t="s">
        <v>10</v>
      </c>
      <c r="F2983" s="1" t="s">
        <v>437</v>
      </c>
      <c r="G2983" s="2">
        <v>45765</v>
      </c>
      <c r="H2983" s="1" t="s">
        <v>11558</v>
      </c>
      <c r="I2983" s="1">
        <v>77335</v>
      </c>
      <c r="J2983" s="1" t="s">
        <v>11559</v>
      </c>
      <c r="K2983" s="1" t="s">
        <v>11560</v>
      </c>
      <c r="L2983" s="1" t="s">
        <v>364</v>
      </c>
      <c r="M2983" s="1" t="s">
        <v>364</v>
      </c>
      <c r="N2983" s="1" t="s">
        <v>364</v>
      </c>
      <c r="O2983" s="1" t="s">
        <v>364</v>
      </c>
      <c r="P2983" s="1" t="s">
        <v>11561</v>
      </c>
      <c r="Q2983" s="1" t="str">
        <f t="shared" si="110"/>
        <v/>
      </c>
      <c r="R2983" s="1">
        <f t="shared" si="111"/>
        <v>1</v>
      </c>
      <c r="S2983" s="1">
        <f t="shared" si="112"/>
        <v>1</v>
      </c>
      <c r="T2983" s="512" t="e">
        <f>_xlfn.XLOOKUP(H2983,#REF!,#REF!,0,0)</f>
        <v>#REF!</v>
      </c>
    </row>
    <row r="2984" spans="1:20" s="376" customFormat="1" ht="18.75" customHeight="1" x14ac:dyDescent="0.4">
      <c r="A2984" s="1" t="s">
        <v>11562</v>
      </c>
      <c r="B2984" s="1" t="s">
        <v>11563</v>
      </c>
      <c r="C2984" s="1" t="s">
        <v>433</v>
      </c>
      <c r="D2984" s="1" t="s">
        <v>8127</v>
      </c>
      <c r="E2984" s="1" t="s">
        <v>10</v>
      </c>
      <c r="F2984" s="1" t="s">
        <v>437</v>
      </c>
      <c r="G2984" s="2">
        <v>45765</v>
      </c>
      <c r="H2984" s="1" t="s">
        <v>11564</v>
      </c>
      <c r="I2984" s="1">
        <v>77359</v>
      </c>
      <c r="J2984" s="1" t="s">
        <v>11565</v>
      </c>
      <c r="K2984" s="1" t="s">
        <v>11566</v>
      </c>
      <c r="L2984" s="1" t="s">
        <v>364</v>
      </c>
      <c r="M2984" s="1" t="s">
        <v>364</v>
      </c>
      <c r="N2984" s="1" t="s">
        <v>364</v>
      </c>
      <c r="O2984" s="1" t="s">
        <v>364</v>
      </c>
      <c r="P2984" s="293" t="s">
        <v>11567</v>
      </c>
      <c r="Q2984" s="1" t="str">
        <f t="shared" si="110"/>
        <v/>
      </c>
      <c r="R2984" s="1">
        <f t="shared" si="111"/>
        <v>1</v>
      </c>
      <c r="S2984" s="1">
        <f t="shared" si="112"/>
        <v>1</v>
      </c>
      <c r="T2984" s="512" t="e">
        <f>_xlfn.XLOOKUP(H2984,#REF!,#REF!,0,0)</f>
        <v>#REF!</v>
      </c>
    </row>
    <row r="2985" spans="1:20" s="376" customFormat="1" ht="18.75" customHeight="1" x14ac:dyDescent="0.4">
      <c r="A2985" s="1" t="s">
        <v>11568</v>
      </c>
      <c r="B2985" s="1" t="s">
        <v>11569</v>
      </c>
      <c r="C2985" s="1" t="s">
        <v>433</v>
      </c>
      <c r="D2985" s="1" t="s">
        <v>8127</v>
      </c>
      <c r="E2985" s="1" t="s">
        <v>10</v>
      </c>
      <c r="F2985" s="1" t="s">
        <v>437</v>
      </c>
      <c r="G2985" s="2">
        <v>45765</v>
      </c>
      <c r="H2985" s="1" t="s">
        <v>11570</v>
      </c>
      <c r="I2985" s="1">
        <v>77353</v>
      </c>
      <c r="J2985" s="1" t="s">
        <v>11571</v>
      </c>
      <c r="K2985" s="1" t="s">
        <v>11572</v>
      </c>
      <c r="L2985" s="1" t="s">
        <v>364</v>
      </c>
      <c r="M2985" s="1" t="s">
        <v>364</v>
      </c>
      <c r="N2985" s="1" t="s">
        <v>364</v>
      </c>
      <c r="O2985" s="1" t="s">
        <v>364</v>
      </c>
      <c r="P2985" s="1" t="s">
        <v>11573</v>
      </c>
      <c r="Q2985" s="1" t="str">
        <f>IF(A2985="SCORTA 10",1,"")</f>
        <v/>
      </c>
      <c r="R2985" s="1">
        <f>IF(H2985&lt;&gt;"",1,"")</f>
        <v>1</v>
      </c>
      <c r="S2985" s="1">
        <f t="shared" si="112"/>
        <v>1</v>
      </c>
      <c r="T2985" s="512" t="e">
        <f>_xlfn.XLOOKUP(H2985,#REF!,#REF!,0,0)</f>
        <v>#REF!</v>
      </c>
    </row>
    <row r="2986" spans="1:20" s="286" customFormat="1" x14ac:dyDescent="0.4">
      <c r="A2986" s="2" t="s">
        <v>11574</v>
      </c>
      <c r="B2986" s="2" t="s">
        <v>11575</v>
      </c>
      <c r="C2986" s="2" t="s">
        <v>433</v>
      </c>
      <c r="D2986" s="2" t="s">
        <v>8127</v>
      </c>
      <c r="E2986" s="2" t="s">
        <v>366</v>
      </c>
      <c r="F2986" s="2" t="s">
        <v>367</v>
      </c>
      <c r="G2986" s="2">
        <v>45673</v>
      </c>
      <c r="H2986" s="2" t="s">
        <v>509</v>
      </c>
      <c r="I2986" s="281">
        <v>77592</v>
      </c>
      <c r="J2986" s="2" t="s">
        <v>11576</v>
      </c>
      <c r="K2986" s="2" t="s">
        <v>9649</v>
      </c>
      <c r="L2986" s="2" t="s">
        <v>364</v>
      </c>
      <c r="M2986" s="2" t="s">
        <v>364</v>
      </c>
      <c r="N2986" s="2" t="s">
        <v>364</v>
      </c>
      <c r="O2986" s="2" t="s">
        <v>364</v>
      </c>
      <c r="P2986" s="2"/>
      <c r="Q2986" s="281" t="str">
        <f>IF(A2986="SCORTA 10",1,"")</f>
        <v/>
      </c>
      <c r="R2986" s="1">
        <f>IF(H2986&lt;&gt;"",1,"")</f>
        <v>1</v>
      </c>
      <c r="S2986" s="1">
        <f t="shared" si="112"/>
        <v>1</v>
      </c>
      <c r="T2986" s="512" t="e">
        <f>_xlfn.XLOOKUP(H2986,#REF!,#REF!,0,0)</f>
        <v>#REF!</v>
      </c>
    </row>
    <row r="2987" spans="1:20" s="286" customFormat="1" x14ac:dyDescent="0.4">
      <c r="A2987" s="2" t="s">
        <v>11577</v>
      </c>
      <c r="B2987" s="2" t="s">
        <v>11578</v>
      </c>
      <c r="C2987" s="2" t="s">
        <v>433</v>
      </c>
      <c r="D2987" s="2" t="s">
        <v>8127</v>
      </c>
      <c r="E2987" s="2" t="s">
        <v>366</v>
      </c>
      <c r="F2987" s="2" t="s">
        <v>367</v>
      </c>
      <c r="G2987" s="2">
        <v>45673</v>
      </c>
      <c r="H2987" s="2" t="s">
        <v>512</v>
      </c>
      <c r="I2987" s="281">
        <v>77596</v>
      </c>
      <c r="J2987" s="2" t="s">
        <v>11579</v>
      </c>
      <c r="K2987" s="2" t="s">
        <v>11580</v>
      </c>
      <c r="L2987" s="2" t="s">
        <v>364</v>
      </c>
      <c r="M2987" s="2" t="s">
        <v>364</v>
      </c>
      <c r="N2987" s="2" t="s">
        <v>364</v>
      </c>
      <c r="O2987" s="2" t="s">
        <v>364</v>
      </c>
      <c r="P2987" s="2"/>
      <c r="Q2987" s="281" t="str">
        <f>IF(A2987="SCORTA 10",1,"")</f>
        <v/>
      </c>
      <c r="R2987" s="1">
        <f>IF(H2987&lt;&gt;"",1,"")</f>
        <v>1</v>
      </c>
      <c r="S2987" s="1">
        <f t="shared" si="112"/>
        <v>1</v>
      </c>
      <c r="T2987" s="512" t="e">
        <f>_xlfn.XLOOKUP(H2987,#REF!,#REF!,0,0)</f>
        <v>#REF!</v>
      </c>
    </row>
    <row r="2988" spans="1:20" s="328" customFormat="1" x14ac:dyDescent="0.4">
      <c r="A2988" s="324" t="s">
        <v>11581</v>
      </c>
      <c r="B2988" s="522" t="s">
        <v>8720</v>
      </c>
      <c r="C2988" s="324" t="s">
        <v>434</v>
      </c>
      <c r="D2988" s="324"/>
      <c r="E2988" s="325" t="s">
        <v>3016</v>
      </c>
      <c r="F2988" s="324" t="s">
        <v>11582</v>
      </c>
      <c r="G2988" s="326"/>
      <c r="H2988" s="324" t="s">
        <v>11583</v>
      </c>
      <c r="I2988" s="327">
        <v>72954</v>
      </c>
      <c r="J2988" s="324"/>
      <c r="K2988" s="326"/>
      <c r="L2988" s="324"/>
      <c r="M2988" s="324"/>
      <c r="N2988" s="324"/>
      <c r="O2988" s="324"/>
      <c r="P2988" s="324"/>
      <c r="Q2988" s="324"/>
      <c r="R2988" s="324"/>
      <c r="S2988" s="324"/>
      <c r="T2988" s="512" t="e">
        <f>_xlfn.XLOOKUP(H2988,#REF!,#REF!,0,0)</f>
        <v>#REF!</v>
      </c>
    </row>
    <row r="2989" spans="1:20" s="286" customFormat="1" x14ac:dyDescent="0.4">
      <c r="A2989" s="2" t="s">
        <v>11584</v>
      </c>
      <c r="B2989" s="2" t="s">
        <v>11585</v>
      </c>
      <c r="C2989" s="2" t="s">
        <v>433</v>
      </c>
      <c r="D2989" s="2" t="s">
        <v>8127</v>
      </c>
      <c r="E2989" s="2" t="s">
        <v>366</v>
      </c>
      <c r="F2989" s="2" t="s">
        <v>367</v>
      </c>
      <c r="G2989" s="2">
        <v>45673</v>
      </c>
      <c r="H2989" s="2" t="s">
        <v>516</v>
      </c>
      <c r="I2989" s="281">
        <v>77600</v>
      </c>
      <c r="J2989" s="2" t="s">
        <v>11586</v>
      </c>
      <c r="K2989" s="2"/>
      <c r="L2989" s="1" t="s">
        <v>364</v>
      </c>
      <c r="M2989" s="1" t="s">
        <v>364</v>
      </c>
      <c r="N2989" s="1" t="s">
        <v>364</v>
      </c>
      <c r="O2989" s="1" t="s">
        <v>364</v>
      </c>
      <c r="P2989" s="2"/>
      <c r="Q2989" s="281" t="str">
        <f>IF(A2989="SCORTA 10",1,"")</f>
        <v/>
      </c>
      <c r="R2989" s="1">
        <f t="shared" ref="R2989:S2993" si="113">IF(H2989&lt;&gt;"",1,"")</f>
        <v>1</v>
      </c>
      <c r="S2989" s="1">
        <f t="shared" si="113"/>
        <v>1</v>
      </c>
      <c r="T2989" s="512" t="e">
        <f>_xlfn.XLOOKUP(H2989,#REF!,#REF!,0,0)</f>
        <v>#REF!</v>
      </c>
    </row>
    <row r="2990" spans="1:20" s="286" customFormat="1" x14ac:dyDescent="0.4">
      <c r="A2990" s="2" t="s">
        <v>11587</v>
      </c>
      <c r="B2990" s="2" t="s">
        <v>11588</v>
      </c>
      <c r="C2990" s="2" t="s">
        <v>433</v>
      </c>
      <c r="D2990" s="2" t="s">
        <v>8127</v>
      </c>
      <c r="E2990" s="2" t="s">
        <v>366</v>
      </c>
      <c r="F2990" s="2" t="s">
        <v>367</v>
      </c>
      <c r="G2990" s="2">
        <v>45673</v>
      </c>
      <c r="H2990" s="2" t="s">
        <v>497</v>
      </c>
      <c r="I2990" s="281">
        <v>77579</v>
      </c>
      <c r="J2990" s="2" t="s">
        <v>11589</v>
      </c>
      <c r="K2990" s="2"/>
      <c r="L2990" s="2" t="s">
        <v>364</v>
      </c>
      <c r="M2990" s="2" t="s">
        <v>364</v>
      </c>
      <c r="N2990" s="2" t="s">
        <v>364</v>
      </c>
      <c r="O2990" s="2" t="s">
        <v>364</v>
      </c>
      <c r="P2990" s="2"/>
      <c r="Q2990" s="281" t="str">
        <f>IF(A2990="SCORTA 10",1,"")</f>
        <v/>
      </c>
      <c r="R2990" s="1">
        <f t="shared" si="113"/>
        <v>1</v>
      </c>
      <c r="S2990" s="1">
        <f t="shared" si="113"/>
        <v>1</v>
      </c>
      <c r="T2990" s="512" t="e">
        <f>_xlfn.XLOOKUP(H2990,#REF!,#REF!,0,0)</f>
        <v>#REF!</v>
      </c>
    </row>
    <row r="2991" spans="1:20" s="376" customFormat="1" ht="18.75" customHeight="1" x14ac:dyDescent="0.4">
      <c r="A2991" s="1" t="s">
        <v>11590</v>
      </c>
      <c r="B2991" s="1" t="s">
        <v>11591</v>
      </c>
      <c r="C2991" s="1" t="s">
        <v>433</v>
      </c>
      <c r="D2991" s="1" t="s">
        <v>8127</v>
      </c>
      <c r="E2991" s="1" t="s">
        <v>10</v>
      </c>
      <c r="F2991" s="1" t="s">
        <v>437</v>
      </c>
      <c r="G2991" s="2">
        <v>45765</v>
      </c>
      <c r="H2991" s="1" t="s">
        <v>11592</v>
      </c>
      <c r="I2991" s="1">
        <v>77357</v>
      </c>
      <c r="J2991" s="1" t="s">
        <v>11593</v>
      </c>
      <c r="K2991" s="1" t="s">
        <v>11594</v>
      </c>
      <c r="L2991" s="1" t="s">
        <v>364</v>
      </c>
      <c r="M2991" s="1" t="s">
        <v>364</v>
      </c>
      <c r="N2991" s="1" t="s">
        <v>364</v>
      </c>
      <c r="O2991" s="1" t="s">
        <v>364</v>
      </c>
      <c r="P2991" s="1" t="s">
        <v>11595</v>
      </c>
      <c r="Q2991" s="1" t="str">
        <f>IF(A2991="SCORTA 10",1,"")</f>
        <v/>
      </c>
      <c r="R2991" s="1">
        <f t="shared" si="113"/>
        <v>1</v>
      </c>
      <c r="S2991" s="1">
        <f t="shared" si="113"/>
        <v>1</v>
      </c>
      <c r="T2991" s="512" t="e">
        <f>_xlfn.XLOOKUP(H2991,#REF!,#REF!,0,0)</f>
        <v>#REF!</v>
      </c>
    </row>
    <row r="2992" spans="1:20" s="286" customFormat="1" x14ac:dyDescent="0.4">
      <c r="A2992" s="2" t="s">
        <v>11596</v>
      </c>
      <c r="B2992" s="2" t="s">
        <v>11597</v>
      </c>
      <c r="C2992" s="2" t="s">
        <v>435</v>
      </c>
      <c r="D2992" s="2" t="s">
        <v>8127</v>
      </c>
      <c r="E2992" s="2" t="s">
        <v>366</v>
      </c>
      <c r="F2992" s="2" t="s">
        <v>367</v>
      </c>
      <c r="G2992" s="2">
        <v>45673</v>
      </c>
      <c r="H2992" s="2" t="s">
        <v>515</v>
      </c>
      <c r="I2992" s="281">
        <v>77599</v>
      </c>
      <c r="J2992" s="2" t="s">
        <v>11598</v>
      </c>
      <c r="K2992" s="2">
        <v>45870</v>
      </c>
      <c r="L2992" s="2" t="s">
        <v>364</v>
      </c>
      <c r="M2992" s="2" t="s">
        <v>364</v>
      </c>
      <c r="N2992" s="2" t="s">
        <v>364</v>
      </c>
      <c r="O2992" s="2" t="s">
        <v>364</v>
      </c>
      <c r="P2992" s="2" t="s">
        <v>7518</v>
      </c>
      <c r="Q2992" s="281" t="str">
        <f>IF(A2992="SCORTA 10",1,"")</f>
        <v/>
      </c>
      <c r="R2992" s="1">
        <f t="shared" si="113"/>
        <v>1</v>
      </c>
      <c r="S2992" s="1">
        <f t="shared" si="113"/>
        <v>1</v>
      </c>
      <c r="T2992" s="512" t="e">
        <f>_xlfn.XLOOKUP(H2992,#REF!,#REF!,0,0)</f>
        <v>#REF!</v>
      </c>
    </row>
    <row r="2993" spans="1:20" s="286" customFormat="1" x14ac:dyDescent="0.4">
      <c r="A2993" s="2" t="s">
        <v>11599</v>
      </c>
      <c r="B2993" s="2" t="s">
        <v>11600</v>
      </c>
      <c r="C2993" s="2" t="s">
        <v>433</v>
      </c>
      <c r="D2993" s="2" t="s">
        <v>447</v>
      </c>
      <c r="E2993" s="2" t="s">
        <v>366</v>
      </c>
      <c r="F2993" s="2" t="s">
        <v>367</v>
      </c>
      <c r="G2993" s="2">
        <v>45673</v>
      </c>
      <c r="H2993" s="2" t="s">
        <v>511</v>
      </c>
      <c r="I2993" s="281">
        <v>77595</v>
      </c>
      <c r="J2993" s="2" t="s">
        <v>11601</v>
      </c>
      <c r="K2993" s="2" t="s">
        <v>11602</v>
      </c>
      <c r="L2993" s="2" t="s">
        <v>364</v>
      </c>
      <c r="M2993" s="2" t="s">
        <v>364</v>
      </c>
      <c r="N2993" s="2" t="s">
        <v>364</v>
      </c>
      <c r="O2993" s="2" t="s">
        <v>364</v>
      </c>
      <c r="P2993" s="2" t="s">
        <v>11603</v>
      </c>
      <c r="Q2993" s="281" t="str">
        <f>IF(A2993="SCORTA 10",1,"")</f>
        <v/>
      </c>
      <c r="R2993" s="1">
        <f t="shared" si="113"/>
        <v>1</v>
      </c>
      <c r="S2993" s="1">
        <f t="shared" si="113"/>
        <v>1</v>
      </c>
      <c r="T2993" s="512" t="e">
        <f>_xlfn.XLOOKUP(H2993,#REF!,#REF!,0,0)</f>
        <v>#REF!</v>
      </c>
    </row>
    <row r="2994" spans="1:20" s="328" customFormat="1" x14ac:dyDescent="0.4">
      <c r="A2994" s="324" t="s">
        <v>11604</v>
      </c>
      <c r="B2994" s="522" t="s">
        <v>11605</v>
      </c>
      <c r="C2994" s="324" t="s">
        <v>434</v>
      </c>
      <c r="D2994" s="324" t="s">
        <v>8127</v>
      </c>
      <c r="E2994" s="325" t="s">
        <v>10</v>
      </c>
      <c r="F2994" s="324" t="s">
        <v>560</v>
      </c>
      <c r="G2994" s="326"/>
      <c r="H2994" s="324" t="s">
        <v>11606</v>
      </c>
      <c r="I2994" s="327">
        <v>73130</v>
      </c>
      <c r="J2994" s="324" t="s">
        <v>7926</v>
      </c>
      <c r="K2994" s="326">
        <v>45876</v>
      </c>
      <c r="L2994" s="324" t="s">
        <v>364</v>
      </c>
      <c r="M2994" s="324" t="s">
        <v>364</v>
      </c>
      <c r="N2994" s="324" t="s">
        <v>364</v>
      </c>
      <c r="O2994" s="324" t="s">
        <v>364</v>
      </c>
      <c r="P2994" s="324"/>
      <c r="Q2994" s="324"/>
      <c r="R2994" s="324">
        <v>1</v>
      </c>
      <c r="S2994" s="324">
        <v>1</v>
      </c>
      <c r="T2994" s="512" t="e">
        <f>_xlfn.XLOOKUP(H2994,#REF!,#REF!,0,0)</f>
        <v>#REF!</v>
      </c>
    </row>
    <row r="2995" spans="1:20" s="286" customFormat="1" x14ac:dyDescent="0.4">
      <c r="A2995" s="2" t="s">
        <v>11607</v>
      </c>
      <c r="B2995" s="2" t="s">
        <v>11608</v>
      </c>
      <c r="C2995" s="2" t="s">
        <v>433</v>
      </c>
      <c r="D2995" s="2" t="s">
        <v>8127</v>
      </c>
      <c r="E2995" s="2" t="s">
        <v>366</v>
      </c>
      <c r="F2995" s="2" t="s">
        <v>367</v>
      </c>
      <c r="G2995" s="2">
        <v>45673</v>
      </c>
      <c r="H2995" s="2" t="s">
        <v>517</v>
      </c>
      <c r="I2995" s="281">
        <v>77601</v>
      </c>
      <c r="J2995" s="2" t="s">
        <v>11609</v>
      </c>
      <c r="K2995" s="2"/>
      <c r="L2995" s="2" t="s">
        <v>364</v>
      </c>
      <c r="M2995" s="2" t="s">
        <v>364</v>
      </c>
      <c r="N2995" s="2" t="s">
        <v>364</v>
      </c>
      <c r="O2995" s="2" t="s">
        <v>364</v>
      </c>
      <c r="P2995" s="2"/>
      <c r="Q2995" s="281" t="str">
        <f>IF(A2995="SCORTA 10",1,"")</f>
        <v/>
      </c>
      <c r="R2995" s="1">
        <f>IF(H2995&lt;&gt;"",1,"")</f>
        <v>1</v>
      </c>
      <c r="S2995" s="1">
        <f>IF(I2995&lt;&gt;"",1,"")</f>
        <v>1</v>
      </c>
      <c r="T2995" s="512" t="e">
        <f>_xlfn.XLOOKUP(H2995,#REF!,#REF!,0,0)</f>
        <v>#REF!</v>
      </c>
    </row>
    <row r="2996" spans="1:20" s="286" customFormat="1" x14ac:dyDescent="0.4">
      <c r="A2996" s="2" t="s">
        <v>11610</v>
      </c>
      <c r="B2996" s="2" t="s">
        <v>11611</v>
      </c>
      <c r="C2996" s="2" t="s">
        <v>433</v>
      </c>
      <c r="D2996" s="2" t="s">
        <v>8127</v>
      </c>
      <c r="E2996" s="2" t="s">
        <v>366</v>
      </c>
      <c r="F2996" s="2" t="s">
        <v>367</v>
      </c>
      <c r="G2996" s="2">
        <v>45673</v>
      </c>
      <c r="H2996" s="2" t="s">
        <v>518</v>
      </c>
      <c r="I2996" s="281">
        <v>77602</v>
      </c>
      <c r="J2996" s="2" t="s">
        <v>11612</v>
      </c>
      <c r="K2996" s="2">
        <v>45795</v>
      </c>
      <c r="L2996" s="2" t="s">
        <v>364</v>
      </c>
      <c r="M2996" s="2" t="s">
        <v>364</v>
      </c>
      <c r="N2996" s="2" t="s">
        <v>364</v>
      </c>
      <c r="O2996" s="2" t="s">
        <v>364</v>
      </c>
      <c r="P2996" s="2"/>
      <c r="Q2996" s="281" t="str">
        <f>IF(A2996="SCORTA 10",1,"")</f>
        <v/>
      </c>
      <c r="R2996" s="1">
        <f>IF(H2996&lt;&gt;"",1,"")</f>
        <v>1</v>
      </c>
      <c r="S2996" s="1">
        <f>IF(I2996&lt;&gt;"",1,"")</f>
        <v>1</v>
      </c>
      <c r="T2996" s="512" t="e">
        <f>_xlfn.XLOOKUP(H2996,#REF!,#REF!,0,0)</f>
        <v>#REF!</v>
      </c>
    </row>
    <row r="2997" spans="1:20" s="328" customFormat="1" x14ac:dyDescent="0.4">
      <c r="A2997" s="324" t="s">
        <v>11613</v>
      </c>
      <c r="B2997" s="522" t="s">
        <v>11614</v>
      </c>
      <c r="C2997" s="324" t="s">
        <v>434</v>
      </c>
      <c r="D2997" s="324" t="s">
        <v>8127</v>
      </c>
      <c r="E2997" s="325" t="s">
        <v>11331</v>
      </c>
      <c r="F2997" s="324" t="s">
        <v>11615</v>
      </c>
      <c r="G2997" s="326"/>
      <c r="H2997" s="324" t="s">
        <v>480</v>
      </c>
      <c r="I2997" s="327">
        <v>77394</v>
      </c>
      <c r="J2997" s="324"/>
      <c r="K2997" s="326"/>
      <c r="L2997" s="324"/>
      <c r="M2997" s="324"/>
      <c r="N2997" s="324"/>
      <c r="O2997" s="324"/>
      <c r="P2997" s="324"/>
      <c r="Q2997" s="324"/>
      <c r="R2997" s="324"/>
      <c r="S2997" s="324"/>
      <c r="T2997" s="512" t="e">
        <f>_xlfn.XLOOKUP(H2997,#REF!,#REF!,0,0)</f>
        <v>#REF!</v>
      </c>
    </row>
    <row r="2998" spans="1:20" s="286" customFormat="1" x14ac:dyDescent="0.4">
      <c r="A2998" s="2" t="s">
        <v>11616</v>
      </c>
      <c r="B2998" s="2" t="s">
        <v>11617</v>
      </c>
      <c r="C2998" s="2" t="s">
        <v>433</v>
      </c>
      <c r="D2998" s="2" t="s">
        <v>8127</v>
      </c>
      <c r="E2998" s="2" t="s">
        <v>366</v>
      </c>
      <c r="F2998" s="2" t="s">
        <v>367</v>
      </c>
      <c r="G2998" s="2">
        <v>45673</v>
      </c>
      <c r="H2998" s="2" t="s">
        <v>519</v>
      </c>
      <c r="I2998" s="281">
        <v>77603</v>
      </c>
      <c r="J2998" s="2" t="s">
        <v>11618</v>
      </c>
      <c r="K2998" s="2">
        <v>45890</v>
      </c>
      <c r="L2998" s="2" t="s">
        <v>364</v>
      </c>
      <c r="M2998" s="2" t="s">
        <v>364</v>
      </c>
      <c r="N2998" s="2" t="s">
        <v>364</v>
      </c>
      <c r="O2998" s="2" t="s">
        <v>364</v>
      </c>
      <c r="P2998" s="2"/>
      <c r="Q2998" s="281" t="str">
        <f>IF(A2998="SCORTA 10",1,"")</f>
        <v/>
      </c>
      <c r="R2998" s="1">
        <f>IF(H2998&lt;&gt;"",1,"")</f>
        <v>1</v>
      </c>
      <c r="S2998" s="1">
        <f>IF(I2998&lt;&gt;"",1,"")</f>
        <v>1</v>
      </c>
      <c r="T2998" s="512" t="e">
        <f>_xlfn.XLOOKUP(H2998,#REF!,#REF!,0,0)</f>
        <v>#REF!</v>
      </c>
    </row>
    <row r="2999" spans="1:20" s="328" customFormat="1" x14ac:dyDescent="0.4">
      <c r="A2999" s="324" t="s">
        <v>11619</v>
      </c>
      <c r="B2999" s="522" t="s">
        <v>11620</v>
      </c>
      <c r="C2999" s="324" t="s">
        <v>434</v>
      </c>
      <c r="D2999" s="324" t="s">
        <v>8127</v>
      </c>
      <c r="E2999" s="325" t="s">
        <v>11331</v>
      </c>
      <c r="F2999" s="324" t="s">
        <v>11615</v>
      </c>
      <c r="G2999" s="326"/>
      <c r="H2999" s="324" t="s">
        <v>487</v>
      </c>
      <c r="I2999" s="327">
        <v>77543</v>
      </c>
      <c r="J2999" s="324" t="s">
        <v>11000</v>
      </c>
      <c r="K2999" s="326"/>
      <c r="L2999" s="324"/>
      <c r="M2999" s="324"/>
      <c r="N2999" s="324"/>
      <c r="O2999" s="324"/>
      <c r="P2999" s="324"/>
      <c r="Q2999" s="324"/>
      <c r="R2999" s="324">
        <v>1</v>
      </c>
      <c r="S2999" s="324">
        <v>1</v>
      </c>
      <c r="T2999" s="512" t="e">
        <f>_xlfn.XLOOKUP(H2999,#REF!,#REF!,0,0)</f>
        <v>#REF!</v>
      </c>
    </row>
    <row r="3000" spans="1:20" s="376" customFormat="1" ht="18.75" customHeight="1" x14ac:dyDescent="0.4">
      <c r="A3000" s="1" t="s">
        <v>11621</v>
      </c>
      <c r="B3000" s="1" t="s">
        <v>11622</v>
      </c>
      <c r="C3000" s="1" t="s">
        <v>435</v>
      </c>
      <c r="D3000" s="1" t="s">
        <v>8127</v>
      </c>
      <c r="E3000" s="1" t="s">
        <v>10</v>
      </c>
      <c r="F3000" s="1" t="s">
        <v>437</v>
      </c>
      <c r="G3000" s="2">
        <v>45765</v>
      </c>
      <c r="H3000" s="1" t="s">
        <v>11623</v>
      </c>
      <c r="I3000" s="1">
        <v>77348</v>
      </c>
      <c r="J3000" s="1" t="s">
        <v>11624</v>
      </c>
      <c r="K3000" s="2"/>
      <c r="L3000" s="1" t="s">
        <v>364</v>
      </c>
      <c r="M3000" s="1" t="s">
        <v>364</v>
      </c>
      <c r="N3000" s="1" t="s">
        <v>364</v>
      </c>
      <c r="O3000" s="1" t="s">
        <v>364</v>
      </c>
      <c r="P3000" s="1" t="s">
        <v>11625</v>
      </c>
      <c r="Q3000" s="1" t="str">
        <f>IF(A3000="SCORTA 10",1,"")</f>
        <v/>
      </c>
      <c r="R3000" s="1">
        <f>IF(H3000&lt;&gt;"",1,"")</f>
        <v>1</v>
      </c>
      <c r="S3000" s="1">
        <f>IF(I3000&lt;&gt;"",1,"")</f>
        <v>1</v>
      </c>
      <c r="T3000" s="512" t="e">
        <f>_xlfn.XLOOKUP(H3000,#REF!,#REF!,0,0)</f>
        <v>#REF!</v>
      </c>
    </row>
    <row r="3001" spans="1:20" s="286" customFormat="1" x14ac:dyDescent="0.4">
      <c r="A3001" s="281" t="s">
        <v>11626</v>
      </c>
      <c r="B3001" s="281" t="s">
        <v>11627</v>
      </c>
      <c r="C3001" s="281" t="s">
        <v>433</v>
      </c>
      <c r="D3001" s="281" t="s">
        <v>8127</v>
      </c>
      <c r="E3001" s="281" t="s">
        <v>366</v>
      </c>
      <c r="F3001" s="281" t="s">
        <v>367</v>
      </c>
      <c r="G3001" s="2">
        <v>45751</v>
      </c>
      <c r="H3001" s="281" t="s">
        <v>484</v>
      </c>
      <c r="I3001" s="281">
        <v>77413</v>
      </c>
      <c r="J3001" s="281" t="s">
        <v>11628</v>
      </c>
      <c r="K3001" s="281"/>
      <c r="L3001" s="281" t="s">
        <v>364</v>
      </c>
      <c r="M3001" s="281" t="s">
        <v>364</v>
      </c>
      <c r="N3001" s="281" t="s">
        <v>364</v>
      </c>
      <c r="O3001" s="281" t="s">
        <v>364</v>
      </c>
      <c r="P3001" s="281"/>
      <c r="Q3001" s="281" t="str">
        <f>IF(A3001="SCORTA 10",1,"")</f>
        <v/>
      </c>
      <c r="R3001" s="1">
        <f>IF(H3001&lt;&gt;"",1,"")</f>
        <v>1</v>
      </c>
      <c r="S3001" s="1">
        <f>IF(I3001&lt;&gt;"",1,"")</f>
        <v>1</v>
      </c>
      <c r="T3001" s="512" t="e">
        <f>_xlfn.XLOOKUP(H3001,#REF!,#REF!,0,0)</f>
        <v>#REF!</v>
      </c>
    </row>
    <row r="3002" spans="1:20" s="328" customFormat="1" x14ac:dyDescent="0.4">
      <c r="A3002" s="324" t="s">
        <v>11629</v>
      </c>
      <c r="B3002" s="522" t="s">
        <v>11630</v>
      </c>
      <c r="C3002" s="324" t="s">
        <v>431</v>
      </c>
      <c r="D3002" s="281" t="s">
        <v>8127</v>
      </c>
      <c r="E3002" s="325"/>
      <c r="F3002" s="324" t="s">
        <v>244</v>
      </c>
      <c r="G3002" s="326"/>
      <c r="H3002" s="324" t="s">
        <v>11420</v>
      </c>
      <c r="I3002" s="327">
        <v>72269</v>
      </c>
      <c r="J3002" s="324" t="s">
        <v>6580</v>
      </c>
      <c r="K3002" s="326"/>
      <c r="L3002" s="324" t="s">
        <v>364</v>
      </c>
      <c r="M3002" s="324" t="s">
        <v>364</v>
      </c>
      <c r="N3002" s="324" t="s">
        <v>364</v>
      </c>
      <c r="O3002" s="324" t="s">
        <v>364</v>
      </c>
      <c r="P3002" s="326" t="s">
        <v>11631</v>
      </c>
      <c r="Q3002" s="324"/>
      <c r="R3002" s="324"/>
      <c r="S3002" s="324"/>
      <c r="T3002" s="512" t="e">
        <f>_xlfn.XLOOKUP(H3002,#REF!,#REF!,0,0)</f>
        <v>#REF!</v>
      </c>
    </row>
    <row r="3003" spans="1:20" s="286" customFormat="1" x14ac:dyDescent="0.4">
      <c r="A3003" s="281" t="s">
        <v>11632</v>
      </c>
      <c r="B3003" s="281" t="s">
        <v>11633</v>
      </c>
      <c r="C3003" s="281" t="s">
        <v>433</v>
      </c>
      <c r="D3003" s="281" t="s">
        <v>9084</v>
      </c>
      <c r="E3003" s="281" t="s">
        <v>366</v>
      </c>
      <c r="F3003" s="281" t="s">
        <v>367</v>
      </c>
      <c r="G3003" s="2">
        <v>45751</v>
      </c>
      <c r="H3003" s="281" t="s">
        <v>485</v>
      </c>
      <c r="I3003" s="281">
        <v>77414</v>
      </c>
      <c r="J3003" s="281" t="s">
        <v>11634</v>
      </c>
      <c r="K3003" s="281"/>
      <c r="L3003" s="281" t="s">
        <v>364</v>
      </c>
      <c r="M3003" s="281" t="s">
        <v>364</v>
      </c>
      <c r="N3003" s="281" t="s">
        <v>364</v>
      </c>
      <c r="O3003" s="281" t="s">
        <v>364</v>
      </c>
      <c r="P3003" s="281"/>
      <c r="Q3003" s="281" t="str">
        <f>IF(A3003="SCORTA 10",1,"")</f>
        <v/>
      </c>
      <c r="R3003" s="1">
        <f>IF(H3003&lt;&gt;"",1,"")</f>
        <v>1</v>
      </c>
      <c r="S3003" s="1">
        <f>IF(I3003&lt;&gt;"",1,"")</f>
        <v>1</v>
      </c>
      <c r="T3003" s="512" t="e">
        <f>_xlfn.XLOOKUP(H3003,#REF!,#REF!,0,0)</f>
        <v>#REF!</v>
      </c>
    </row>
    <row r="3004" spans="1:20" s="328" customFormat="1" x14ac:dyDescent="0.4">
      <c r="A3004" s="324" t="s">
        <v>546</v>
      </c>
      <c r="B3004" s="522" t="s">
        <v>547</v>
      </c>
      <c r="C3004" s="324" t="s">
        <v>431</v>
      </c>
      <c r="D3004" s="324" t="s">
        <v>447</v>
      </c>
      <c r="E3004" s="325" t="s">
        <v>10</v>
      </c>
      <c r="F3004" s="324" t="s">
        <v>244</v>
      </c>
      <c r="G3004" s="326"/>
      <c r="H3004" s="324" t="s">
        <v>548</v>
      </c>
      <c r="I3004" s="327">
        <v>72475</v>
      </c>
      <c r="J3004" s="324" t="s">
        <v>549</v>
      </c>
      <c r="K3004" s="326"/>
      <c r="L3004" s="324" t="s">
        <v>364</v>
      </c>
      <c r="M3004" s="324" t="s">
        <v>364</v>
      </c>
      <c r="N3004" s="324" t="s">
        <v>364</v>
      </c>
      <c r="O3004" s="324" t="s">
        <v>364</v>
      </c>
      <c r="P3004" s="324"/>
      <c r="Q3004" s="324"/>
      <c r="R3004" s="324"/>
      <c r="S3004" s="324"/>
      <c r="T3004" s="512" t="e">
        <f>_xlfn.XLOOKUP(H3004,#REF!,#REF!,0,0)</f>
        <v>#REF!</v>
      </c>
    </row>
    <row r="3005" spans="1:20" s="328" customFormat="1" x14ac:dyDescent="0.4">
      <c r="A3005" s="324" t="s">
        <v>524</v>
      </c>
      <c r="B3005" s="522" t="s">
        <v>525</v>
      </c>
      <c r="C3005" s="324" t="s">
        <v>434</v>
      </c>
      <c r="D3005" s="324" t="s">
        <v>447</v>
      </c>
      <c r="E3005" s="325" t="s">
        <v>10</v>
      </c>
      <c r="F3005" s="324" t="s">
        <v>68</v>
      </c>
      <c r="G3005" s="326"/>
      <c r="H3005" s="324" t="s">
        <v>526</v>
      </c>
      <c r="I3005" s="327">
        <v>73293</v>
      </c>
      <c r="J3005" s="324" t="s">
        <v>527</v>
      </c>
      <c r="K3005" s="326"/>
      <c r="L3005" s="324" t="s">
        <v>364</v>
      </c>
      <c r="M3005" s="324" t="s">
        <v>364</v>
      </c>
      <c r="N3005" s="324" t="s">
        <v>364</v>
      </c>
      <c r="O3005" s="324" t="s">
        <v>364</v>
      </c>
      <c r="P3005" s="324" t="s">
        <v>528</v>
      </c>
      <c r="Q3005" s="324"/>
      <c r="R3005" s="324">
        <v>1</v>
      </c>
      <c r="S3005" s="324">
        <v>1</v>
      </c>
      <c r="T3005" s="512" t="e">
        <f>_xlfn.XLOOKUP(H3005,#REF!,#REF!,0,0)</f>
        <v>#REF!</v>
      </c>
    </row>
    <row r="3006" spans="1:20" s="328" customFormat="1" x14ac:dyDescent="0.4">
      <c r="A3006" s="324" t="s">
        <v>533</v>
      </c>
      <c r="B3006" s="522" t="s">
        <v>534</v>
      </c>
      <c r="C3006" s="324" t="s">
        <v>434</v>
      </c>
      <c r="D3006" s="324" t="s">
        <v>447</v>
      </c>
      <c r="E3006" s="325" t="s">
        <v>10</v>
      </c>
      <c r="F3006" s="324" t="s">
        <v>68</v>
      </c>
      <c r="G3006" s="326"/>
      <c r="H3006" s="324" t="s">
        <v>535</v>
      </c>
      <c r="I3006" s="327">
        <v>73312</v>
      </c>
      <c r="J3006" s="324" t="s">
        <v>536</v>
      </c>
      <c r="K3006" s="326"/>
      <c r="L3006" s="324" t="s">
        <v>364</v>
      </c>
      <c r="M3006" s="324" t="s">
        <v>364</v>
      </c>
      <c r="N3006" s="324" t="s">
        <v>364</v>
      </c>
      <c r="O3006" s="324" t="s">
        <v>364</v>
      </c>
      <c r="P3006" s="324" t="s">
        <v>528</v>
      </c>
      <c r="Q3006" s="324"/>
      <c r="R3006" s="324">
        <v>1</v>
      </c>
      <c r="S3006" s="324">
        <v>1</v>
      </c>
      <c r="T3006" s="512" t="e">
        <f>_xlfn.XLOOKUP(H3006,#REF!,#REF!,0,0)</f>
        <v>#REF!</v>
      </c>
    </row>
    <row r="3007" spans="1:20" s="286" customFormat="1" x14ac:dyDescent="0.4">
      <c r="A3007" s="2" t="s">
        <v>374</v>
      </c>
      <c r="B3007" s="2" t="s">
        <v>375</v>
      </c>
      <c r="C3007" s="2" t="s">
        <v>433</v>
      </c>
      <c r="D3007" s="2" t="s">
        <v>447</v>
      </c>
      <c r="E3007" s="2" t="s">
        <v>366</v>
      </c>
      <c r="F3007" s="2" t="s">
        <v>367</v>
      </c>
      <c r="G3007" s="2">
        <v>45673</v>
      </c>
      <c r="H3007" s="2" t="s">
        <v>377</v>
      </c>
      <c r="I3007" s="281">
        <v>77559</v>
      </c>
      <c r="J3007" s="2" t="s">
        <v>378</v>
      </c>
      <c r="K3007" s="2">
        <v>45786</v>
      </c>
      <c r="L3007" s="2" t="s">
        <v>364</v>
      </c>
      <c r="M3007" s="2" t="s">
        <v>364</v>
      </c>
      <c r="N3007" s="2" t="s">
        <v>364</v>
      </c>
      <c r="O3007" s="2" t="s">
        <v>364</v>
      </c>
      <c r="P3007" s="2"/>
      <c r="Q3007" s="281" t="str">
        <f>IF(A3007="SCORTA 10",1,"")</f>
        <v/>
      </c>
      <c r="R3007" s="1">
        <f t="shared" ref="R3007:S3011" si="114">IF(H3007&lt;&gt;"",1,"")</f>
        <v>1</v>
      </c>
      <c r="S3007" s="1">
        <f t="shared" si="114"/>
        <v>1</v>
      </c>
      <c r="T3007" s="512" t="e">
        <f>_xlfn.XLOOKUP(H3007,#REF!,#REF!,0,0)</f>
        <v>#REF!</v>
      </c>
    </row>
    <row r="3008" spans="1:20" s="376" customFormat="1" ht="18.75" customHeight="1" x14ac:dyDescent="0.4">
      <c r="A3008" s="1" t="s">
        <v>445</v>
      </c>
      <c r="B3008" s="376" t="s">
        <v>446</v>
      </c>
      <c r="C3008" s="1" t="s">
        <v>433</v>
      </c>
      <c r="D3008" s="1" t="s">
        <v>447</v>
      </c>
      <c r="E3008" s="1" t="s">
        <v>10</v>
      </c>
      <c r="F3008" s="1" t="s">
        <v>437</v>
      </c>
      <c r="G3008" s="2">
        <v>45765</v>
      </c>
      <c r="H3008" s="1" t="s">
        <v>448</v>
      </c>
      <c r="I3008" s="1">
        <v>77360</v>
      </c>
      <c r="J3008" s="1" t="s">
        <v>449</v>
      </c>
      <c r="K3008" s="291">
        <v>45905</v>
      </c>
      <c r="L3008" s="1" t="s">
        <v>364</v>
      </c>
      <c r="M3008" s="1" t="s">
        <v>364</v>
      </c>
      <c r="N3008" s="1" t="s">
        <v>364</v>
      </c>
      <c r="O3008" s="1" t="s">
        <v>364</v>
      </c>
      <c r="P3008" s="1" t="s">
        <v>11648</v>
      </c>
      <c r="Q3008" s="1" t="str">
        <f>IF(A3008="SCORTA 10",1,"")</f>
        <v/>
      </c>
      <c r="R3008" s="1">
        <f t="shared" si="114"/>
        <v>1</v>
      </c>
      <c r="S3008" s="1">
        <f t="shared" si="114"/>
        <v>1</v>
      </c>
      <c r="T3008" s="512" t="e">
        <f>_xlfn.XLOOKUP(H3008,#REF!,#REF!,0,0)</f>
        <v>#REF!</v>
      </c>
    </row>
    <row r="3009" spans="1:20" s="286" customFormat="1" x14ac:dyDescent="0.4">
      <c r="A3009" s="281" t="s">
        <v>394</v>
      </c>
      <c r="B3009" s="281" t="s">
        <v>395</v>
      </c>
      <c r="C3009" s="281" t="s">
        <v>433</v>
      </c>
      <c r="D3009" s="2" t="s">
        <v>455</v>
      </c>
      <c r="E3009" s="281" t="s">
        <v>366</v>
      </c>
      <c r="F3009" s="281" t="s">
        <v>367</v>
      </c>
      <c r="G3009" s="2">
        <v>45751</v>
      </c>
      <c r="H3009" s="281" t="s">
        <v>396</v>
      </c>
      <c r="I3009" s="281">
        <v>77415</v>
      </c>
      <c r="J3009" s="281" t="s">
        <v>397</v>
      </c>
      <c r="K3009" s="281" t="s">
        <v>11641</v>
      </c>
      <c r="L3009" s="281" t="s">
        <v>364</v>
      </c>
      <c r="M3009" s="281" t="s">
        <v>364</v>
      </c>
      <c r="N3009" s="281" t="s">
        <v>364</v>
      </c>
      <c r="O3009" s="281" t="s">
        <v>364</v>
      </c>
      <c r="P3009" s="281" t="s">
        <v>11642</v>
      </c>
      <c r="Q3009" s="281" t="str">
        <f>IF(A3009="SCORTA 10",1,"")</f>
        <v/>
      </c>
      <c r="R3009" s="1">
        <f t="shared" si="114"/>
        <v>1</v>
      </c>
      <c r="S3009" s="1">
        <f t="shared" si="114"/>
        <v>1</v>
      </c>
      <c r="T3009" s="512" t="e">
        <f>_xlfn.XLOOKUP(H3009,#REF!,#REF!,0,0)</f>
        <v>#REF!</v>
      </c>
    </row>
    <row r="3010" spans="1:20" s="286" customFormat="1" x14ac:dyDescent="0.4">
      <c r="A3010" s="2" t="s">
        <v>383</v>
      </c>
      <c r="B3010" s="2" t="s">
        <v>384</v>
      </c>
      <c r="C3010" s="281" t="s">
        <v>433</v>
      </c>
      <c r="D3010" s="1" t="s">
        <v>455</v>
      </c>
      <c r="E3010" s="2" t="s">
        <v>366</v>
      </c>
      <c r="F3010" s="2" t="s">
        <v>367</v>
      </c>
      <c r="G3010" s="2">
        <v>45673</v>
      </c>
      <c r="H3010" s="2" t="s">
        <v>385</v>
      </c>
      <c r="I3010" s="281">
        <v>77585</v>
      </c>
      <c r="J3010" s="2" t="s">
        <v>386</v>
      </c>
      <c r="K3010" s="2" t="s">
        <v>5461</v>
      </c>
      <c r="L3010" s="2" t="s">
        <v>364</v>
      </c>
      <c r="M3010" s="2" t="s">
        <v>364</v>
      </c>
      <c r="N3010" s="2" t="s">
        <v>364</v>
      </c>
      <c r="O3010" s="2" t="s">
        <v>364</v>
      </c>
      <c r="P3010" s="2"/>
      <c r="Q3010" s="281" t="str">
        <f>IF(A3010="SCORTA 10",1,"")</f>
        <v/>
      </c>
      <c r="R3010" s="1">
        <f t="shared" si="114"/>
        <v>1</v>
      </c>
      <c r="S3010" s="1">
        <f t="shared" si="114"/>
        <v>1</v>
      </c>
      <c r="T3010" s="512" t="e">
        <f>_xlfn.XLOOKUP(H3010,#REF!,#REF!,0,0)</f>
        <v>#REF!</v>
      </c>
    </row>
    <row r="3011" spans="1:20" s="286" customFormat="1" x14ac:dyDescent="0.4">
      <c r="A3011" s="2" t="s">
        <v>387</v>
      </c>
      <c r="B3011" s="2" t="s">
        <v>388</v>
      </c>
      <c r="C3011" s="281" t="s">
        <v>433</v>
      </c>
      <c r="D3011" s="2" t="s">
        <v>455</v>
      </c>
      <c r="E3011" s="2" t="s">
        <v>366</v>
      </c>
      <c r="F3011" s="2" t="s">
        <v>367</v>
      </c>
      <c r="G3011" s="2">
        <v>45673</v>
      </c>
      <c r="H3011" s="2" t="s">
        <v>389</v>
      </c>
      <c r="I3011" s="281">
        <v>77593</v>
      </c>
      <c r="J3011" s="2" t="s">
        <v>390</v>
      </c>
      <c r="K3011" s="2" t="s">
        <v>11638</v>
      </c>
      <c r="L3011" s="2" t="s">
        <v>364</v>
      </c>
      <c r="M3011" s="2" t="s">
        <v>364</v>
      </c>
      <c r="N3011" s="2" t="s">
        <v>364</v>
      </c>
      <c r="O3011" s="2" t="s">
        <v>364</v>
      </c>
      <c r="P3011" s="2" t="s">
        <v>523</v>
      </c>
      <c r="Q3011" s="281" t="str">
        <f>IF(A3011="SCORTA 10",1,"")</f>
        <v/>
      </c>
      <c r="R3011" s="1">
        <f t="shared" si="114"/>
        <v>1</v>
      </c>
      <c r="S3011" s="1">
        <f t="shared" si="114"/>
        <v>1</v>
      </c>
      <c r="T3011" s="512" t="e">
        <f>_xlfn.XLOOKUP(H3011,#REF!,#REF!,0,0)</f>
        <v>#REF!</v>
      </c>
    </row>
    <row r="3012" spans="1:20" s="328" customFormat="1" x14ac:dyDescent="0.4">
      <c r="A3012" s="324" t="s">
        <v>543</v>
      </c>
      <c r="B3012" s="522" t="s">
        <v>544</v>
      </c>
      <c r="C3012" s="324" t="s">
        <v>431</v>
      </c>
      <c r="D3012" s="324" t="s">
        <v>447</v>
      </c>
      <c r="E3012" s="325" t="s">
        <v>10</v>
      </c>
      <c r="F3012" s="324" t="s">
        <v>68</v>
      </c>
      <c r="G3012" s="326" t="s">
        <v>864</v>
      </c>
      <c r="H3012" s="324" t="s">
        <v>545</v>
      </c>
      <c r="I3012" s="327">
        <v>76173</v>
      </c>
      <c r="J3012" s="324"/>
      <c r="K3012" s="326">
        <v>45909</v>
      </c>
      <c r="L3012" s="324" t="s">
        <v>364</v>
      </c>
      <c r="M3012" s="324" t="s">
        <v>364</v>
      </c>
      <c r="N3012" s="324" t="s">
        <v>364</v>
      </c>
      <c r="O3012" s="324"/>
      <c r="P3012" s="324"/>
      <c r="Q3012" s="324">
        <v>1</v>
      </c>
      <c r="R3012" s="324"/>
      <c r="S3012" s="324"/>
      <c r="T3012" s="512" t="e">
        <f>_xlfn.XLOOKUP(H3012,#REF!,#REF!,0,0)</f>
        <v>#REF!</v>
      </c>
    </row>
    <row r="3013" spans="1:20" s="328" customFormat="1" x14ac:dyDescent="0.4">
      <c r="A3013" s="324" t="s">
        <v>550</v>
      </c>
      <c r="B3013" s="522" t="s">
        <v>11636</v>
      </c>
      <c r="C3013" s="324" t="s">
        <v>431</v>
      </c>
      <c r="D3013" s="324" t="s">
        <v>447</v>
      </c>
      <c r="E3013" s="325" t="s">
        <v>10</v>
      </c>
      <c r="F3013" s="324" t="s">
        <v>244</v>
      </c>
      <c r="G3013" s="326"/>
      <c r="H3013" s="324" t="s">
        <v>551</v>
      </c>
      <c r="I3013" s="327">
        <v>73338</v>
      </c>
      <c r="J3013" s="324" t="s">
        <v>552</v>
      </c>
      <c r="K3013" s="326">
        <v>45909</v>
      </c>
      <c r="L3013" s="324" t="s">
        <v>364</v>
      </c>
      <c r="M3013" s="324" t="s">
        <v>364</v>
      </c>
      <c r="N3013" s="324" t="s">
        <v>364</v>
      </c>
      <c r="O3013" s="324"/>
      <c r="P3013" s="324" t="s">
        <v>11647</v>
      </c>
      <c r="Q3013" s="324">
        <v>1</v>
      </c>
      <c r="R3013" s="324"/>
      <c r="S3013" s="324"/>
      <c r="T3013" s="512" t="e">
        <f>_xlfn.XLOOKUP(H3013,#REF!,#REF!,0,0)</f>
        <v>#REF!</v>
      </c>
    </row>
    <row r="3014" spans="1:20" s="328" customFormat="1" x14ac:dyDescent="0.4">
      <c r="A3014" s="324" t="s">
        <v>537</v>
      </c>
      <c r="B3014" s="522" t="s">
        <v>538</v>
      </c>
      <c r="C3014" s="324" t="s">
        <v>431</v>
      </c>
      <c r="D3014" s="324" t="s">
        <v>455</v>
      </c>
      <c r="E3014" s="325" t="s">
        <v>10</v>
      </c>
      <c r="F3014" s="324" t="s">
        <v>539</v>
      </c>
      <c r="G3014" s="326" t="s">
        <v>864</v>
      </c>
      <c r="H3014" s="324" t="s">
        <v>540</v>
      </c>
      <c r="I3014" s="327">
        <v>72271</v>
      </c>
      <c r="J3014" s="324" t="s">
        <v>541</v>
      </c>
      <c r="K3014" s="326">
        <v>45909</v>
      </c>
      <c r="L3014" s="324" t="s">
        <v>364</v>
      </c>
      <c r="M3014" s="324" t="s">
        <v>364</v>
      </c>
      <c r="N3014" s="324" t="s">
        <v>364</v>
      </c>
      <c r="O3014" s="324"/>
      <c r="P3014" s="528" t="s">
        <v>542</v>
      </c>
      <c r="Q3014" s="324">
        <v>1</v>
      </c>
      <c r="R3014" s="324"/>
      <c r="S3014" s="324"/>
      <c r="T3014" s="512" t="e">
        <f>_xlfn.XLOOKUP(H3014,#REF!,#REF!,0,0)</f>
        <v>#REF!</v>
      </c>
    </row>
    <row r="3015" spans="1:20" s="328" customFormat="1" x14ac:dyDescent="0.4">
      <c r="A3015" s="324" t="s">
        <v>558</v>
      </c>
      <c r="B3015" s="522" t="s">
        <v>559</v>
      </c>
      <c r="C3015" s="324" t="s">
        <v>431</v>
      </c>
      <c r="D3015" s="324" t="s">
        <v>455</v>
      </c>
      <c r="E3015" s="325" t="s">
        <v>10</v>
      </c>
      <c r="F3015" s="324" t="s">
        <v>560</v>
      </c>
      <c r="G3015" s="326" t="s">
        <v>864</v>
      </c>
      <c r="H3015" s="324" t="s">
        <v>561</v>
      </c>
      <c r="I3015" s="327">
        <v>73294</v>
      </c>
      <c r="J3015" s="324"/>
      <c r="K3015" s="326">
        <v>45909</v>
      </c>
      <c r="L3015" s="324" t="s">
        <v>364</v>
      </c>
      <c r="M3015" s="324" t="s">
        <v>364</v>
      </c>
      <c r="N3015" s="324" t="s">
        <v>364</v>
      </c>
      <c r="O3015" s="324"/>
      <c r="P3015" s="324"/>
      <c r="Q3015" s="324">
        <v>1</v>
      </c>
      <c r="R3015" s="324"/>
      <c r="S3015" s="324"/>
      <c r="T3015" s="512" t="e">
        <f>_xlfn.XLOOKUP(H3015,#REF!,#REF!,0,0)</f>
        <v>#REF!</v>
      </c>
    </row>
    <row r="3016" spans="1:20" s="328" customFormat="1" x14ac:dyDescent="0.4">
      <c r="A3016" s="324" t="s">
        <v>562</v>
      </c>
      <c r="B3016" s="522" t="s">
        <v>563</v>
      </c>
      <c r="C3016" s="324" t="s">
        <v>431</v>
      </c>
      <c r="D3016" s="324" t="s">
        <v>455</v>
      </c>
      <c r="E3016" s="325" t="s">
        <v>10</v>
      </c>
      <c r="F3016" s="324" t="s">
        <v>560</v>
      </c>
      <c r="G3016" s="326"/>
      <c r="H3016" s="324" t="s">
        <v>564</v>
      </c>
      <c r="I3016" s="327">
        <v>72444</v>
      </c>
      <c r="J3016" s="324"/>
      <c r="K3016" s="326">
        <v>45909</v>
      </c>
      <c r="L3016" s="324" t="s">
        <v>364</v>
      </c>
      <c r="M3016" s="324" t="s">
        <v>364</v>
      </c>
      <c r="N3016" s="324" t="s">
        <v>364</v>
      </c>
      <c r="O3016" s="324"/>
      <c r="P3016" s="324"/>
      <c r="Q3016" s="324">
        <v>1</v>
      </c>
      <c r="R3016" s="324"/>
      <c r="S3016" s="324"/>
      <c r="T3016" s="512" t="e">
        <f>_xlfn.XLOOKUP(H3016,#REF!,#REF!,0,0)</f>
        <v>#REF!</v>
      </c>
    </row>
    <row r="3017" spans="1:20" s="328" customFormat="1" x14ac:dyDescent="0.4">
      <c r="A3017" s="324" t="s">
        <v>556</v>
      </c>
      <c r="B3017" s="522" t="s">
        <v>11640</v>
      </c>
      <c r="C3017" s="324" t="s">
        <v>434</v>
      </c>
      <c r="D3017" s="324" t="s">
        <v>455</v>
      </c>
      <c r="E3017" s="325" t="s">
        <v>366</v>
      </c>
      <c r="F3017" s="324" t="s">
        <v>367</v>
      </c>
      <c r="G3017" s="326"/>
      <c r="H3017" s="324" t="s">
        <v>557</v>
      </c>
      <c r="I3017" s="327">
        <v>77395</v>
      </c>
      <c r="J3017" s="324"/>
      <c r="K3017" s="326" t="s">
        <v>11650</v>
      </c>
      <c r="L3017" s="324" t="s">
        <v>364</v>
      </c>
      <c r="M3017" s="324" t="s">
        <v>364</v>
      </c>
      <c r="N3017" s="324" t="s">
        <v>364</v>
      </c>
      <c r="O3017" s="324" t="s">
        <v>364</v>
      </c>
      <c r="P3017" s="324" t="s">
        <v>11649</v>
      </c>
      <c r="Q3017" s="324"/>
      <c r="R3017" s="324">
        <v>1</v>
      </c>
      <c r="S3017" s="324">
        <v>1</v>
      </c>
      <c r="T3017" s="512" t="e">
        <f>_xlfn.XLOOKUP(H3017,#REF!,#REF!,0,0)</f>
        <v>#REF!</v>
      </c>
    </row>
    <row r="3018" spans="1:20" s="376" customFormat="1" ht="18.75" customHeight="1" x14ac:dyDescent="0.4">
      <c r="A3018" s="1" t="s">
        <v>454</v>
      </c>
      <c r="B3018" s="1" t="s">
        <v>462</v>
      </c>
      <c r="C3018" s="1" t="s">
        <v>433</v>
      </c>
      <c r="D3018" s="1" t="s">
        <v>455</v>
      </c>
      <c r="E3018" s="1" t="s">
        <v>10</v>
      </c>
      <c r="F3018" s="1" t="s">
        <v>437</v>
      </c>
      <c r="G3018" s="2">
        <v>45765</v>
      </c>
      <c r="H3018" s="1" t="s">
        <v>456</v>
      </c>
      <c r="I3018" s="1">
        <v>77362</v>
      </c>
      <c r="J3018" s="1" t="s">
        <v>457</v>
      </c>
      <c r="K3018" s="1" t="s">
        <v>11637</v>
      </c>
      <c r="L3018" s="1" t="s">
        <v>364</v>
      </c>
      <c r="M3018" s="1" t="s">
        <v>364</v>
      </c>
      <c r="N3018" s="1" t="s">
        <v>364</v>
      </c>
      <c r="O3018" s="1" t="s">
        <v>364</v>
      </c>
      <c r="P3018" s="293" t="s">
        <v>465</v>
      </c>
      <c r="Q3018" s="1" t="str">
        <f t="shared" ref="Q3018:Q3023" si="115">IF(A3018="SCORTA 10",1,"")</f>
        <v/>
      </c>
      <c r="R3018" s="1">
        <f t="shared" ref="R3018:R3023" si="116">IF(H3018&lt;&gt;"",1,"")</f>
        <v>1</v>
      </c>
      <c r="S3018" s="1">
        <f t="shared" ref="S3018:S3029" si="117">IF(I3018&lt;&gt;"",1,"")</f>
        <v>1</v>
      </c>
      <c r="T3018" s="512" t="e">
        <f>_xlfn.XLOOKUP(H3018,#REF!,#REF!,0,0)</f>
        <v>#REF!</v>
      </c>
    </row>
    <row r="3019" spans="1:20" s="376" customFormat="1" ht="18.75" customHeight="1" x14ac:dyDescent="0.4">
      <c r="A3019" s="1" t="s">
        <v>458</v>
      </c>
      <c r="B3019" s="1" t="s">
        <v>11646</v>
      </c>
      <c r="C3019" s="1" t="s">
        <v>433</v>
      </c>
      <c r="D3019" s="1" t="s">
        <v>455</v>
      </c>
      <c r="E3019" s="1" t="s">
        <v>10</v>
      </c>
      <c r="F3019" s="1" t="s">
        <v>437</v>
      </c>
      <c r="G3019" s="2">
        <v>45765</v>
      </c>
      <c r="H3019" s="1" t="s">
        <v>460</v>
      </c>
      <c r="I3019" s="1">
        <v>77363</v>
      </c>
      <c r="J3019" s="1" t="s">
        <v>461</v>
      </c>
      <c r="K3019" s="1" t="s">
        <v>11655</v>
      </c>
      <c r="L3019" s="1" t="s">
        <v>364</v>
      </c>
      <c r="M3019" s="1" t="s">
        <v>364</v>
      </c>
      <c r="N3019" s="1" t="s">
        <v>364</v>
      </c>
      <c r="O3019" s="1" t="s">
        <v>364</v>
      </c>
      <c r="P3019" s="293" t="s">
        <v>5255</v>
      </c>
      <c r="Q3019" s="1" t="str">
        <f t="shared" si="115"/>
        <v/>
      </c>
      <c r="R3019" s="1">
        <f t="shared" si="116"/>
        <v>1</v>
      </c>
      <c r="S3019" s="1">
        <f t="shared" si="117"/>
        <v>1</v>
      </c>
      <c r="T3019" s="512" t="e">
        <f>_xlfn.XLOOKUP(H3019,#REF!,#REF!,0,0)</f>
        <v>#REF!</v>
      </c>
    </row>
    <row r="3020" spans="1:20" s="286" customFormat="1" x14ac:dyDescent="0.4">
      <c r="A3020" s="2" t="s">
        <v>391</v>
      </c>
      <c r="B3020" s="2" t="s">
        <v>11654</v>
      </c>
      <c r="C3020" s="2" t="s">
        <v>433</v>
      </c>
      <c r="D3020" s="1" t="s">
        <v>455</v>
      </c>
      <c r="E3020" s="2" t="s">
        <v>366</v>
      </c>
      <c r="F3020" s="2" t="s">
        <v>367</v>
      </c>
      <c r="G3020" s="2">
        <v>45673</v>
      </c>
      <c r="H3020" s="2" t="s">
        <v>392</v>
      </c>
      <c r="I3020" s="281">
        <v>77604</v>
      </c>
      <c r="J3020" s="2" t="s">
        <v>393</v>
      </c>
      <c r="K3020" s="2"/>
      <c r="L3020" s="1" t="s">
        <v>364</v>
      </c>
      <c r="M3020" s="1" t="s">
        <v>364</v>
      </c>
      <c r="N3020" s="1" t="s">
        <v>364</v>
      </c>
      <c r="O3020" s="1" t="s">
        <v>364</v>
      </c>
      <c r="P3020" s="2"/>
      <c r="Q3020" s="281" t="str">
        <f t="shared" si="115"/>
        <v/>
      </c>
      <c r="R3020" s="1">
        <f t="shared" si="116"/>
        <v>1</v>
      </c>
      <c r="S3020" s="1">
        <f t="shared" si="117"/>
        <v>1</v>
      </c>
      <c r="T3020" s="512" t="e">
        <f>_xlfn.XLOOKUP(H3020,#REF!,#REF!,0,0)</f>
        <v>#REF!</v>
      </c>
    </row>
    <row r="3021" spans="1:20" s="286" customFormat="1" x14ac:dyDescent="0.4">
      <c r="A3021" s="281" t="s">
        <v>398</v>
      </c>
      <c r="B3021" s="281" t="s">
        <v>11651</v>
      </c>
      <c r="C3021" s="281" t="s">
        <v>433</v>
      </c>
      <c r="D3021" s="1" t="s">
        <v>455</v>
      </c>
      <c r="E3021" s="281" t="s">
        <v>366</v>
      </c>
      <c r="F3021" s="281" t="s">
        <v>367</v>
      </c>
      <c r="G3021" s="2">
        <v>45751</v>
      </c>
      <c r="H3021" s="281" t="s">
        <v>399</v>
      </c>
      <c r="I3021" s="281">
        <v>77416</v>
      </c>
      <c r="J3021" s="281" t="s">
        <v>400</v>
      </c>
      <c r="K3021" s="281"/>
      <c r="L3021" s="1" t="s">
        <v>364</v>
      </c>
      <c r="M3021" s="1" t="s">
        <v>364</v>
      </c>
      <c r="N3021" s="1" t="s">
        <v>364</v>
      </c>
      <c r="O3021" s="1" t="s">
        <v>364</v>
      </c>
      <c r="P3021" s="281"/>
      <c r="Q3021" s="281" t="str">
        <f t="shared" si="115"/>
        <v/>
      </c>
      <c r="R3021" s="1">
        <f t="shared" si="116"/>
        <v>1</v>
      </c>
      <c r="S3021" s="1">
        <f t="shared" si="117"/>
        <v>1</v>
      </c>
      <c r="T3021" s="512" t="e">
        <f>_xlfn.XLOOKUP(H3021,#REF!,#REF!,0,0)</f>
        <v>#REF!</v>
      </c>
    </row>
    <row r="3022" spans="1:20" s="286" customFormat="1" x14ac:dyDescent="0.4">
      <c r="A3022" s="281" t="s">
        <v>11656</v>
      </c>
      <c r="B3022" s="281" t="s">
        <v>11653</v>
      </c>
      <c r="C3022" s="281" t="s">
        <v>433</v>
      </c>
      <c r="D3022" s="1" t="s">
        <v>455</v>
      </c>
      <c r="E3022" s="281" t="s">
        <v>366</v>
      </c>
      <c r="F3022" s="281" t="s">
        <v>367</v>
      </c>
      <c r="G3022" s="2">
        <v>45751</v>
      </c>
      <c r="H3022" s="281" t="s">
        <v>402</v>
      </c>
      <c r="I3022" s="281">
        <v>77417</v>
      </c>
      <c r="J3022" s="281"/>
      <c r="K3022" s="281"/>
      <c r="L3022" s="1" t="s">
        <v>364</v>
      </c>
      <c r="M3022" s="1" t="s">
        <v>364</v>
      </c>
      <c r="N3022" s="1" t="s">
        <v>364</v>
      </c>
      <c r="O3022" s="1" t="s">
        <v>364</v>
      </c>
      <c r="P3022" s="281"/>
      <c r="Q3022" s="281" t="str">
        <f t="shared" si="115"/>
        <v/>
      </c>
      <c r="R3022" s="1">
        <f t="shared" si="116"/>
        <v>1</v>
      </c>
      <c r="S3022" s="1">
        <f t="shared" si="117"/>
        <v>1</v>
      </c>
      <c r="T3022" s="512" t="e">
        <f>_xlfn.XLOOKUP(H3022,#REF!,#REF!,0,0)</f>
        <v>#REF!</v>
      </c>
    </row>
    <row r="3023" spans="1:20" s="286" customFormat="1" x14ac:dyDescent="0.4">
      <c r="A3023" s="281" t="s">
        <v>11682</v>
      </c>
      <c r="B3023" s="281" t="s">
        <v>11676</v>
      </c>
      <c r="C3023" s="281" t="s">
        <v>433</v>
      </c>
      <c r="D3023" s="1" t="s">
        <v>455</v>
      </c>
      <c r="E3023" s="281" t="s">
        <v>366</v>
      </c>
      <c r="F3023" s="281" t="s">
        <v>367</v>
      </c>
      <c r="G3023" s="2">
        <v>45751</v>
      </c>
      <c r="H3023" s="281" t="s">
        <v>11659</v>
      </c>
      <c r="I3023" s="281">
        <v>77418</v>
      </c>
      <c r="J3023" s="281" t="s">
        <v>11670</v>
      </c>
      <c r="K3023" s="281"/>
      <c r="L3023" s="281" t="s">
        <v>364</v>
      </c>
      <c r="M3023" s="281" t="s">
        <v>364</v>
      </c>
      <c r="N3023" s="281" t="s">
        <v>364</v>
      </c>
      <c r="O3023" s="281" t="s">
        <v>364</v>
      </c>
      <c r="P3023" s="281"/>
      <c r="Q3023" s="281" t="str">
        <f t="shared" si="115"/>
        <v/>
      </c>
      <c r="R3023" s="1">
        <f t="shared" si="116"/>
        <v>1</v>
      </c>
      <c r="S3023" s="1">
        <f t="shared" si="117"/>
        <v>1</v>
      </c>
      <c r="T3023" s="512" t="e">
        <f>_xlfn.XLOOKUP(H3023,#REF!,#REF!,0,0)</f>
        <v>#REF!</v>
      </c>
    </row>
    <row r="3024" spans="1:20" s="286" customFormat="1" x14ac:dyDescent="0.4">
      <c r="A3024" s="281" t="s">
        <v>11681</v>
      </c>
      <c r="B3024" s="1" t="s">
        <v>11713</v>
      </c>
      <c r="C3024" s="281" t="s">
        <v>433</v>
      </c>
      <c r="D3024" s="1" t="s">
        <v>455</v>
      </c>
      <c r="E3024" s="281" t="s">
        <v>366</v>
      </c>
      <c r="F3024" s="281" t="s">
        <v>367</v>
      </c>
      <c r="G3024" s="2">
        <v>45751</v>
      </c>
      <c r="H3024" s="281" t="s">
        <v>403</v>
      </c>
      <c r="I3024" s="281">
        <v>77419</v>
      </c>
      <c r="J3024" s="281" t="s">
        <v>11671</v>
      </c>
      <c r="K3024" s="281" t="s">
        <v>11720</v>
      </c>
      <c r="L3024" s="281" t="s">
        <v>364</v>
      </c>
      <c r="M3024" s="281" t="s">
        <v>364</v>
      </c>
      <c r="N3024" s="281" t="s">
        <v>364</v>
      </c>
      <c r="O3024" s="281" t="s">
        <v>364</v>
      </c>
      <c r="P3024" s="281" t="s">
        <v>11722</v>
      </c>
      <c r="Q3024" s="281" t="str">
        <f>IF(A3024="SCORTA 10",1,"")</f>
        <v/>
      </c>
      <c r="R3024" s="1">
        <f t="shared" ref="R3024:R3029" si="118">IF(H3024&lt;&gt;"",1,"")</f>
        <v>1</v>
      </c>
      <c r="S3024" s="1">
        <f t="shared" si="117"/>
        <v>1</v>
      </c>
      <c r="T3024" s="512" t="e">
        <f>_xlfn.XLOOKUP(H3024,#REF!,#REF!,0,0)</f>
        <v>#REF!</v>
      </c>
    </row>
    <row r="3025" spans="1:79" s="7" customFormat="1" x14ac:dyDescent="0.4">
      <c r="A3025" s="2" t="s">
        <v>11658</v>
      </c>
      <c r="B3025" s="2" t="s">
        <v>12233</v>
      </c>
      <c r="C3025" s="281" t="s">
        <v>433</v>
      </c>
      <c r="D3025" s="1" t="s">
        <v>455</v>
      </c>
      <c r="E3025" s="2" t="s">
        <v>366</v>
      </c>
      <c r="F3025" s="2" t="s">
        <v>367</v>
      </c>
      <c r="G3025" s="2">
        <v>45673</v>
      </c>
      <c r="H3025" s="2" t="s">
        <v>493</v>
      </c>
      <c r="I3025" s="281">
        <v>77574</v>
      </c>
      <c r="J3025" s="2"/>
      <c r="K3025" s="2" t="s">
        <v>11683</v>
      </c>
      <c r="L3025" s="2" t="s">
        <v>364</v>
      </c>
      <c r="M3025" s="2" t="s">
        <v>364</v>
      </c>
      <c r="N3025" s="2" t="s">
        <v>364</v>
      </c>
      <c r="O3025" s="2" t="s">
        <v>364</v>
      </c>
      <c r="P3025" s="2"/>
      <c r="Q3025" s="1"/>
      <c r="R3025" s="281">
        <f t="shared" si="118"/>
        <v>1</v>
      </c>
      <c r="S3025" s="281">
        <f t="shared" si="117"/>
        <v>1</v>
      </c>
      <c r="T3025" s="512" t="e">
        <f>_xlfn.XLOOKUP(H3025,#REF!,#REF!,0,0)</f>
        <v>#REF!</v>
      </c>
    </row>
    <row r="3026" spans="1:79" s="376" customFormat="1" ht="18.75" customHeight="1" x14ac:dyDescent="0.4">
      <c r="A3026" s="1" t="s">
        <v>450</v>
      </c>
      <c r="B3026" s="1" t="s">
        <v>451</v>
      </c>
      <c r="C3026" s="281" t="s">
        <v>433</v>
      </c>
      <c r="D3026" s="1" t="s">
        <v>447</v>
      </c>
      <c r="E3026" s="1" t="s">
        <v>10</v>
      </c>
      <c r="F3026" s="1" t="s">
        <v>437</v>
      </c>
      <c r="G3026" s="2">
        <v>45765</v>
      </c>
      <c r="H3026" s="1" t="s">
        <v>452</v>
      </c>
      <c r="I3026" s="1">
        <v>77361</v>
      </c>
      <c r="J3026" s="1" t="s">
        <v>453</v>
      </c>
      <c r="K3026" s="291" t="s">
        <v>11645</v>
      </c>
      <c r="L3026" s="1" t="s">
        <v>364</v>
      </c>
      <c r="M3026" s="1" t="s">
        <v>364</v>
      </c>
      <c r="N3026" s="1" t="s">
        <v>364</v>
      </c>
      <c r="O3026" s="1" t="s">
        <v>364</v>
      </c>
      <c r="P3026" s="1" t="s">
        <v>11699</v>
      </c>
      <c r="Q3026" s="1" t="str">
        <f>IF(A3026="SCORTA 10",1,"")</f>
        <v/>
      </c>
      <c r="R3026" s="1">
        <f t="shared" si="118"/>
        <v>1</v>
      </c>
      <c r="S3026" s="1">
        <f t="shared" si="117"/>
        <v>1</v>
      </c>
      <c r="T3026" s="512" t="e">
        <f>_xlfn.XLOOKUP(H3026,#REF!,#REF!,0,0)</f>
        <v>#REF!</v>
      </c>
    </row>
    <row r="3027" spans="1:79" s="376" customFormat="1" ht="18.75" customHeight="1" x14ac:dyDescent="0.4">
      <c r="A3027" s="1" t="s">
        <v>11644</v>
      </c>
      <c r="B3027" s="376" t="s">
        <v>11700</v>
      </c>
      <c r="C3027" s="281" t="s">
        <v>433</v>
      </c>
      <c r="D3027" s="1" t="s">
        <v>447</v>
      </c>
      <c r="E3027" s="1" t="s">
        <v>10</v>
      </c>
      <c r="F3027" s="1" t="s">
        <v>437</v>
      </c>
      <c r="G3027" s="2">
        <v>45765</v>
      </c>
      <c r="H3027" s="1" t="s">
        <v>463</v>
      </c>
      <c r="I3027" s="1">
        <v>77364</v>
      </c>
      <c r="J3027" s="1" t="s">
        <v>464</v>
      </c>
      <c r="K3027" s="291" t="s">
        <v>11702</v>
      </c>
      <c r="L3027" s="2" t="s">
        <v>364</v>
      </c>
      <c r="M3027" s="2" t="s">
        <v>364</v>
      </c>
      <c r="N3027" s="2" t="s">
        <v>364</v>
      </c>
      <c r="O3027" s="2" t="s">
        <v>364</v>
      </c>
      <c r="P3027" s="293" t="s">
        <v>11701</v>
      </c>
      <c r="Q3027" s="1" t="str">
        <f>IF(A3027="SCORTA 10",1,"")</f>
        <v/>
      </c>
      <c r="R3027" s="1">
        <f t="shared" si="118"/>
        <v>1</v>
      </c>
      <c r="S3027" s="1">
        <f t="shared" si="117"/>
        <v>1</v>
      </c>
      <c r="T3027" s="512" t="e">
        <f>_xlfn.XLOOKUP(H3027,#REF!,#REF!,0,0)</f>
        <v>#REF!</v>
      </c>
    </row>
    <row r="3028" spans="1:79" s="286" customFormat="1" x14ac:dyDescent="0.4">
      <c r="A3028" s="281" t="s">
        <v>11679</v>
      </c>
      <c r="B3028" s="281" t="s">
        <v>11709</v>
      </c>
      <c r="C3028" s="2" t="s">
        <v>433</v>
      </c>
      <c r="D3028" s="1" t="s">
        <v>455</v>
      </c>
      <c r="E3028" s="281" t="s">
        <v>366</v>
      </c>
      <c r="F3028" s="281" t="s">
        <v>367</v>
      </c>
      <c r="G3028" s="2">
        <v>45751</v>
      </c>
      <c r="H3028" s="281" t="s">
        <v>404</v>
      </c>
      <c r="I3028" s="281">
        <v>77420</v>
      </c>
      <c r="J3028" s="281" t="s">
        <v>11672</v>
      </c>
      <c r="K3028" s="281" t="s">
        <v>11721</v>
      </c>
      <c r="L3028" s="1" t="s">
        <v>364</v>
      </c>
      <c r="M3028" s="1" t="s">
        <v>364</v>
      </c>
      <c r="N3028" s="1" t="s">
        <v>364</v>
      </c>
      <c r="O3028" s="1" t="s">
        <v>364</v>
      </c>
      <c r="P3028" s="550" t="s">
        <v>11723</v>
      </c>
      <c r="Q3028" s="281" t="str">
        <f>IF(A3028="SCORTA 10",1,"")</f>
        <v/>
      </c>
      <c r="R3028" s="1">
        <f t="shared" si="118"/>
        <v>1</v>
      </c>
      <c r="S3028" s="1">
        <f t="shared" si="117"/>
        <v>1</v>
      </c>
      <c r="T3028" s="512" t="e">
        <f>_xlfn.XLOOKUP(H3028,#REF!,#REF!,0,0)</f>
        <v>#REF!</v>
      </c>
    </row>
    <row r="3029" spans="1:79" s="376" customFormat="1" ht="18.75" customHeight="1" x14ac:dyDescent="0.4">
      <c r="A3029" s="1" t="s">
        <v>11660</v>
      </c>
      <c r="B3029" s="522" t="s">
        <v>468</v>
      </c>
      <c r="C3029" s="2" t="s">
        <v>433</v>
      </c>
      <c r="D3029" s="1" t="s">
        <v>455</v>
      </c>
      <c r="E3029" s="1" t="s">
        <v>10</v>
      </c>
      <c r="F3029" s="1" t="s">
        <v>437</v>
      </c>
      <c r="G3029" s="2">
        <v>45765</v>
      </c>
      <c r="H3029" s="1" t="s">
        <v>466</v>
      </c>
      <c r="I3029" s="1">
        <v>77365</v>
      </c>
      <c r="J3029" s="1" t="s">
        <v>11665</v>
      </c>
      <c r="K3029" s="1" t="s">
        <v>11715</v>
      </c>
      <c r="L3029" s="2" t="s">
        <v>364</v>
      </c>
      <c r="M3029" s="2" t="s">
        <v>364</v>
      </c>
      <c r="N3029" s="2" t="s">
        <v>364</v>
      </c>
      <c r="O3029" s="2" t="s">
        <v>364</v>
      </c>
      <c r="P3029" s="293" t="s">
        <v>11714</v>
      </c>
      <c r="Q3029" s="1" t="str">
        <f>IF(A3029="SCORTA 10",1,"")</f>
        <v/>
      </c>
      <c r="R3029" s="1">
        <f t="shared" si="118"/>
        <v>1</v>
      </c>
      <c r="S3029" s="1">
        <f t="shared" si="117"/>
        <v>1</v>
      </c>
      <c r="T3029" s="512" t="e">
        <f>_xlfn.XLOOKUP(H3029,#REF!,#REF!,0,0)</f>
        <v>#REF!</v>
      </c>
    </row>
    <row r="3030" spans="1:79" s="328" customFormat="1" x14ac:dyDescent="0.4">
      <c r="A3030" s="324" t="s">
        <v>529</v>
      </c>
      <c r="B3030" s="522" t="s">
        <v>11639</v>
      </c>
      <c r="C3030" s="2" t="s">
        <v>433</v>
      </c>
      <c r="D3030" s="1" t="s">
        <v>455</v>
      </c>
      <c r="E3030" s="325" t="s">
        <v>10</v>
      </c>
      <c r="G3030" s="324" t="s">
        <v>68</v>
      </c>
      <c r="H3030" s="324" t="s">
        <v>531</v>
      </c>
      <c r="I3030" s="327">
        <v>72460</v>
      </c>
      <c r="J3030" s="324" t="s">
        <v>532</v>
      </c>
      <c r="K3030" s="326"/>
      <c r="L3030" s="1" t="s">
        <v>364</v>
      </c>
      <c r="M3030" s="1" t="s">
        <v>364</v>
      </c>
      <c r="N3030" s="1" t="s">
        <v>364</v>
      </c>
      <c r="O3030" s="1" t="s">
        <v>364</v>
      </c>
      <c r="P3030" s="324"/>
      <c r="Q3030" s="324"/>
      <c r="R3030" s="324">
        <v>1</v>
      </c>
      <c r="S3030" s="324">
        <v>1</v>
      </c>
      <c r="T3030" s="512" t="e">
        <f>_xlfn.XLOOKUP(H3030,#REF!,#REF!,0,0)</f>
        <v>#REF!</v>
      </c>
    </row>
    <row r="3031" spans="1:79" x14ac:dyDescent="0.4">
      <c r="A3031" s="281" t="s">
        <v>11680</v>
      </c>
      <c r="B3031" s="281" t="s">
        <v>11712</v>
      </c>
      <c r="C3031" s="2" t="s">
        <v>433</v>
      </c>
      <c r="D3031" s="1" t="s">
        <v>455</v>
      </c>
      <c r="E3031" s="281" t="s">
        <v>366</v>
      </c>
      <c r="F3031" s="281" t="s">
        <v>367</v>
      </c>
      <c r="G3031" s="2">
        <v>45751</v>
      </c>
      <c r="H3031" s="281" t="s">
        <v>405</v>
      </c>
      <c r="I3031" s="281">
        <v>77421</v>
      </c>
      <c r="J3031" s="281" t="s">
        <v>11673</v>
      </c>
      <c r="K3031" s="281" t="s">
        <v>11719</v>
      </c>
      <c r="L3031" s="2" t="s">
        <v>364</v>
      </c>
      <c r="M3031" s="2" t="s">
        <v>364</v>
      </c>
      <c r="N3031" s="2" t="s">
        <v>364</v>
      </c>
      <c r="O3031" s="2" t="s">
        <v>364</v>
      </c>
      <c r="P3031" s="550" t="s">
        <v>11718</v>
      </c>
      <c r="Q3031" s="281" t="str">
        <f t="shared" ref="Q3031:Q3032" si="119">IF(A3031="SCORTA 10",1,"")</f>
        <v/>
      </c>
      <c r="R3031" s="1">
        <f t="shared" ref="R3031:R3032" si="120">IF(H3031&lt;&gt;"",1,"")</f>
        <v>1</v>
      </c>
      <c r="S3031" s="1">
        <f>IF(I3031&lt;&gt;"",1,"")</f>
        <v>1</v>
      </c>
      <c r="T3031" s="500" t="e">
        <f>_xlfn.XLOOKUP(H3031,#REF!,#REF!,0,0)</f>
        <v>#REF!</v>
      </c>
    </row>
    <row r="3032" spans="1:79" x14ac:dyDescent="0.4">
      <c r="A3032" s="281" t="s">
        <v>11678</v>
      </c>
      <c r="B3032" s="281" t="s">
        <v>11711</v>
      </c>
      <c r="C3032" s="2" t="s">
        <v>433</v>
      </c>
      <c r="D3032" s="1" t="s">
        <v>455</v>
      </c>
      <c r="E3032" s="281" t="s">
        <v>366</v>
      </c>
      <c r="F3032" s="281" t="s">
        <v>367</v>
      </c>
      <c r="G3032" s="2">
        <v>45751</v>
      </c>
      <c r="H3032" s="281" t="s">
        <v>406</v>
      </c>
      <c r="I3032" s="281">
        <v>77422</v>
      </c>
      <c r="J3032" s="281" t="s">
        <v>11674</v>
      </c>
      <c r="K3032" s="281" t="s">
        <v>11724</v>
      </c>
      <c r="L3032" s="1" t="s">
        <v>364</v>
      </c>
      <c r="M3032" s="1" t="s">
        <v>364</v>
      </c>
      <c r="N3032" s="1" t="s">
        <v>364</v>
      </c>
      <c r="O3032" s="1" t="s">
        <v>364</v>
      </c>
      <c r="P3032" s="281" t="s">
        <v>11731</v>
      </c>
      <c r="Q3032" s="281" t="str">
        <f t="shared" si="119"/>
        <v/>
      </c>
      <c r="R3032" s="1">
        <f t="shared" si="120"/>
        <v>1</v>
      </c>
      <c r="S3032" s="1">
        <f>IF(I3032&lt;&gt;"",1,"")</f>
        <v>1</v>
      </c>
      <c r="T3032" s="500" t="e">
        <f>_xlfn.XLOOKUP(H3032,#REF!,#REF!,0,0)</f>
        <v>#REF!</v>
      </c>
    </row>
    <row r="3033" spans="1:79" s="286" customFormat="1" x14ac:dyDescent="0.4">
      <c r="A3033" s="281" t="s">
        <v>11677</v>
      </c>
      <c r="B3033" s="281" t="s">
        <v>11736</v>
      </c>
      <c r="C3033" s="2" t="s">
        <v>433</v>
      </c>
      <c r="D3033" s="1" t="s">
        <v>455</v>
      </c>
      <c r="E3033" s="281" t="s">
        <v>366</v>
      </c>
      <c r="F3033" s="281" t="s">
        <v>367</v>
      </c>
      <c r="G3033" s="2">
        <v>45751</v>
      </c>
      <c r="H3033" s="281" t="s">
        <v>407</v>
      </c>
      <c r="I3033" s="281">
        <v>77423</v>
      </c>
      <c r="J3033" s="281" t="s">
        <v>11675</v>
      </c>
      <c r="K3033" s="281" t="s">
        <v>11737</v>
      </c>
      <c r="L3033" s="281" t="s">
        <v>364</v>
      </c>
      <c r="M3033" s="281" t="s">
        <v>364</v>
      </c>
      <c r="N3033" s="281" t="s">
        <v>364</v>
      </c>
      <c r="O3033" s="281" t="s">
        <v>364</v>
      </c>
      <c r="P3033" s="281"/>
      <c r="Q3033" s="281" t="str">
        <f>IF(A3033="SCORTA 10",1,"")</f>
        <v/>
      </c>
      <c r="R3033" s="1">
        <f>IF(H3033&lt;&gt;"",1,"")</f>
        <v>1</v>
      </c>
      <c r="S3033" s="1">
        <f>IF(I3033&lt;&gt;"",1,"")</f>
        <v>1</v>
      </c>
      <c r="T3033" s="512" t="e">
        <f>_xlfn.XLOOKUP(H3033,#REF!,#REF!,0,0)</f>
        <v>#REF!</v>
      </c>
    </row>
    <row r="3034" spans="1:79" s="376" customFormat="1" x14ac:dyDescent="0.4">
      <c r="A3034" s="1" t="s">
        <v>11662</v>
      </c>
      <c r="B3034" s="1" t="s">
        <v>11657</v>
      </c>
      <c r="C3034" s="2" t="s">
        <v>433</v>
      </c>
      <c r="D3034" s="1" t="s">
        <v>455</v>
      </c>
      <c r="E3034" s="1" t="s">
        <v>10</v>
      </c>
      <c r="F3034" s="1" t="s">
        <v>437</v>
      </c>
      <c r="G3034" s="2">
        <v>45765</v>
      </c>
      <c r="H3034" s="1" t="s">
        <v>475</v>
      </c>
      <c r="I3034" s="1">
        <v>77374</v>
      </c>
      <c r="J3034" s="1" t="s">
        <v>11667</v>
      </c>
      <c r="K3034" s="1" t="s">
        <v>11717</v>
      </c>
      <c r="L3034" s="1" t="s">
        <v>364</v>
      </c>
      <c r="M3034" s="1" t="s">
        <v>364</v>
      </c>
      <c r="N3034" s="1" t="s">
        <v>364</v>
      </c>
      <c r="O3034" s="1" t="s">
        <v>364</v>
      </c>
      <c r="P3034" s="293" t="s">
        <v>11716</v>
      </c>
      <c r="Q3034" s="1" t="str">
        <f>IF(A3034="SCORTA 10",1,"")</f>
        <v/>
      </c>
      <c r="R3034" s="1">
        <f>IF(H3034&lt;&gt;"",1,"")</f>
        <v>1</v>
      </c>
      <c r="S3034" s="1">
        <f>IF(I3034&lt;&gt;"",1,"")</f>
        <v>1</v>
      </c>
      <c r="T3034" s="512" t="e">
        <f>_xlfn.XLOOKUP(H3034,#REF!,#REF!,0,0)</f>
        <v>#REF!</v>
      </c>
    </row>
    <row r="3035" spans="1:79" s="328" customFormat="1" x14ac:dyDescent="0.4">
      <c r="A3035" s="324" t="s">
        <v>11734</v>
      </c>
      <c r="B3035" s="1" t="s">
        <v>11738</v>
      </c>
      <c r="C3035" s="2" t="s">
        <v>433</v>
      </c>
      <c r="D3035" s="1" t="s">
        <v>455</v>
      </c>
      <c r="E3035" s="325" t="s">
        <v>10</v>
      </c>
      <c r="F3035" s="324" t="s">
        <v>244</v>
      </c>
      <c r="G3035" s="326"/>
      <c r="H3035" s="324" t="s">
        <v>11726</v>
      </c>
      <c r="I3035" s="327">
        <v>71390</v>
      </c>
      <c r="J3035" s="324"/>
      <c r="K3035" s="326"/>
      <c r="L3035" s="1" t="s">
        <v>364</v>
      </c>
      <c r="M3035" s="1" t="s">
        <v>364</v>
      </c>
      <c r="N3035" s="1" t="s">
        <v>364</v>
      </c>
      <c r="O3035" s="1" t="s">
        <v>364</v>
      </c>
      <c r="P3035" s="528" t="s">
        <v>11739</v>
      </c>
      <c r="Q3035" s="324">
        <v>1</v>
      </c>
      <c r="R3035" s="324"/>
      <c r="S3035" s="324"/>
      <c r="T3035" s="512" t="e">
        <f>_xlfn.XLOOKUP(H3035,#REF!,#REF!,0,0)</f>
        <v>#REF!</v>
      </c>
    </row>
    <row r="3036" spans="1:79" s="328" customFormat="1" x14ac:dyDescent="0.4">
      <c r="A3036" s="324" t="s">
        <v>11735</v>
      </c>
      <c r="B3036" s="1" t="s">
        <v>11740</v>
      </c>
      <c r="C3036" s="2" t="s">
        <v>433</v>
      </c>
      <c r="D3036" s="1" t="s">
        <v>455</v>
      </c>
      <c r="E3036" s="325" t="s">
        <v>10</v>
      </c>
      <c r="F3036" s="324" t="s">
        <v>244</v>
      </c>
      <c r="G3036" s="326"/>
      <c r="H3036" s="324" t="s">
        <v>11727</v>
      </c>
      <c r="I3036" s="327">
        <v>71797</v>
      </c>
      <c r="J3036" s="324"/>
      <c r="K3036" s="326"/>
      <c r="L3036" s="1" t="s">
        <v>364</v>
      </c>
      <c r="M3036" s="1" t="s">
        <v>364</v>
      </c>
      <c r="N3036" s="1" t="s">
        <v>364</v>
      </c>
      <c r="O3036" s="1" t="s">
        <v>364</v>
      </c>
      <c r="P3036" s="528" t="s">
        <v>11739</v>
      </c>
      <c r="Q3036" s="324">
        <v>1</v>
      </c>
      <c r="R3036" s="324"/>
      <c r="S3036" s="324"/>
      <c r="T3036" s="512" t="e">
        <f>_xlfn.XLOOKUP(H3036,#REF!,#REF!,0,0)</f>
        <v>#REF!</v>
      </c>
    </row>
    <row r="3037" spans="1:79" s="376" customFormat="1" x14ac:dyDescent="0.4">
      <c r="A3037" s="1" t="s">
        <v>11661</v>
      </c>
      <c r="B3037" s="1" t="s">
        <v>11643</v>
      </c>
      <c r="C3037" s="2" t="s">
        <v>433</v>
      </c>
      <c r="D3037" s="1" t="s">
        <v>447</v>
      </c>
      <c r="E3037" s="1" t="s">
        <v>10</v>
      </c>
      <c r="F3037" s="1" t="s">
        <v>437</v>
      </c>
      <c r="G3037" s="2">
        <v>45765</v>
      </c>
      <c r="H3037" s="1" t="s">
        <v>467</v>
      </c>
      <c r="I3037" s="1">
        <v>77366</v>
      </c>
      <c r="J3037" s="1" t="s">
        <v>11666</v>
      </c>
      <c r="K3037" s="1" t="s">
        <v>11728</v>
      </c>
      <c r="L3037" s="1" t="s">
        <v>364</v>
      </c>
      <c r="M3037" s="1" t="s">
        <v>364</v>
      </c>
      <c r="N3037" s="1" t="s">
        <v>364</v>
      </c>
      <c r="O3037" s="1" t="s">
        <v>364</v>
      </c>
      <c r="P3037" s="293" t="s">
        <v>11710</v>
      </c>
      <c r="Q3037" s="1" t="str">
        <f>IF(A3037="SCORTA 10",1,"")</f>
        <v/>
      </c>
      <c r="R3037" s="1">
        <f>IF(H3037&lt;&gt;"",1,"")</f>
        <v>1</v>
      </c>
      <c r="S3037" s="1">
        <f>IF(I3037&lt;&gt;"",1,"")</f>
        <v>1</v>
      </c>
      <c r="T3037" s="512" t="e">
        <f>_xlfn.XLOOKUP(H3037,#REF!,#REF!,0,0)</f>
        <v>#REF!</v>
      </c>
    </row>
    <row r="3038" spans="1:79" s="328" customFormat="1" x14ac:dyDescent="0.4">
      <c r="A3038" s="324" t="s">
        <v>11744</v>
      </c>
      <c r="B3038" s="522" t="s">
        <v>11750</v>
      </c>
      <c r="C3038" s="2" t="s">
        <v>433</v>
      </c>
      <c r="D3038" s="324" t="s">
        <v>447</v>
      </c>
      <c r="E3038" s="325" t="s">
        <v>10</v>
      </c>
      <c r="F3038" s="324" t="s">
        <v>5835</v>
      </c>
      <c r="G3038" s="326"/>
      <c r="H3038" s="324" t="s">
        <v>11742</v>
      </c>
      <c r="I3038" s="327">
        <v>78214</v>
      </c>
      <c r="J3038" s="324" t="s">
        <v>11747</v>
      </c>
      <c r="K3038" s="326">
        <v>45930</v>
      </c>
      <c r="L3038" s="324" t="s">
        <v>364</v>
      </c>
      <c r="M3038" s="324" t="s">
        <v>364</v>
      </c>
      <c r="N3038" s="324" t="s">
        <v>364</v>
      </c>
      <c r="O3038" s="324" t="s">
        <v>364</v>
      </c>
      <c r="P3038" s="528" t="s">
        <v>11746</v>
      </c>
      <c r="Q3038" s="324"/>
      <c r="R3038" s="324">
        <v>1</v>
      </c>
      <c r="S3038" s="324">
        <v>1</v>
      </c>
      <c r="T3038" s="512" t="e">
        <f>_xlfn.XLOOKUP(H3038,#REF!,#REF!,0,0)</f>
        <v>#REF!</v>
      </c>
    </row>
    <row r="3039" spans="1:79" s="328" customFormat="1" x14ac:dyDescent="0.4">
      <c r="A3039" s="324" t="s">
        <v>11745</v>
      </c>
      <c r="B3039" s="522" t="s">
        <v>11750</v>
      </c>
      <c r="C3039" s="2" t="s">
        <v>433</v>
      </c>
      <c r="D3039" s="324" t="s">
        <v>447</v>
      </c>
      <c r="E3039" s="325" t="s">
        <v>10</v>
      </c>
      <c r="F3039" s="324" t="s">
        <v>5835</v>
      </c>
      <c r="G3039" s="326"/>
      <c r="H3039" s="324" t="s">
        <v>11743</v>
      </c>
      <c r="I3039" s="327">
        <v>78215</v>
      </c>
      <c r="J3039" s="324" t="s">
        <v>11748</v>
      </c>
      <c r="K3039" s="326">
        <v>45930</v>
      </c>
      <c r="L3039" s="324" t="s">
        <v>364</v>
      </c>
      <c r="M3039" s="324" t="s">
        <v>364</v>
      </c>
      <c r="N3039" s="324" t="s">
        <v>364</v>
      </c>
      <c r="O3039" s="324" t="s">
        <v>364</v>
      </c>
      <c r="P3039" s="528" t="s">
        <v>11746</v>
      </c>
      <c r="Q3039" s="324"/>
      <c r="R3039" s="324">
        <v>1</v>
      </c>
      <c r="S3039" s="324">
        <v>1</v>
      </c>
      <c r="T3039" s="512" t="e">
        <f>_xlfn.XLOOKUP(H3039,#REF!,#REF!,0,0)</f>
        <v>#REF!</v>
      </c>
    </row>
    <row r="3040" spans="1:79" s="296" customFormat="1" x14ac:dyDescent="0.4">
      <c r="A3040" s="2" t="s">
        <v>368</v>
      </c>
      <c r="B3040" s="1" t="s">
        <v>11729</v>
      </c>
      <c r="C3040" s="2" t="s">
        <v>433</v>
      </c>
      <c r="D3040" s="324" t="s">
        <v>455</v>
      </c>
      <c r="E3040" s="2" t="s">
        <v>10</v>
      </c>
      <c r="F3040" s="2" t="s">
        <v>369</v>
      </c>
      <c r="G3040" s="2">
        <v>45282</v>
      </c>
      <c r="H3040" s="2" t="s">
        <v>370</v>
      </c>
      <c r="I3040" s="1">
        <v>73301</v>
      </c>
      <c r="J3040" s="1" t="s">
        <v>371</v>
      </c>
      <c r="K3040" s="2" t="s">
        <v>11749</v>
      </c>
      <c r="L3040" s="324" t="s">
        <v>364</v>
      </c>
      <c r="M3040" s="324" t="s">
        <v>364</v>
      </c>
      <c r="N3040" s="324" t="s">
        <v>364</v>
      </c>
      <c r="O3040" s="324" t="s">
        <v>364</v>
      </c>
      <c r="P3040" s="293" t="s">
        <v>523</v>
      </c>
      <c r="Q3040" s="281"/>
      <c r="R3040" s="281">
        <f t="shared" ref="R3040:S3044" si="121">IF(H3040&lt;&gt;"",1,"")</f>
        <v>1</v>
      </c>
      <c r="S3040" s="281">
        <f t="shared" si="121"/>
        <v>1</v>
      </c>
      <c r="T3040" s="512" t="e">
        <f>_xlfn.XLOOKUP(H3040,#REF!,#REF!,0,0)</f>
        <v>#REF!</v>
      </c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N3040" s="6"/>
      <c r="AO3040" s="6"/>
      <c r="AP3040" s="6"/>
      <c r="AQ3040" s="6"/>
      <c r="AR3040" s="6"/>
      <c r="AS3040" s="6"/>
      <c r="AT3040" s="6"/>
      <c r="AU3040" s="6"/>
      <c r="AV3040" s="6"/>
      <c r="AW3040" s="6"/>
      <c r="AX3040" s="6"/>
      <c r="AY3040" s="6"/>
      <c r="AZ3040" s="6"/>
      <c r="BA3040" s="6"/>
      <c r="BB3040" s="6"/>
      <c r="BC3040" s="6"/>
      <c r="BD3040" s="6"/>
      <c r="BE3040" s="6"/>
      <c r="BF3040" s="6"/>
      <c r="BG3040" s="6"/>
      <c r="BH3040" s="6"/>
      <c r="BI3040" s="6"/>
      <c r="BJ3040" s="6"/>
      <c r="BK3040" s="6"/>
      <c r="BL3040" s="6"/>
      <c r="BM3040" s="6"/>
      <c r="BN3040" s="6"/>
      <c r="BO3040" s="6"/>
      <c r="BP3040" s="6"/>
      <c r="BQ3040" s="6"/>
      <c r="BR3040" s="6"/>
      <c r="BS3040" s="6"/>
      <c r="BT3040" s="6"/>
      <c r="BU3040" s="6"/>
      <c r="BV3040" s="6"/>
      <c r="BW3040" s="6"/>
      <c r="BX3040" s="6"/>
      <c r="BY3040" s="6"/>
      <c r="BZ3040" s="6"/>
      <c r="CA3040" s="6"/>
    </row>
    <row r="3041" spans="1:20" s="286" customFormat="1" x14ac:dyDescent="0.4">
      <c r="A3041" s="2" t="s">
        <v>379</v>
      </c>
      <c r="B3041" s="2" t="s">
        <v>11758</v>
      </c>
      <c r="C3041" s="2" t="s">
        <v>433</v>
      </c>
      <c r="D3041" s="324" t="s">
        <v>455</v>
      </c>
      <c r="E3041" s="2" t="s">
        <v>366</v>
      </c>
      <c r="F3041" s="2" t="s">
        <v>367</v>
      </c>
      <c r="G3041" s="2">
        <v>45673</v>
      </c>
      <c r="H3041" s="2" t="s">
        <v>381</v>
      </c>
      <c r="I3041" s="281">
        <v>77576</v>
      </c>
      <c r="J3041" s="2" t="s">
        <v>382</v>
      </c>
      <c r="K3041" s="2"/>
      <c r="L3041" s="324" t="s">
        <v>364</v>
      </c>
      <c r="M3041" s="324" t="s">
        <v>364</v>
      </c>
      <c r="N3041" s="324" t="s">
        <v>364</v>
      </c>
      <c r="O3041" s="324" t="s">
        <v>364</v>
      </c>
      <c r="P3041" s="524" t="s">
        <v>11642</v>
      </c>
      <c r="Q3041" s="281" t="str">
        <f>IF(A3041="SCORTA 10",1,"")</f>
        <v/>
      </c>
      <c r="R3041" s="1">
        <f t="shared" si="121"/>
        <v>1</v>
      </c>
      <c r="S3041" s="1">
        <f t="shared" si="121"/>
        <v>1</v>
      </c>
      <c r="T3041" s="512" t="e">
        <f>_xlfn.XLOOKUP(H3041,#REF!,#REF!,0,0)</f>
        <v>#REF!</v>
      </c>
    </row>
    <row r="3042" spans="1:20" s="376" customFormat="1" ht="18.75" customHeight="1" x14ac:dyDescent="0.4">
      <c r="A3042" s="2" t="s">
        <v>11663</v>
      </c>
      <c r="B3042" s="1" t="s">
        <v>11725</v>
      </c>
      <c r="C3042" s="1" t="s">
        <v>433</v>
      </c>
      <c r="D3042" s="1" t="s">
        <v>447</v>
      </c>
      <c r="E3042" s="1" t="s">
        <v>10</v>
      </c>
      <c r="F3042" s="1" t="s">
        <v>437</v>
      </c>
      <c r="G3042" s="2">
        <v>45765</v>
      </c>
      <c r="H3042" s="1" t="s">
        <v>476</v>
      </c>
      <c r="I3042" s="1">
        <v>77375</v>
      </c>
      <c r="J3042" s="1" t="s">
        <v>11668</v>
      </c>
      <c r="K3042" s="1"/>
      <c r="L3042" s="1" t="s">
        <v>364</v>
      </c>
      <c r="M3042" s="1" t="s">
        <v>364</v>
      </c>
      <c r="N3042" s="1" t="s">
        <v>364</v>
      </c>
      <c r="O3042" s="1" t="s">
        <v>364</v>
      </c>
      <c r="P3042" s="293" t="s">
        <v>6278</v>
      </c>
      <c r="Q3042" s="1" t="str">
        <f>IF(A3042="SCORTA 10",1,"")</f>
        <v/>
      </c>
      <c r="R3042" s="1">
        <f t="shared" si="121"/>
        <v>1</v>
      </c>
      <c r="S3042" s="1">
        <f t="shared" si="121"/>
        <v>1</v>
      </c>
      <c r="T3042" s="512" t="e">
        <f>_xlfn.XLOOKUP(H3042,#REF!,#REF!,0,0)</f>
        <v>#REF!</v>
      </c>
    </row>
    <row r="3043" spans="1:20" s="286" customFormat="1" x14ac:dyDescent="0.4">
      <c r="A3043" s="1" t="s">
        <v>11779</v>
      </c>
      <c r="B3043" s="1" t="s">
        <v>11787</v>
      </c>
      <c r="C3043" s="1" t="s">
        <v>8925</v>
      </c>
      <c r="D3043" s="1" t="s">
        <v>8127</v>
      </c>
      <c r="E3043" s="1" t="s">
        <v>366</v>
      </c>
      <c r="F3043" s="1" t="s">
        <v>367</v>
      </c>
      <c r="G3043" s="1">
        <v>45751</v>
      </c>
      <c r="H3043" s="1" t="s">
        <v>11775</v>
      </c>
      <c r="I3043" s="1">
        <v>77430</v>
      </c>
      <c r="J3043" s="1" t="s">
        <v>11777</v>
      </c>
      <c r="K3043" s="1"/>
      <c r="L3043" s="1" t="s">
        <v>364</v>
      </c>
      <c r="M3043" s="1" t="s">
        <v>364</v>
      </c>
      <c r="N3043" s="1" t="s">
        <v>364</v>
      </c>
      <c r="O3043" s="1"/>
      <c r="P3043" s="1"/>
      <c r="Q3043" s="1" t="str">
        <f>IF(A3043="SCORTA 10",1,"")</f>
        <v/>
      </c>
      <c r="R3043" s="1">
        <f t="shared" si="121"/>
        <v>1</v>
      </c>
      <c r="S3043" s="1">
        <f t="shared" si="121"/>
        <v>1</v>
      </c>
      <c r="T3043" s="512" t="e">
        <f>_xlfn.XLOOKUP(H3043,#REF!,#REF!,0,0)</f>
        <v>#REF!</v>
      </c>
    </row>
    <row r="3044" spans="1:20" s="286" customFormat="1" x14ac:dyDescent="0.4">
      <c r="A3044" s="1" t="s">
        <v>11780</v>
      </c>
      <c r="B3044" s="1" t="s">
        <v>11787</v>
      </c>
      <c r="C3044" s="1" t="s">
        <v>8925</v>
      </c>
      <c r="D3044" s="1" t="s">
        <v>8127</v>
      </c>
      <c r="E3044" s="1" t="s">
        <v>366</v>
      </c>
      <c r="F3044" s="1" t="s">
        <v>367</v>
      </c>
      <c r="G3044" s="1">
        <v>45751</v>
      </c>
      <c r="H3044" s="1" t="s">
        <v>11776</v>
      </c>
      <c r="I3044" s="1">
        <v>77431</v>
      </c>
      <c r="J3044" s="1" t="s">
        <v>11778</v>
      </c>
      <c r="K3044" s="1"/>
      <c r="L3044" s="1" t="s">
        <v>364</v>
      </c>
      <c r="M3044" s="1" t="s">
        <v>364</v>
      </c>
      <c r="N3044" s="1" t="s">
        <v>364</v>
      </c>
      <c r="O3044" s="1"/>
      <c r="P3044" s="1"/>
      <c r="Q3044" s="1" t="str">
        <f>IF(A3044="SCORTA 10",1,"")</f>
        <v/>
      </c>
      <c r="R3044" s="1">
        <f t="shared" si="121"/>
        <v>1</v>
      </c>
      <c r="S3044" s="1">
        <f t="shared" si="121"/>
        <v>1</v>
      </c>
      <c r="T3044" s="512" t="e">
        <f>_xlfn.XLOOKUP(H3044,#REF!,#REF!,0,0)</f>
        <v>#REF!</v>
      </c>
    </row>
    <row r="3045" spans="1:20" s="328" customFormat="1" x14ac:dyDescent="0.4">
      <c r="A3045" s="324" t="s">
        <v>553</v>
      </c>
      <c r="B3045" s="522" t="s">
        <v>11741</v>
      </c>
      <c r="C3045" s="324" t="s">
        <v>431</v>
      </c>
      <c r="D3045" s="324" t="s">
        <v>693</v>
      </c>
      <c r="E3045" s="325" t="s">
        <v>10</v>
      </c>
      <c r="F3045" s="324" t="s">
        <v>244</v>
      </c>
      <c r="G3045" s="326"/>
      <c r="H3045" s="324" t="s">
        <v>554</v>
      </c>
      <c r="I3045" s="327">
        <v>70762</v>
      </c>
      <c r="J3045" s="324" t="s">
        <v>555</v>
      </c>
      <c r="K3045" s="326">
        <v>45930</v>
      </c>
      <c r="L3045" s="324" t="s">
        <v>364</v>
      </c>
      <c r="M3045" s="324" t="s">
        <v>364</v>
      </c>
      <c r="N3045" s="324" t="s">
        <v>364</v>
      </c>
      <c r="O3045" s="324" t="s">
        <v>364</v>
      </c>
      <c r="P3045" s="324"/>
      <c r="Q3045" s="324">
        <v>1</v>
      </c>
      <c r="R3045" s="324"/>
      <c r="S3045" s="324"/>
      <c r="T3045" s="512" t="e">
        <f>_xlfn.XLOOKUP(H3045,#REF!,#REF!,0,0)</f>
        <v>#REF!</v>
      </c>
    </row>
    <row r="3046" spans="1:20" s="286" customFormat="1" x14ac:dyDescent="0.4">
      <c r="A3046" s="281" t="s">
        <v>11796</v>
      </c>
      <c r="B3046" s="281" t="s">
        <v>11820</v>
      </c>
      <c r="C3046" s="281" t="s">
        <v>433</v>
      </c>
      <c r="D3046" s="281"/>
      <c r="E3046" s="281" t="s">
        <v>366</v>
      </c>
      <c r="F3046" s="281" t="s">
        <v>367</v>
      </c>
      <c r="G3046" s="2">
        <v>45751</v>
      </c>
      <c r="H3046" s="281" t="s">
        <v>415</v>
      </c>
      <c r="I3046" s="281">
        <v>77433</v>
      </c>
      <c r="J3046" s="281" t="s">
        <v>11807</v>
      </c>
      <c r="K3046" s="2">
        <v>45939</v>
      </c>
      <c r="L3046" s="281" t="s">
        <v>364</v>
      </c>
      <c r="M3046" s="281" t="s">
        <v>364</v>
      </c>
      <c r="N3046" s="281" t="s">
        <v>364</v>
      </c>
      <c r="O3046" s="281" t="s">
        <v>364</v>
      </c>
      <c r="P3046" s="281"/>
      <c r="Q3046" s="281" t="str">
        <f t="shared" ref="Q3046:Q3051" si="122">IF(A3046="SCORTA 10",1,"")</f>
        <v/>
      </c>
      <c r="R3046" s="1">
        <f t="shared" ref="R3046:R3051" si="123">IF(H3046&lt;&gt;"",1,"")</f>
        <v>1</v>
      </c>
      <c r="S3046" s="1">
        <f t="shared" ref="S3046:S3051" si="124">IF(I3046&lt;&gt;"",1,"")</f>
        <v>1</v>
      </c>
      <c r="T3046" s="512" t="e">
        <f>_xlfn.XLOOKUP(H3046,#REF!,#REF!,0,0)</f>
        <v>#REF!</v>
      </c>
    </row>
    <row r="3047" spans="1:20" s="286" customFormat="1" x14ac:dyDescent="0.4">
      <c r="A3047" s="281" t="s">
        <v>11761</v>
      </c>
      <c r="B3047" s="281" t="s">
        <v>11652</v>
      </c>
      <c r="C3047" s="281" t="s">
        <v>433</v>
      </c>
      <c r="D3047" s="281" t="s">
        <v>8127</v>
      </c>
      <c r="E3047" s="281" t="s">
        <v>366</v>
      </c>
      <c r="F3047" s="281" t="s">
        <v>367</v>
      </c>
      <c r="G3047" s="2">
        <v>45751</v>
      </c>
      <c r="H3047" s="281" t="s">
        <v>408</v>
      </c>
      <c r="I3047" s="281">
        <v>77424</v>
      </c>
      <c r="J3047" s="281" t="s">
        <v>11752</v>
      </c>
      <c r="K3047" s="291" t="s">
        <v>11786</v>
      </c>
      <c r="L3047" s="281" t="s">
        <v>364</v>
      </c>
      <c r="M3047" s="281"/>
      <c r="N3047" s="281"/>
      <c r="O3047" s="281"/>
      <c r="P3047" s="281"/>
      <c r="Q3047" s="281" t="str">
        <f t="shared" si="122"/>
        <v/>
      </c>
      <c r="R3047" s="1">
        <f t="shared" si="123"/>
        <v>1</v>
      </c>
      <c r="S3047" s="1">
        <f t="shared" si="124"/>
        <v>1</v>
      </c>
      <c r="T3047" s="512" t="e">
        <f>_xlfn.XLOOKUP(H3047,#REF!,#REF!,0,0)</f>
        <v>#REF!</v>
      </c>
    </row>
    <row r="3048" spans="1:20" s="286" customFormat="1" x14ac:dyDescent="0.4">
      <c r="A3048" s="281" t="s">
        <v>11764</v>
      </c>
      <c r="B3048" s="281" t="s">
        <v>11733</v>
      </c>
      <c r="C3048" s="281" t="s">
        <v>433</v>
      </c>
      <c r="D3048" s="281" t="s">
        <v>8127</v>
      </c>
      <c r="E3048" s="281" t="s">
        <v>366</v>
      </c>
      <c r="F3048" s="281" t="s">
        <v>367</v>
      </c>
      <c r="G3048" s="2">
        <v>45751</v>
      </c>
      <c r="H3048" s="281" t="s">
        <v>412</v>
      </c>
      <c r="I3048" s="281">
        <v>77428</v>
      </c>
      <c r="J3048" s="281" t="s">
        <v>11756</v>
      </c>
      <c r="K3048" s="291" t="s">
        <v>11788</v>
      </c>
      <c r="L3048" s="281" t="s">
        <v>364</v>
      </c>
      <c r="M3048" s="281"/>
      <c r="N3048" s="281"/>
      <c r="O3048" s="281"/>
      <c r="P3048" s="281" t="s">
        <v>11826</v>
      </c>
      <c r="Q3048" s="281" t="str">
        <f t="shared" si="122"/>
        <v/>
      </c>
      <c r="R3048" s="1">
        <f t="shared" si="123"/>
        <v>1</v>
      </c>
      <c r="S3048" s="1">
        <f t="shared" si="124"/>
        <v>1</v>
      </c>
      <c r="T3048" s="512" t="e">
        <f>_xlfn.XLOOKUP(H3048,#REF!,#REF!,0,0)</f>
        <v>#REF!</v>
      </c>
    </row>
    <row r="3049" spans="1:20" s="512" customFormat="1" x14ac:dyDescent="0.4">
      <c r="A3049" s="1" t="s">
        <v>440</v>
      </c>
      <c r="B3049" s="1" t="s">
        <v>441</v>
      </c>
      <c r="C3049" s="281" t="s">
        <v>433</v>
      </c>
      <c r="D3049" s="1" t="s">
        <v>3778</v>
      </c>
      <c r="E3049" s="1" t="s">
        <v>10</v>
      </c>
      <c r="F3049" s="1" t="s">
        <v>437</v>
      </c>
      <c r="G3049" s="2">
        <v>45765</v>
      </c>
      <c r="H3049" s="1" t="s">
        <v>442</v>
      </c>
      <c r="I3049" s="1">
        <v>77354</v>
      </c>
      <c r="J3049" s="1" t="s">
        <v>443</v>
      </c>
      <c r="K3049" s="1" t="s">
        <v>444</v>
      </c>
      <c r="L3049" s="1" t="s">
        <v>364</v>
      </c>
      <c r="M3049" s="1" t="s">
        <v>364</v>
      </c>
      <c r="N3049" s="1" t="s">
        <v>364</v>
      </c>
      <c r="O3049" s="1" t="s">
        <v>364</v>
      </c>
      <c r="P3049" s="1" t="s">
        <v>11830</v>
      </c>
      <c r="Q3049" s="1" t="str">
        <f t="shared" si="122"/>
        <v/>
      </c>
      <c r="R3049" s="1">
        <f t="shared" si="123"/>
        <v>1</v>
      </c>
      <c r="S3049" s="1">
        <f t="shared" si="124"/>
        <v>1</v>
      </c>
      <c r="T3049" s="512" t="e">
        <f>_xlfn.XLOOKUP(H3049,#REF!,#REF!,0,0)</f>
        <v>#REF!</v>
      </c>
    </row>
    <row r="3050" spans="1:20" s="512" customFormat="1" x14ac:dyDescent="0.4">
      <c r="A3050" s="281" t="s">
        <v>11765</v>
      </c>
      <c r="B3050" s="281" t="s">
        <v>380</v>
      </c>
      <c r="C3050" s="281" t="s">
        <v>433</v>
      </c>
      <c r="D3050" s="1" t="s">
        <v>3778</v>
      </c>
      <c r="E3050" s="281" t="s">
        <v>366</v>
      </c>
      <c r="F3050" s="281" t="s">
        <v>367</v>
      </c>
      <c r="G3050" s="2">
        <v>45751</v>
      </c>
      <c r="H3050" s="281" t="s">
        <v>413</v>
      </c>
      <c r="I3050" s="281">
        <v>77429</v>
      </c>
      <c r="J3050" s="281" t="s">
        <v>11757</v>
      </c>
      <c r="K3050" s="1" t="s">
        <v>444</v>
      </c>
      <c r="L3050" s="281" t="s">
        <v>364</v>
      </c>
      <c r="M3050" s="281" t="s">
        <v>364</v>
      </c>
      <c r="N3050" s="281" t="s">
        <v>364</v>
      </c>
      <c r="O3050" s="281" t="s">
        <v>364</v>
      </c>
      <c r="P3050" s="550" t="s">
        <v>11760</v>
      </c>
      <c r="Q3050" s="281" t="str">
        <f t="shared" si="122"/>
        <v/>
      </c>
      <c r="R3050" s="1">
        <f t="shared" si="123"/>
        <v>1</v>
      </c>
      <c r="S3050" s="1">
        <f t="shared" si="124"/>
        <v>1</v>
      </c>
      <c r="T3050" s="512" t="e">
        <f>_xlfn.XLOOKUP(H3050,#REF!,#REF!,0,0)</f>
        <v>#REF!</v>
      </c>
    </row>
    <row r="3051" spans="1:20" s="376" customFormat="1" ht="18.75" customHeight="1" x14ac:dyDescent="0.4">
      <c r="A3051" s="1" t="s">
        <v>11792</v>
      </c>
      <c r="B3051" s="281" t="s">
        <v>11822</v>
      </c>
      <c r="C3051" s="1" t="s">
        <v>433</v>
      </c>
      <c r="D3051" s="1" t="s">
        <v>8127</v>
      </c>
      <c r="E3051" s="1" t="s">
        <v>10</v>
      </c>
      <c r="F3051" s="1" t="s">
        <v>437</v>
      </c>
      <c r="G3051" s="2">
        <v>45765</v>
      </c>
      <c r="H3051" s="1" t="s">
        <v>472</v>
      </c>
      <c r="I3051" s="1">
        <v>77371</v>
      </c>
      <c r="J3051" s="1" t="s">
        <v>11803</v>
      </c>
      <c r="K3051" s="338">
        <v>45943.4375</v>
      </c>
      <c r="L3051" s="1" t="s">
        <v>364</v>
      </c>
      <c r="M3051" s="1" t="s">
        <v>364</v>
      </c>
      <c r="N3051" s="1" t="s">
        <v>364</v>
      </c>
      <c r="O3051" s="1" t="s">
        <v>364</v>
      </c>
      <c r="P3051" s="1" t="s">
        <v>11828</v>
      </c>
      <c r="Q3051" s="1" t="str">
        <f t="shared" si="122"/>
        <v/>
      </c>
      <c r="R3051" s="1">
        <f t="shared" si="123"/>
        <v>1</v>
      </c>
      <c r="S3051" s="1">
        <f t="shared" si="124"/>
        <v>1</v>
      </c>
      <c r="T3051" s="512" t="e">
        <f>_xlfn.XLOOKUP(H3051,#REF!,#REF!,0,0)</f>
        <v>#REF!</v>
      </c>
    </row>
    <row r="3052" spans="1:20" s="328" customFormat="1" x14ac:dyDescent="0.4">
      <c r="A3052" s="324" t="s">
        <v>11813</v>
      </c>
      <c r="B3052" s="522" t="s">
        <v>11815</v>
      </c>
      <c r="C3052" s="324" t="s">
        <v>434</v>
      </c>
      <c r="D3052" s="324" t="s">
        <v>447</v>
      </c>
      <c r="E3052" s="325" t="s">
        <v>3746</v>
      </c>
      <c r="F3052" s="324" t="s">
        <v>11816</v>
      </c>
      <c r="G3052" s="326"/>
      <c r="H3052" s="324" t="s">
        <v>11817</v>
      </c>
      <c r="I3052" s="327"/>
      <c r="J3052" s="324"/>
      <c r="K3052" s="326"/>
      <c r="L3052" s="324"/>
      <c r="M3052" s="324"/>
      <c r="N3052" s="324"/>
      <c r="O3052" s="324"/>
      <c r="P3052" s="324"/>
      <c r="Q3052" s="324"/>
      <c r="R3052" s="324"/>
      <c r="S3052" s="324"/>
      <c r="T3052" s="512" t="e">
        <f>_xlfn.XLOOKUP(H3052,#REF!,#REF!,0,0)</f>
        <v>#REF!</v>
      </c>
    </row>
    <row r="3053" spans="1:20" s="328" customFormat="1" x14ac:dyDescent="0.4">
      <c r="A3053" s="324" t="s">
        <v>11814</v>
      </c>
      <c r="B3053" s="522" t="s">
        <v>11815</v>
      </c>
      <c r="C3053" s="324" t="s">
        <v>434</v>
      </c>
      <c r="D3053" s="324" t="s">
        <v>447</v>
      </c>
      <c r="E3053" s="325" t="s">
        <v>3746</v>
      </c>
      <c r="F3053" s="324" t="s">
        <v>11816</v>
      </c>
      <c r="G3053" s="326"/>
      <c r="H3053" s="324" t="s">
        <v>11818</v>
      </c>
      <c r="I3053" s="327"/>
      <c r="J3053" s="324"/>
      <c r="K3053" s="326"/>
      <c r="L3053" s="324"/>
      <c r="M3053" s="324"/>
      <c r="N3053" s="324"/>
      <c r="O3053" s="324"/>
      <c r="P3053" s="324"/>
      <c r="Q3053" s="324"/>
      <c r="R3053" s="324"/>
      <c r="S3053" s="324"/>
      <c r="T3053" s="512" t="e">
        <f>_xlfn.XLOOKUP(H3053,#REF!,#REF!,0,0)</f>
        <v>#REF!</v>
      </c>
    </row>
    <row r="3054" spans="1:20" s="286" customFormat="1" x14ac:dyDescent="0.4">
      <c r="A3054" s="281" t="s">
        <v>11841</v>
      </c>
      <c r="B3054" s="281" t="s">
        <v>11732</v>
      </c>
      <c r="C3054" s="281" t="s">
        <v>433</v>
      </c>
      <c r="D3054" s="281" t="s">
        <v>8127</v>
      </c>
      <c r="E3054" s="281" t="s">
        <v>366</v>
      </c>
      <c r="F3054" s="281" t="s">
        <v>367</v>
      </c>
      <c r="G3054" s="2">
        <v>45751</v>
      </c>
      <c r="H3054" s="281" t="s">
        <v>410</v>
      </c>
      <c r="I3054" s="281">
        <v>77426</v>
      </c>
      <c r="J3054" s="281" t="s">
        <v>11754</v>
      </c>
      <c r="K3054" s="281" t="s">
        <v>11819</v>
      </c>
      <c r="L3054" s="281" t="s">
        <v>364</v>
      </c>
      <c r="M3054" s="281" t="s">
        <v>364</v>
      </c>
      <c r="N3054" s="281" t="s">
        <v>364</v>
      </c>
      <c r="O3054" s="281" t="s">
        <v>364</v>
      </c>
      <c r="P3054" s="281" t="s">
        <v>11839</v>
      </c>
      <c r="Q3054" s="281" t="str">
        <f>IF(A3054="SCORTA 10",1,"")</f>
        <v/>
      </c>
      <c r="R3054" s="1">
        <f t="shared" ref="R3054:S3056" si="125">IF(H3054&lt;&gt;"",1,"")</f>
        <v>1</v>
      </c>
      <c r="S3054" s="1">
        <f t="shared" si="125"/>
        <v>1</v>
      </c>
      <c r="T3054" s="512" t="e">
        <f>_xlfn.XLOOKUP(H3054,#REF!,#REF!,0,0)</f>
        <v>#REF!</v>
      </c>
    </row>
    <row r="3055" spans="1:20" s="376" customFormat="1" ht="18.75" customHeight="1" x14ac:dyDescent="0.4">
      <c r="A3055" s="1" t="s">
        <v>11794</v>
      </c>
      <c r="B3055" s="1" t="s">
        <v>11843</v>
      </c>
      <c r="C3055" s="1" t="s">
        <v>433</v>
      </c>
      <c r="D3055" s="1" t="s">
        <v>8127</v>
      </c>
      <c r="E3055" s="1" t="s">
        <v>10</v>
      </c>
      <c r="F3055" s="1" t="s">
        <v>437</v>
      </c>
      <c r="G3055" s="2">
        <v>45765</v>
      </c>
      <c r="H3055" s="1" t="s">
        <v>474</v>
      </c>
      <c r="I3055" s="1">
        <v>77373</v>
      </c>
      <c r="J3055" s="1" t="s">
        <v>11804</v>
      </c>
      <c r="K3055" s="2">
        <v>45945</v>
      </c>
      <c r="L3055" s="1" t="s">
        <v>364</v>
      </c>
      <c r="M3055" s="1" t="s">
        <v>364</v>
      </c>
      <c r="N3055" s="1" t="s">
        <v>364</v>
      </c>
      <c r="O3055" s="1" t="s">
        <v>364</v>
      </c>
      <c r="P3055" s="1" t="s">
        <v>5255</v>
      </c>
      <c r="Q3055" s="1" t="str">
        <f>IF(A3055="SCORTA 10",1,"")</f>
        <v/>
      </c>
      <c r="R3055" s="1">
        <f t="shared" si="125"/>
        <v>1</v>
      </c>
      <c r="S3055" s="1">
        <f t="shared" si="125"/>
        <v>1</v>
      </c>
      <c r="T3055" s="512" t="e">
        <f>_xlfn.XLOOKUP(H3055,#REF!,#REF!,0,0)</f>
        <v>#REF!</v>
      </c>
    </row>
    <row r="3056" spans="1:20" s="376" customFormat="1" ht="18.75" customHeight="1" x14ac:dyDescent="0.4">
      <c r="A3056" s="1" t="s">
        <v>11664</v>
      </c>
      <c r="B3056" s="1" t="s">
        <v>11759</v>
      </c>
      <c r="C3056" s="1" t="s">
        <v>433</v>
      </c>
      <c r="D3056" s="1" t="s">
        <v>8127</v>
      </c>
      <c r="E3056" s="1" t="s">
        <v>10</v>
      </c>
      <c r="F3056" s="1" t="s">
        <v>437</v>
      </c>
      <c r="G3056" s="2">
        <v>45765</v>
      </c>
      <c r="H3056" s="1" t="s">
        <v>477</v>
      </c>
      <c r="I3056" s="1">
        <v>77376</v>
      </c>
      <c r="J3056" s="1" t="s">
        <v>11669</v>
      </c>
      <c r="K3056" s="291" t="s">
        <v>11823</v>
      </c>
      <c r="L3056" s="1" t="s">
        <v>7332</v>
      </c>
      <c r="M3056" s="1" t="s">
        <v>364</v>
      </c>
      <c r="N3056" s="1" t="s">
        <v>364</v>
      </c>
      <c r="O3056" s="1" t="s">
        <v>364</v>
      </c>
      <c r="P3056" s="1" t="s">
        <v>11821</v>
      </c>
      <c r="Q3056" s="1" t="str">
        <f>IF(A3056="SCORTA 10",1,"")</f>
        <v/>
      </c>
      <c r="R3056" s="1">
        <f t="shared" si="125"/>
        <v>1</v>
      </c>
      <c r="S3056" s="1">
        <f t="shared" si="125"/>
        <v>1</v>
      </c>
      <c r="T3056" s="512" t="e">
        <f>_xlfn.XLOOKUP(H3056,#REF!,#REF!,0,0)</f>
        <v>#REF!</v>
      </c>
    </row>
    <row r="3057" spans="1:20" s="328" customFormat="1" x14ac:dyDescent="0.4">
      <c r="A3057" s="324" t="s">
        <v>11845</v>
      </c>
      <c r="B3057" s="522" t="s">
        <v>11844</v>
      </c>
      <c r="C3057" s="324" t="s">
        <v>434</v>
      </c>
      <c r="D3057" s="324" t="s">
        <v>8127</v>
      </c>
      <c r="E3057" s="325" t="s">
        <v>10</v>
      </c>
      <c r="F3057" s="324" t="s">
        <v>11833</v>
      </c>
      <c r="G3057" s="326"/>
      <c r="H3057" s="324" t="s">
        <v>3543</v>
      </c>
      <c r="I3057" s="327">
        <v>69599</v>
      </c>
      <c r="J3057" s="324" t="s">
        <v>11842</v>
      </c>
      <c r="K3057" s="326"/>
      <c r="L3057" s="324" t="s">
        <v>364</v>
      </c>
      <c r="M3057" s="324" t="s">
        <v>364</v>
      </c>
      <c r="N3057" s="324" t="s">
        <v>364</v>
      </c>
      <c r="O3057" s="324"/>
      <c r="P3057" s="324"/>
      <c r="Q3057" s="324"/>
      <c r="R3057" s="324"/>
      <c r="S3057" s="324"/>
      <c r="T3057" s="512" t="e">
        <f>_xlfn.XLOOKUP(H3057,#REF!,#REF!,0,0)</f>
        <v>#REF!</v>
      </c>
    </row>
    <row r="3058" spans="1:20" s="328" customFormat="1" x14ac:dyDescent="0.4">
      <c r="A3058" s="360" t="s">
        <v>11850</v>
      </c>
      <c r="B3058" s="525" t="s">
        <v>459</v>
      </c>
      <c r="C3058" s="360" t="s">
        <v>434</v>
      </c>
      <c r="D3058" s="360" t="s">
        <v>8127</v>
      </c>
      <c r="E3058" s="536" t="s">
        <v>10</v>
      </c>
      <c r="F3058" s="360" t="s">
        <v>11824</v>
      </c>
      <c r="G3058" s="527"/>
      <c r="H3058" s="360" t="s">
        <v>11388</v>
      </c>
      <c r="I3058" s="526">
        <v>73347</v>
      </c>
      <c r="J3058" s="360" t="s">
        <v>8826</v>
      </c>
      <c r="K3058" s="527" t="s">
        <v>11834</v>
      </c>
      <c r="L3058" s="360" t="s">
        <v>364</v>
      </c>
      <c r="M3058" s="360" t="s">
        <v>364</v>
      </c>
      <c r="N3058" s="360" t="s">
        <v>364</v>
      </c>
      <c r="O3058" s="360" t="s">
        <v>364</v>
      </c>
      <c r="P3058" s="360" t="s">
        <v>11849</v>
      </c>
      <c r="Q3058" s="360"/>
      <c r="R3058" s="360"/>
      <c r="S3058" s="360"/>
      <c r="T3058" s="512" t="e">
        <f>_xlfn.XLOOKUP(H3058,#REF!,#REF!,0,0)</f>
        <v>#REF!</v>
      </c>
    </row>
    <row r="3059" spans="1:20" s="286" customFormat="1" x14ac:dyDescent="0.4">
      <c r="A3059" s="281" t="s">
        <v>11762</v>
      </c>
      <c r="B3059" s="281" t="s">
        <v>11827</v>
      </c>
      <c r="C3059" s="281" t="s">
        <v>376</v>
      </c>
      <c r="D3059" s="281"/>
      <c r="E3059" s="281" t="s">
        <v>366</v>
      </c>
      <c r="F3059" s="281" t="s">
        <v>367</v>
      </c>
      <c r="G3059" s="2">
        <v>45751</v>
      </c>
      <c r="H3059" s="281" t="s">
        <v>409</v>
      </c>
      <c r="I3059" s="281">
        <v>77425</v>
      </c>
      <c r="J3059" s="281" t="s">
        <v>11753</v>
      </c>
      <c r="K3059" s="281" t="s">
        <v>11829</v>
      </c>
      <c r="L3059" s="281" t="s">
        <v>364</v>
      </c>
      <c r="M3059" s="281"/>
      <c r="N3059" s="281"/>
      <c r="O3059" s="281"/>
      <c r="P3059" s="281"/>
      <c r="Q3059" s="281" t="str">
        <f>IF(A3059="SCORTA 10",1,"")</f>
        <v/>
      </c>
      <c r="R3059" s="1">
        <f>IF(H3059&lt;&gt;"",1,"")</f>
        <v>1</v>
      </c>
      <c r="S3059" s="1">
        <f>IF(I3059&lt;&gt;"",1,"")</f>
        <v>1</v>
      </c>
      <c r="T3059" s="512" t="e">
        <f>_xlfn.XLOOKUP(H3059,#REF!,#REF!,0,0)</f>
        <v>#REF!</v>
      </c>
    </row>
    <row r="3060" spans="1:20" s="376" customFormat="1" ht="18.75" customHeight="1" x14ac:dyDescent="0.4">
      <c r="A3060" s="1" t="s">
        <v>11793</v>
      </c>
      <c r="B3060" s="1" t="s">
        <v>11832</v>
      </c>
      <c r="C3060" s="1" t="s">
        <v>433</v>
      </c>
      <c r="D3060" s="1" t="s">
        <v>8127</v>
      </c>
      <c r="E3060" s="1" t="s">
        <v>10</v>
      </c>
      <c r="F3060" s="1" t="s">
        <v>437</v>
      </c>
      <c r="G3060" s="2">
        <v>45765</v>
      </c>
      <c r="H3060" s="1" t="s">
        <v>473</v>
      </c>
      <c r="I3060" s="1">
        <v>77372</v>
      </c>
      <c r="J3060" s="1" t="s">
        <v>11805</v>
      </c>
      <c r="K3060" s="1" t="s">
        <v>11835</v>
      </c>
      <c r="L3060" s="1" t="s">
        <v>364</v>
      </c>
      <c r="M3060" s="1" t="s">
        <v>364</v>
      </c>
      <c r="N3060" s="1" t="s">
        <v>364</v>
      </c>
      <c r="O3060" s="1" t="s">
        <v>364</v>
      </c>
      <c r="P3060" s="1" t="s">
        <v>11846</v>
      </c>
      <c r="Q3060" s="1" t="str">
        <f>IF(A3060="SCORTA 10",1,"")</f>
        <v/>
      </c>
      <c r="R3060" s="1">
        <f>IF(H3060&lt;&gt;"",1,"")</f>
        <v>1</v>
      </c>
      <c r="S3060" s="1">
        <f>IF(I3060&lt;&gt;"",1,"")</f>
        <v>1</v>
      </c>
      <c r="T3060" s="512" t="e">
        <f>_xlfn.XLOOKUP(H3060,#REF!,#REF!,0,0)</f>
        <v>#REF!</v>
      </c>
    </row>
    <row r="3061" spans="1:20" s="376" customFormat="1" ht="18.75" customHeight="1" x14ac:dyDescent="0.4">
      <c r="A3061" s="1" t="s">
        <v>11851</v>
      </c>
      <c r="B3061" s="1" t="s">
        <v>11856</v>
      </c>
      <c r="C3061" s="1" t="s">
        <v>433</v>
      </c>
      <c r="D3061" s="1" t="s">
        <v>8127</v>
      </c>
      <c r="E3061" s="1" t="s">
        <v>10</v>
      </c>
      <c r="F3061" s="1" t="s">
        <v>437</v>
      </c>
      <c r="G3061" s="2">
        <v>45901</v>
      </c>
      <c r="H3061" s="1" t="s">
        <v>11684</v>
      </c>
      <c r="I3061" s="1">
        <v>78176</v>
      </c>
      <c r="J3061" s="1" t="s">
        <v>11847</v>
      </c>
      <c r="K3061" s="1"/>
      <c r="L3061" s="1" t="s">
        <v>364</v>
      </c>
      <c r="M3061" s="1"/>
      <c r="N3061" s="1"/>
      <c r="O3061" s="1"/>
      <c r="P3061" s="1"/>
      <c r="Q3061" s="1" t="str">
        <f>IF(A3061="SCORTA 10",1,"")</f>
        <v/>
      </c>
      <c r="R3061" s="1">
        <v>1</v>
      </c>
      <c r="S3061" s="1">
        <v>1</v>
      </c>
      <c r="T3061" s="512" t="e">
        <f>_xlfn.XLOOKUP(H3061,#REF!,#REF!,0,0)</f>
        <v>#REF!</v>
      </c>
    </row>
    <row r="3062" spans="1:20" s="328" customFormat="1" x14ac:dyDescent="0.4">
      <c r="A3062" s="324" t="s">
        <v>11771</v>
      </c>
      <c r="B3062" s="522" t="s">
        <v>11782</v>
      </c>
      <c r="C3062" s="324" t="s">
        <v>431</v>
      </c>
      <c r="D3062" s="324" t="s">
        <v>8127</v>
      </c>
      <c r="E3062" s="325" t="s">
        <v>10</v>
      </c>
      <c r="F3062" s="324" t="s">
        <v>244</v>
      </c>
      <c r="G3062" s="326"/>
      <c r="H3062" s="324" t="s">
        <v>11768</v>
      </c>
      <c r="I3062" s="327">
        <v>70924</v>
      </c>
      <c r="J3062" s="324"/>
      <c r="K3062" s="326">
        <v>45950</v>
      </c>
      <c r="L3062" s="324" t="s">
        <v>364</v>
      </c>
      <c r="M3062" s="324" t="s">
        <v>364</v>
      </c>
      <c r="N3062" s="324" t="s">
        <v>364</v>
      </c>
      <c r="O3062" s="324" t="s">
        <v>364</v>
      </c>
      <c r="P3062" s="528" t="s">
        <v>11812</v>
      </c>
      <c r="Q3062" s="324"/>
      <c r="R3062" s="324"/>
      <c r="S3062" s="324"/>
      <c r="T3062" s="512" t="e">
        <f>_xlfn.XLOOKUP(H3062,#REF!,#REF!,0,0)</f>
        <v>#REF!</v>
      </c>
    </row>
    <row r="3063" spans="1:20" s="328" customFormat="1" x14ac:dyDescent="0.4">
      <c r="A3063" s="360" t="s">
        <v>11772</v>
      </c>
      <c r="B3063" s="525" t="s">
        <v>11781</v>
      </c>
      <c r="C3063" s="360" t="s">
        <v>431</v>
      </c>
      <c r="D3063" s="360" t="s">
        <v>8127</v>
      </c>
      <c r="E3063" s="536" t="s">
        <v>10</v>
      </c>
      <c r="F3063" s="360" t="s">
        <v>244</v>
      </c>
      <c r="G3063" s="527"/>
      <c r="H3063" s="360" t="s">
        <v>11769</v>
      </c>
      <c r="I3063" s="526">
        <v>72910</v>
      </c>
      <c r="J3063" s="360"/>
      <c r="K3063" s="527">
        <v>45950</v>
      </c>
      <c r="L3063" s="360" t="s">
        <v>364</v>
      </c>
      <c r="M3063" s="324" t="s">
        <v>364</v>
      </c>
      <c r="N3063" s="324" t="s">
        <v>364</v>
      </c>
      <c r="O3063" s="324" t="s">
        <v>364</v>
      </c>
      <c r="P3063" s="546" t="s">
        <v>11812</v>
      </c>
      <c r="Q3063" s="360"/>
      <c r="R3063" s="360"/>
      <c r="S3063" s="360"/>
      <c r="T3063" s="512" t="e">
        <f>_xlfn.XLOOKUP(H3063,#REF!,#REF!,0,0)</f>
        <v>#REF!</v>
      </c>
    </row>
    <row r="3064" spans="1:20" s="286" customFormat="1" x14ac:dyDescent="0.4">
      <c r="A3064" s="281" t="s">
        <v>11795</v>
      </c>
      <c r="B3064" s="281" t="s">
        <v>11730</v>
      </c>
      <c r="C3064" s="281" t="s">
        <v>433</v>
      </c>
      <c r="D3064" s="281" t="s">
        <v>8127</v>
      </c>
      <c r="E3064" s="281" t="s">
        <v>366</v>
      </c>
      <c r="F3064" s="281" t="s">
        <v>367</v>
      </c>
      <c r="G3064" s="2">
        <v>45751</v>
      </c>
      <c r="H3064" s="281" t="s">
        <v>414</v>
      </c>
      <c r="I3064" s="281">
        <v>77432</v>
      </c>
      <c r="J3064" s="281" t="s">
        <v>11806</v>
      </c>
      <c r="K3064" s="338">
        <v>45946.583333333336</v>
      </c>
      <c r="L3064" s="281" t="s">
        <v>364</v>
      </c>
      <c r="M3064" s="281" t="s">
        <v>364</v>
      </c>
      <c r="N3064" s="281" t="s">
        <v>364</v>
      </c>
      <c r="O3064" s="281" t="s">
        <v>364</v>
      </c>
      <c r="P3064" s="281"/>
      <c r="Q3064" s="281" t="str">
        <f>IF(A3064="SCORTA 10",1,"")</f>
        <v/>
      </c>
      <c r="R3064" s="1">
        <f t="shared" ref="R3064:S3067" si="126">IF(H3064&lt;&gt;"",1,"")</f>
        <v>1</v>
      </c>
      <c r="S3064" s="1">
        <f t="shared" si="126"/>
        <v>1</v>
      </c>
      <c r="T3064" s="512" t="e">
        <f>_xlfn.XLOOKUP(H3064,#REF!,#REF!,0,0)</f>
        <v>#REF!</v>
      </c>
    </row>
    <row r="3065" spans="1:20" s="286" customFormat="1" x14ac:dyDescent="0.4">
      <c r="A3065" s="281" t="s">
        <v>11867</v>
      </c>
      <c r="B3065" s="281"/>
      <c r="C3065" s="281" t="s">
        <v>8925</v>
      </c>
      <c r="D3065" s="281" t="s">
        <v>8127</v>
      </c>
      <c r="E3065" s="281" t="s">
        <v>366</v>
      </c>
      <c r="F3065" s="281" t="s">
        <v>367</v>
      </c>
      <c r="G3065" s="2">
        <v>45751</v>
      </c>
      <c r="H3065" s="281" t="s">
        <v>11861</v>
      </c>
      <c r="I3065" s="281">
        <v>77438</v>
      </c>
      <c r="J3065" s="281" t="s">
        <v>11864</v>
      </c>
      <c r="K3065" s="281"/>
      <c r="L3065" s="281"/>
      <c r="M3065" s="281"/>
      <c r="N3065" s="281"/>
      <c r="O3065" s="281"/>
      <c r="P3065" s="281"/>
      <c r="Q3065" s="281" t="str">
        <f>IF(A3065="SCORTA 10",1,"")</f>
        <v/>
      </c>
      <c r="R3065" s="1">
        <f t="shared" si="126"/>
        <v>1</v>
      </c>
      <c r="S3065" s="1">
        <f t="shared" si="126"/>
        <v>1</v>
      </c>
      <c r="T3065" s="512" t="e">
        <f>_xlfn.XLOOKUP(H3065,#REF!,#REF!,0,0)</f>
        <v>#REF!</v>
      </c>
    </row>
    <row r="3066" spans="1:20" s="286" customFormat="1" x14ac:dyDescent="0.4">
      <c r="A3066" s="281" t="s">
        <v>11868</v>
      </c>
      <c r="B3066" s="281"/>
      <c r="C3066" s="281" t="s">
        <v>8925</v>
      </c>
      <c r="D3066" s="281" t="s">
        <v>8127</v>
      </c>
      <c r="E3066" s="281" t="s">
        <v>366</v>
      </c>
      <c r="F3066" s="281" t="s">
        <v>367</v>
      </c>
      <c r="G3066" s="2">
        <v>45751</v>
      </c>
      <c r="H3066" s="281" t="s">
        <v>11862</v>
      </c>
      <c r="I3066" s="281">
        <v>77439</v>
      </c>
      <c r="J3066" s="281" t="s">
        <v>11865</v>
      </c>
      <c r="K3066" s="281"/>
      <c r="L3066" s="281"/>
      <c r="M3066" s="281"/>
      <c r="N3066" s="281"/>
      <c r="O3066" s="281"/>
      <c r="P3066" s="281"/>
      <c r="Q3066" s="281" t="str">
        <f>IF(A3066="SCORTA 10",1,"")</f>
        <v/>
      </c>
      <c r="R3066" s="1">
        <f t="shared" si="126"/>
        <v>1</v>
      </c>
      <c r="S3066" s="1">
        <f t="shared" si="126"/>
        <v>1</v>
      </c>
      <c r="T3066" s="512" t="e">
        <f>_xlfn.XLOOKUP(H3066,#REF!,#REF!,0,0)</f>
        <v>#REF!</v>
      </c>
    </row>
    <row r="3067" spans="1:20" s="286" customFormat="1" x14ac:dyDescent="0.4">
      <c r="A3067" s="281" t="s">
        <v>11869</v>
      </c>
      <c r="B3067" s="281"/>
      <c r="C3067" s="281" t="s">
        <v>8925</v>
      </c>
      <c r="D3067" s="281" t="s">
        <v>8127</v>
      </c>
      <c r="E3067" s="281" t="s">
        <v>366</v>
      </c>
      <c r="F3067" s="281" t="s">
        <v>367</v>
      </c>
      <c r="G3067" s="2">
        <v>45751</v>
      </c>
      <c r="H3067" s="281" t="s">
        <v>11863</v>
      </c>
      <c r="I3067" s="281">
        <v>77440</v>
      </c>
      <c r="J3067" s="281" t="s">
        <v>11866</v>
      </c>
      <c r="K3067" s="281"/>
      <c r="L3067" s="281"/>
      <c r="M3067" s="281"/>
      <c r="N3067" s="281"/>
      <c r="O3067" s="281"/>
      <c r="P3067" s="281"/>
      <c r="Q3067" s="281" t="str">
        <f>IF(A3067="SCORTA 10",1,"")</f>
        <v/>
      </c>
      <c r="R3067" s="1">
        <f t="shared" si="126"/>
        <v>1</v>
      </c>
      <c r="S3067" s="1">
        <f t="shared" si="126"/>
        <v>1</v>
      </c>
      <c r="T3067" s="512" t="e">
        <f>_xlfn.XLOOKUP(H3067,#REF!,#REF!,0,0)</f>
        <v>#REF!</v>
      </c>
    </row>
    <row r="3068" spans="1:20" s="328" customFormat="1" x14ac:dyDescent="0.4">
      <c r="A3068" s="324" t="s">
        <v>11840</v>
      </c>
      <c r="B3068" s="522" t="s">
        <v>11848</v>
      </c>
      <c r="C3068" s="324" t="s">
        <v>434</v>
      </c>
      <c r="D3068" s="324" t="s">
        <v>447</v>
      </c>
      <c r="E3068" s="325" t="s">
        <v>3693</v>
      </c>
      <c r="F3068" s="324" t="s">
        <v>3694</v>
      </c>
      <c r="G3068" s="326" t="s">
        <v>11837</v>
      </c>
      <c r="H3068" s="324" t="s">
        <v>11838</v>
      </c>
      <c r="I3068" s="327">
        <v>68202</v>
      </c>
      <c r="J3068" s="324"/>
      <c r="K3068" s="326"/>
      <c r="L3068" s="324"/>
      <c r="M3068" s="324"/>
      <c r="N3068" s="324"/>
      <c r="O3068" s="324"/>
      <c r="P3068" s="324"/>
      <c r="Q3068" s="324"/>
      <c r="R3068" s="324"/>
      <c r="S3068" s="324"/>
      <c r="T3068" s="512" t="e">
        <f>_xlfn.XLOOKUP(H3068,#REF!,#REF!,0,0)</f>
        <v>#REF!</v>
      </c>
    </row>
    <row r="3069" spans="1:20" s="286" customFormat="1" x14ac:dyDescent="0.4">
      <c r="A3069" s="281" t="s">
        <v>11763</v>
      </c>
      <c r="B3069" s="281" t="s">
        <v>11751</v>
      </c>
      <c r="C3069" s="281" t="s">
        <v>433</v>
      </c>
      <c r="D3069" s="281" t="s">
        <v>8127</v>
      </c>
      <c r="E3069" s="281" t="s">
        <v>366</v>
      </c>
      <c r="F3069" s="281" t="s">
        <v>367</v>
      </c>
      <c r="G3069" s="2">
        <v>45751</v>
      </c>
      <c r="H3069" s="281" t="s">
        <v>411</v>
      </c>
      <c r="I3069" s="281">
        <v>77427</v>
      </c>
      <c r="J3069" s="281" t="s">
        <v>11755</v>
      </c>
      <c r="K3069" s="291" t="s">
        <v>11785</v>
      </c>
      <c r="L3069" s="281" t="s">
        <v>364</v>
      </c>
      <c r="M3069" s="281" t="s">
        <v>364</v>
      </c>
      <c r="N3069" s="281" t="s">
        <v>364</v>
      </c>
      <c r="O3069" s="281" t="s">
        <v>364</v>
      </c>
      <c r="P3069" s="550" t="s">
        <v>11784</v>
      </c>
      <c r="Q3069" s="281" t="str">
        <f t="shared" ref="Q3069:Q3074" si="127">IF(A3069="SCORTA 10",1,"")</f>
        <v/>
      </c>
      <c r="R3069" s="1">
        <f>IF(H3069&lt;&gt;"",1,"")</f>
        <v>1</v>
      </c>
      <c r="S3069" s="1">
        <f>IF(I3069&lt;&gt;"",1,"")</f>
        <v>1</v>
      </c>
      <c r="T3069" s="512" t="e">
        <f>_xlfn.XLOOKUP(H3069,#REF!,#REF!,0,0)</f>
        <v>#REF!</v>
      </c>
    </row>
    <row r="3070" spans="1:20" s="286" customFormat="1" x14ac:dyDescent="0.4">
      <c r="A3070" s="281" t="s">
        <v>11799</v>
      </c>
      <c r="B3070" s="2" t="s">
        <v>11783</v>
      </c>
      <c r="C3070" s="281" t="s">
        <v>433</v>
      </c>
      <c r="D3070" s="281" t="s">
        <v>8127</v>
      </c>
      <c r="E3070" s="281" t="s">
        <v>366</v>
      </c>
      <c r="F3070" s="281" t="s">
        <v>367</v>
      </c>
      <c r="G3070" s="2">
        <v>45751</v>
      </c>
      <c r="H3070" s="281" t="s">
        <v>418</v>
      </c>
      <c r="I3070" s="281">
        <v>77436</v>
      </c>
      <c r="J3070" s="281" t="s">
        <v>11810</v>
      </c>
      <c r="K3070" s="281" t="s">
        <v>11836</v>
      </c>
      <c r="L3070" s="281" t="s">
        <v>364</v>
      </c>
      <c r="M3070" s="281" t="s">
        <v>364</v>
      </c>
      <c r="N3070" s="281" t="s">
        <v>364</v>
      </c>
      <c r="O3070" s="281" t="s">
        <v>364</v>
      </c>
      <c r="P3070" s="281" t="s">
        <v>11874</v>
      </c>
      <c r="Q3070" s="281" t="str">
        <f t="shared" si="127"/>
        <v/>
      </c>
      <c r="R3070" s="1">
        <f>IF(H3070&lt;&gt;"",1,"")</f>
        <v>1</v>
      </c>
      <c r="S3070" s="1">
        <f>IF(I3070&lt;&gt;"",1,"")</f>
        <v>1</v>
      </c>
      <c r="T3070" s="512" t="e">
        <f>_xlfn.XLOOKUP(H3070,#REF!,#REF!,0,0)</f>
        <v>#REF!</v>
      </c>
    </row>
    <row r="3071" spans="1:20" s="376" customFormat="1" ht="18.75" customHeight="1" x14ac:dyDescent="0.4">
      <c r="A3071" s="1" t="s">
        <v>11870</v>
      </c>
      <c r="B3071" s="1" t="s">
        <v>11860</v>
      </c>
      <c r="C3071" s="1" t="s">
        <v>433</v>
      </c>
      <c r="D3071" s="1" t="s">
        <v>8127</v>
      </c>
      <c r="E3071" s="1" t="s">
        <v>10</v>
      </c>
      <c r="F3071" s="1" t="s">
        <v>437</v>
      </c>
      <c r="G3071" s="2">
        <v>45901</v>
      </c>
      <c r="H3071" s="1" t="s">
        <v>11685</v>
      </c>
      <c r="I3071" s="1">
        <v>78177</v>
      </c>
      <c r="J3071" s="1" t="s">
        <v>11852</v>
      </c>
      <c r="K3071" s="2">
        <v>45952</v>
      </c>
      <c r="L3071" s="1" t="s">
        <v>364</v>
      </c>
      <c r="M3071" s="1"/>
      <c r="N3071" s="1"/>
      <c r="O3071" s="1"/>
      <c r="P3071" s="1" t="s">
        <v>11875</v>
      </c>
      <c r="Q3071" s="1" t="str">
        <f t="shared" si="127"/>
        <v/>
      </c>
      <c r="R3071" s="1">
        <v>1</v>
      </c>
      <c r="S3071" s="1">
        <v>1</v>
      </c>
      <c r="T3071" s="512" t="e">
        <f>_xlfn.XLOOKUP(H3071,#REF!,#REF!,0,0)</f>
        <v>#REF!</v>
      </c>
    </row>
    <row r="3072" spans="1:20" s="286" customFormat="1" x14ac:dyDescent="0.4">
      <c r="A3072" s="281" t="s">
        <v>11797</v>
      </c>
      <c r="B3072" s="281" t="s">
        <v>11831</v>
      </c>
      <c r="C3072" s="281" t="s">
        <v>433</v>
      </c>
      <c r="D3072" s="281" t="s">
        <v>8127</v>
      </c>
      <c r="E3072" s="281" t="s">
        <v>366</v>
      </c>
      <c r="F3072" s="281" t="s">
        <v>367</v>
      </c>
      <c r="G3072" s="2">
        <v>45751</v>
      </c>
      <c r="H3072" s="281" t="s">
        <v>416</v>
      </c>
      <c r="I3072" s="281">
        <v>77434</v>
      </c>
      <c r="J3072" s="281" t="s">
        <v>11808</v>
      </c>
      <c r="K3072" s="338">
        <v>45958.354166666664</v>
      </c>
      <c r="L3072" s="281" t="s">
        <v>364</v>
      </c>
      <c r="M3072" s="281" t="s">
        <v>364</v>
      </c>
      <c r="N3072" s="281"/>
      <c r="O3072" s="281" t="s">
        <v>364</v>
      </c>
      <c r="P3072" s="281" t="s">
        <v>6008</v>
      </c>
      <c r="Q3072" s="281" t="str">
        <f t="shared" si="127"/>
        <v/>
      </c>
      <c r="R3072" s="1">
        <f t="shared" ref="R3072:S3075" si="128">IF(H3072&lt;&gt;"",1,"")</f>
        <v>1</v>
      </c>
      <c r="S3072" s="1">
        <f t="shared" si="128"/>
        <v>1</v>
      </c>
      <c r="T3072" s="512" t="e">
        <f>_xlfn.XLOOKUP(H3072,#REF!,#REF!,0,0)</f>
        <v>#REF!</v>
      </c>
    </row>
    <row r="3073" spans="1:20" s="376" customFormat="1" ht="18.75" customHeight="1" x14ac:dyDescent="0.4">
      <c r="A3073" s="1" t="s">
        <v>11885</v>
      </c>
      <c r="B3073" s="1" t="s">
        <v>11876</v>
      </c>
      <c r="C3073" s="1" t="s">
        <v>433</v>
      </c>
      <c r="D3073" s="1" t="s">
        <v>8127</v>
      </c>
      <c r="E3073" s="1" t="s">
        <v>10</v>
      </c>
      <c r="F3073" s="1" t="s">
        <v>437</v>
      </c>
      <c r="G3073" s="2">
        <v>45765</v>
      </c>
      <c r="H3073" s="1" t="s">
        <v>438</v>
      </c>
      <c r="I3073" s="1">
        <v>77322</v>
      </c>
      <c r="J3073" s="1" t="s">
        <v>439</v>
      </c>
      <c r="K3073" s="1" t="s">
        <v>11878</v>
      </c>
      <c r="L3073" s="1" t="s">
        <v>364</v>
      </c>
      <c r="M3073" s="1" t="s">
        <v>364</v>
      </c>
      <c r="N3073" s="1" t="s">
        <v>364</v>
      </c>
      <c r="O3073" s="1" t="s">
        <v>364</v>
      </c>
      <c r="P3073" s="1" t="s">
        <v>11880</v>
      </c>
      <c r="Q3073" s="1" t="str">
        <f t="shared" si="127"/>
        <v/>
      </c>
      <c r="R3073" s="1">
        <f t="shared" si="128"/>
        <v>1</v>
      </c>
      <c r="S3073" s="1">
        <f t="shared" si="128"/>
        <v>1</v>
      </c>
      <c r="T3073" s="512" t="e">
        <f>_xlfn.XLOOKUP(H3073,#REF!,#REF!,0,0)</f>
        <v>#REF!</v>
      </c>
    </row>
    <row r="3074" spans="1:20" s="286" customFormat="1" x14ac:dyDescent="0.4">
      <c r="A3074" s="281" t="s">
        <v>11800</v>
      </c>
      <c r="B3074" s="281" t="s">
        <v>11877</v>
      </c>
      <c r="C3074" s="281" t="s">
        <v>433</v>
      </c>
      <c r="D3074" s="281" t="s">
        <v>8127</v>
      </c>
      <c r="E3074" s="281" t="s">
        <v>366</v>
      </c>
      <c r="F3074" s="281" t="s">
        <v>367</v>
      </c>
      <c r="G3074" s="2">
        <v>45751</v>
      </c>
      <c r="H3074" s="281" t="s">
        <v>419</v>
      </c>
      <c r="I3074" s="281">
        <v>77437</v>
      </c>
      <c r="J3074" s="281" t="s">
        <v>11811</v>
      </c>
      <c r="K3074" s="281" t="s">
        <v>11882</v>
      </c>
      <c r="L3074" s="281" t="s">
        <v>364</v>
      </c>
      <c r="M3074" s="281" t="s">
        <v>364</v>
      </c>
      <c r="N3074" s="281" t="s">
        <v>364</v>
      </c>
      <c r="O3074" s="281" t="s">
        <v>364</v>
      </c>
      <c r="P3074" s="281" t="s">
        <v>11883</v>
      </c>
      <c r="Q3074" s="281" t="str">
        <f t="shared" si="127"/>
        <v/>
      </c>
      <c r="R3074" s="1">
        <f t="shared" si="128"/>
        <v>1</v>
      </c>
      <c r="S3074" s="1">
        <f t="shared" si="128"/>
        <v>1</v>
      </c>
      <c r="T3074" s="512" t="e">
        <f>_xlfn.XLOOKUP(H3074,#REF!,#REF!,0,0)</f>
        <v>#REF!</v>
      </c>
    </row>
    <row r="3075" spans="1:20" s="286" customFormat="1" x14ac:dyDescent="0.4">
      <c r="A3075" s="281" t="s">
        <v>11888</v>
      </c>
      <c r="B3075" s="281" t="s">
        <v>11887</v>
      </c>
      <c r="C3075" s="281" t="s">
        <v>433</v>
      </c>
      <c r="D3075" s="281" t="s">
        <v>8127</v>
      </c>
      <c r="E3075" s="281" t="s">
        <v>366</v>
      </c>
      <c r="F3075" s="281" t="s">
        <v>367</v>
      </c>
      <c r="G3075" s="2">
        <v>45751</v>
      </c>
      <c r="H3075" s="281" t="s">
        <v>421</v>
      </c>
      <c r="I3075" s="281">
        <v>77442</v>
      </c>
      <c r="J3075" s="281" t="s">
        <v>11872</v>
      </c>
      <c r="K3075" s="281"/>
      <c r="L3075" s="281"/>
      <c r="M3075" s="281"/>
      <c r="N3075" s="281"/>
      <c r="O3075" s="281"/>
      <c r="P3075" s="281"/>
      <c r="Q3075" s="281" t="str">
        <f>IF(A3075="SCORTA 10",1,"")</f>
        <v/>
      </c>
      <c r="R3075" s="1">
        <f t="shared" si="128"/>
        <v>1</v>
      </c>
      <c r="S3075" s="1">
        <f t="shared" si="128"/>
        <v>1</v>
      </c>
      <c r="T3075" s="512" t="e">
        <f>_xlfn.XLOOKUP(H3075,#REF!,#REF!,0,0)</f>
        <v>#REF!</v>
      </c>
    </row>
    <row r="3076" spans="1:20" s="328" customFormat="1" x14ac:dyDescent="0.4">
      <c r="A3076" s="324" t="s">
        <v>11891</v>
      </c>
      <c r="B3076" s="522" t="s">
        <v>11889</v>
      </c>
      <c r="C3076" s="324" t="s">
        <v>434</v>
      </c>
      <c r="D3076" s="324" t="s">
        <v>3778</v>
      </c>
      <c r="E3076" s="325" t="s">
        <v>10</v>
      </c>
      <c r="F3076" s="324" t="s">
        <v>244</v>
      </c>
      <c r="G3076" s="326"/>
      <c r="H3076" s="324" t="s">
        <v>11884</v>
      </c>
      <c r="I3076" s="327">
        <v>76122</v>
      </c>
      <c r="J3076" s="324" t="s">
        <v>9350</v>
      </c>
      <c r="K3076" s="326">
        <v>45961</v>
      </c>
      <c r="L3076" s="324" t="s">
        <v>364</v>
      </c>
      <c r="M3076" s="324" t="s">
        <v>364</v>
      </c>
      <c r="N3076" s="324" t="s">
        <v>364</v>
      </c>
      <c r="O3076" s="324" t="s">
        <v>570</v>
      </c>
      <c r="P3076" s="324"/>
      <c r="Q3076" s="324"/>
      <c r="R3076" s="324"/>
      <c r="S3076" s="324"/>
      <c r="T3076" s="512" t="e">
        <f>_xlfn.XLOOKUP(H3076,#REF!,#REF!,0,0)</f>
        <v>#REF!</v>
      </c>
    </row>
    <row r="3077" spans="1:20" s="376" customFormat="1" x14ac:dyDescent="0.4">
      <c r="A3077" s="1" t="s">
        <v>11790</v>
      </c>
      <c r="B3077" s="1" t="s">
        <v>11892</v>
      </c>
      <c r="C3077" s="1" t="s">
        <v>433</v>
      </c>
      <c r="D3077" s="1" t="s">
        <v>8127</v>
      </c>
      <c r="E3077" s="1" t="s">
        <v>10</v>
      </c>
      <c r="F3077" s="1" t="s">
        <v>437</v>
      </c>
      <c r="G3077" s="2">
        <v>45765</v>
      </c>
      <c r="H3077" s="1" t="s">
        <v>470</v>
      </c>
      <c r="I3077" s="1">
        <v>77369</v>
      </c>
      <c r="J3077" s="1" t="s">
        <v>11801</v>
      </c>
      <c r="K3077" s="2">
        <v>45961</v>
      </c>
      <c r="L3077" s="1" t="s">
        <v>364</v>
      </c>
      <c r="M3077" s="1" t="s">
        <v>364</v>
      </c>
      <c r="N3077" s="1" t="s">
        <v>364</v>
      </c>
      <c r="O3077" s="1" t="s">
        <v>364</v>
      </c>
      <c r="P3077" s="1" t="s">
        <v>11893</v>
      </c>
      <c r="Q3077" s="1" t="str">
        <f>IF(A3077="SCORTA 10",1,"")</f>
        <v/>
      </c>
      <c r="R3077" s="1">
        <f>IF(H3077&lt;&gt;"",1,"")</f>
        <v>1</v>
      </c>
      <c r="S3077" s="1">
        <f>IF(I3077&lt;&gt;"",1,"")</f>
        <v>1</v>
      </c>
      <c r="T3077" s="512" t="e">
        <f>_xlfn.XLOOKUP(H3077,#REF!,#REF!,0,0)</f>
        <v>#REF!</v>
      </c>
    </row>
    <row r="3078" spans="1:20" s="376" customFormat="1" x14ac:dyDescent="0.4">
      <c r="A3078" s="1" t="s">
        <v>11894</v>
      </c>
      <c r="B3078" s="1" t="s">
        <v>11897</v>
      </c>
      <c r="C3078" s="1" t="s">
        <v>433</v>
      </c>
      <c r="D3078" s="1" t="s">
        <v>3778</v>
      </c>
      <c r="E3078" s="1" t="s">
        <v>10</v>
      </c>
      <c r="F3078" s="1" t="s">
        <v>437</v>
      </c>
      <c r="G3078" s="2">
        <v>45901</v>
      </c>
      <c r="H3078" s="1" t="s">
        <v>11686</v>
      </c>
      <c r="I3078" s="1">
        <v>78178</v>
      </c>
      <c r="J3078" s="1" t="s">
        <v>11853</v>
      </c>
      <c r="K3078" s="1"/>
      <c r="L3078" s="1" t="s">
        <v>364</v>
      </c>
      <c r="M3078" s="1" t="s">
        <v>364</v>
      </c>
      <c r="N3078" s="1"/>
      <c r="O3078" s="1" t="s">
        <v>364</v>
      </c>
      <c r="P3078" s="1"/>
      <c r="Q3078" s="1"/>
      <c r="R3078" s="1">
        <v>1</v>
      </c>
      <c r="S3078" s="1">
        <v>1</v>
      </c>
      <c r="T3078" s="512" t="e">
        <f>_xlfn.XLOOKUP(H3078,#REF!,#REF!,0,0)</f>
        <v>#REF!</v>
      </c>
    </row>
    <row r="3079" spans="1:20" s="376" customFormat="1" x14ac:dyDescent="0.4">
      <c r="A3079" s="1" t="s">
        <v>11895</v>
      </c>
      <c r="B3079" s="1" t="s">
        <v>11898</v>
      </c>
      <c r="C3079" s="1" t="s">
        <v>433</v>
      </c>
      <c r="D3079" s="1" t="s">
        <v>3778</v>
      </c>
      <c r="E3079" s="1" t="s">
        <v>10</v>
      </c>
      <c r="F3079" s="1" t="s">
        <v>437</v>
      </c>
      <c r="G3079" s="2">
        <v>45901</v>
      </c>
      <c r="H3079" s="1" t="s">
        <v>11687</v>
      </c>
      <c r="I3079" s="1">
        <v>78179</v>
      </c>
      <c r="J3079" s="1" t="s">
        <v>11854</v>
      </c>
      <c r="K3079" s="1"/>
      <c r="L3079" s="1" t="s">
        <v>364</v>
      </c>
      <c r="M3079" s="1" t="s">
        <v>364</v>
      </c>
      <c r="N3079" s="1"/>
      <c r="O3079" s="1" t="s">
        <v>364</v>
      </c>
      <c r="P3079" s="1"/>
      <c r="Q3079" s="1"/>
      <c r="R3079" s="1">
        <v>1</v>
      </c>
      <c r="S3079" s="1">
        <v>1</v>
      </c>
      <c r="T3079" s="512" t="e">
        <f>_xlfn.XLOOKUP(H3079,#REF!,#REF!,0,0)</f>
        <v>#REF!</v>
      </c>
    </row>
    <row r="3080" spans="1:20" s="376" customFormat="1" x14ac:dyDescent="0.4">
      <c r="A3080" s="1" t="s">
        <v>11896</v>
      </c>
      <c r="B3080" s="1" t="s">
        <v>11899</v>
      </c>
      <c r="C3080" s="1" t="s">
        <v>433</v>
      </c>
      <c r="D3080" s="1" t="s">
        <v>3778</v>
      </c>
      <c r="E3080" s="1" t="s">
        <v>10</v>
      </c>
      <c r="F3080" s="1" t="s">
        <v>437</v>
      </c>
      <c r="G3080" s="2">
        <v>45901</v>
      </c>
      <c r="H3080" s="1" t="s">
        <v>11688</v>
      </c>
      <c r="I3080" s="1">
        <v>78180</v>
      </c>
      <c r="J3080" s="1" t="s">
        <v>11855</v>
      </c>
      <c r="K3080" s="1"/>
      <c r="L3080" s="1" t="s">
        <v>364</v>
      </c>
      <c r="M3080" s="1" t="s">
        <v>364</v>
      </c>
      <c r="N3080" s="1"/>
      <c r="O3080" s="1" t="s">
        <v>364</v>
      </c>
      <c r="P3080" s="1"/>
      <c r="Q3080" s="1"/>
      <c r="R3080" s="1">
        <v>1</v>
      </c>
      <c r="S3080" s="1">
        <v>1</v>
      </c>
      <c r="T3080" s="512" t="e">
        <f>_xlfn.XLOOKUP(H3080,#REF!,#REF!,0,0)</f>
        <v>#REF!</v>
      </c>
    </row>
    <row r="3081" spans="1:20" s="328" customFormat="1" x14ac:dyDescent="0.4">
      <c r="A3081" s="324" t="s">
        <v>11886</v>
      </c>
      <c r="B3081" s="552" t="s">
        <v>11890</v>
      </c>
      <c r="C3081" s="324" t="s">
        <v>434</v>
      </c>
      <c r="D3081" s="324" t="s">
        <v>8127</v>
      </c>
      <c r="E3081" s="325" t="s">
        <v>11331</v>
      </c>
      <c r="F3081" s="325" t="s">
        <v>367</v>
      </c>
      <c r="G3081" s="333">
        <v>45673</v>
      </c>
      <c r="H3081" s="325" t="s">
        <v>377</v>
      </c>
      <c r="I3081" s="374">
        <v>77559</v>
      </c>
      <c r="J3081" s="324" t="s">
        <v>378</v>
      </c>
      <c r="K3081" s="326" t="s">
        <v>11901</v>
      </c>
      <c r="L3081" s="324"/>
      <c r="M3081" s="324"/>
      <c r="N3081" s="324"/>
      <c r="O3081" s="324"/>
      <c r="P3081" s="324"/>
      <c r="Q3081" s="324"/>
      <c r="R3081" s="324"/>
      <c r="S3081" s="324"/>
      <c r="T3081" s="512" t="e">
        <f>_xlfn.XLOOKUP(H3081,#REF!,#REF!,0,0)</f>
        <v>#REF!</v>
      </c>
    </row>
    <row r="3082" spans="1:20" s="376" customFormat="1" ht="18.75" customHeight="1" x14ac:dyDescent="0.4">
      <c r="A3082" s="1" t="s">
        <v>11791</v>
      </c>
      <c r="B3082" s="1" t="s">
        <v>11789</v>
      </c>
      <c r="C3082" s="1" t="s">
        <v>433</v>
      </c>
      <c r="D3082" s="1" t="s">
        <v>8127</v>
      </c>
      <c r="E3082" s="1" t="s">
        <v>10</v>
      </c>
      <c r="F3082" s="1" t="s">
        <v>437</v>
      </c>
      <c r="G3082" s="2">
        <v>45765</v>
      </c>
      <c r="H3082" s="1" t="s">
        <v>471</v>
      </c>
      <c r="I3082" s="1">
        <v>77370</v>
      </c>
      <c r="J3082" s="1" t="s">
        <v>11802</v>
      </c>
      <c r="K3082" s="553" t="s">
        <v>11879</v>
      </c>
      <c r="L3082" s="1" t="s">
        <v>11258</v>
      </c>
      <c r="M3082" s="1" t="s">
        <v>364</v>
      </c>
      <c r="N3082" s="1" t="s">
        <v>364</v>
      </c>
      <c r="O3082" s="1" t="s">
        <v>364</v>
      </c>
      <c r="P3082" s="1" t="s">
        <v>11881</v>
      </c>
      <c r="Q3082" s="1" t="str">
        <f>IF(A3082="SCORTA 10",1,"")</f>
        <v/>
      </c>
      <c r="R3082" s="1">
        <f>IF(H3082&lt;&gt;"",1,"")</f>
        <v>1</v>
      </c>
      <c r="S3082" s="1">
        <f>IF(I3082&lt;&gt;"",1,"")</f>
        <v>1</v>
      </c>
      <c r="T3082" s="512" t="e">
        <f>_xlfn.XLOOKUP(H3082,#REF!,#REF!,0,0)</f>
        <v>#REF!</v>
      </c>
    </row>
    <row r="3083" spans="1:20" s="286" customFormat="1" x14ac:dyDescent="0.4">
      <c r="A3083" s="281" t="s">
        <v>11904</v>
      </c>
      <c r="B3083" s="281" t="s">
        <v>11900</v>
      </c>
      <c r="C3083" s="1" t="s">
        <v>433</v>
      </c>
      <c r="D3083" s="281" t="s">
        <v>447</v>
      </c>
      <c r="E3083" s="281" t="s">
        <v>366</v>
      </c>
      <c r="F3083" s="281" t="s">
        <v>367</v>
      </c>
      <c r="G3083" s="2">
        <v>45751</v>
      </c>
      <c r="H3083" s="281" t="s">
        <v>420</v>
      </c>
      <c r="I3083" s="281">
        <v>77441</v>
      </c>
      <c r="J3083" s="281" t="s">
        <v>11871</v>
      </c>
      <c r="K3083" s="2" t="s">
        <v>11912</v>
      </c>
      <c r="L3083" s="281" t="s">
        <v>364</v>
      </c>
      <c r="M3083" s="281" t="s">
        <v>364</v>
      </c>
      <c r="N3083" s="281" t="s">
        <v>364</v>
      </c>
      <c r="O3083" s="281" t="s">
        <v>364</v>
      </c>
      <c r="P3083" s="550" t="s">
        <v>11911</v>
      </c>
      <c r="Q3083" s="281" t="str">
        <f>IF(A3083="SCORTA 10",1,"")</f>
        <v/>
      </c>
      <c r="R3083" s="1">
        <f>IF(H3083&lt;&gt;"",1,"")</f>
        <v>1</v>
      </c>
      <c r="S3083" s="1">
        <f>IF(I3083&lt;&gt;"",1,"")</f>
        <v>1</v>
      </c>
      <c r="T3083" s="512" t="e">
        <f>_xlfn.XLOOKUP(H3083,#REF!,#REF!,0,0)</f>
        <v>#REF!</v>
      </c>
    </row>
    <row r="3084" spans="1:20" s="328" customFormat="1" x14ac:dyDescent="0.4">
      <c r="A3084" s="324" t="s">
        <v>11918</v>
      </c>
      <c r="B3084" s="522" t="s">
        <v>11917</v>
      </c>
      <c r="C3084" s="324" t="s">
        <v>434</v>
      </c>
      <c r="D3084" s="324" t="s">
        <v>8127</v>
      </c>
      <c r="E3084" s="325" t="s">
        <v>10</v>
      </c>
      <c r="F3084" s="324" t="s">
        <v>11902</v>
      </c>
      <c r="G3084" s="326"/>
      <c r="H3084" s="324" t="s">
        <v>11303</v>
      </c>
      <c r="I3084" s="324">
        <v>76188</v>
      </c>
      <c r="J3084" s="324" t="s">
        <v>9423</v>
      </c>
      <c r="K3084" s="326"/>
      <c r="L3084" s="324"/>
      <c r="M3084" s="324"/>
      <c r="N3084" s="324"/>
      <c r="O3084" s="324"/>
      <c r="P3084" s="324"/>
      <c r="Q3084" s="324"/>
      <c r="R3084" s="324">
        <v>1</v>
      </c>
      <c r="S3084" s="324"/>
      <c r="T3084" s="512" t="e">
        <f>_xlfn.XLOOKUP(H3084,#REF!,#REF!,0,0)</f>
        <v>#REF!</v>
      </c>
    </row>
    <row r="3085" spans="1:20" s="286" customFormat="1" x14ac:dyDescent="0.4">
      <c r="A3085" s="281" t="s">
        <v>11920</v>
      </c>
      <c r="B3085" s="281" t="s">
        <v>11919</v>
      </c>
      <c r="C3085" s="281" t="s">
        <v>433</v>
      </c>
      <c r="D3085" s="281" t="s">
        <v>8127</v>
      </c>
      <c r="E3085" s="281" t="s">
        <v>366</v>
      </c>
      <c r="F3085" s="281" t="s">
        <v>367</v>
      </c>
      <c r="G3085" s="2">
        <v>45751</v>
      </c>
      <c r="H3085" s="281" t="s">
        <v>422</v>
      </c>
      <c r="I3085" s="281">
        <v>77443</v>
      </c>
      <c r="J3085" s="281" t="s">
        <v>11916</v>
      </c>
      <c r="K3085" s="2" t="s">
        <v>11921</v>
      </c>
      <c r="L3085" s="281" t="s">
        <v>364</v>
      </c>
      <c r="M3085" s="281" t="s">
        <v>364</v>
      </c>
      <c r="N3085" s="281" t="s">
        <v>364</v>
      </c>
      <c r="O3085" s="281" t="s">
        <v>364</v>
      </c>
      <c r="P3085" s="281"/>
      <c r="Q3085" s="281" t="str">
        <f>IF(A3085="SCORTA 10",1,"")</f>
        <v/>
      </c>
      <c r="R3085" s="1">
        <f>IF(H3085&lt;&gt;"",1,"")</f>
        <v>1</v>
      </c>
      <c r="S3085" s="1">
        <f>IF(AND(A3085&lt;&gt;"",A3085&lt;&gt;"SCORTA 10"),1,"")</f>
        <v>1</v>
      </c>
      <c r="T3085" s="512" t="e">
        <f>_xlfn.XLOOKUP(H3085,#REF!,#REF!,0,0)</f>
        <v>#REF!</v>
      </c>
    </row>
    <row r="3086" spans="1:20" s="328" customFormat="1" x14ac:dyDescent="0.4">
      <c r="A3086" s="324" t="s">
        <v>11770</v>
      </c>
      <c r="B3086" s="522" t="s">
        <v>530</v>
      </c>
      <c r="C3086" s="324" t="s">
        <v>434</v>
      </c>
      <c r="D3086" s="324"/>
      <c r="E3086" s="325" t="s">
        <v>10</v>
      </c>
      <c r="F3086" s="324" t="s">
        <v>68</v>
      </c>
      <c r="G3086" s="326"/>
      <c r="H3086" s="324" t="s">
        <v>11766</v>
      </c>
      <c r="I3086" s="327">
        <v>71544</v>
      </c>
      <c r="J3086" s="324"/>
      <c r="K3086" s="326" t="s">
        <v>11914</v>
      </c>
      <c r="L3086" s="324" t="s">
        <v>364</v>
      </c>
      <c r="M3086" s="324" t="s">
        <v>364</v>
      </c>
      <c r="N3086" s="324" t="s">
        <v>364</v>
      </c>
      <c r="O3086" s="324"/>
      <c r="P3086" s="324" t="s">
        <v>11915</v>
      </c>
      <c r="Q3086" s="324"/>
      <c r="R3086" s="324">
        <v>1</v>
      </c>
      <c r="S3086" s="324"/>
      <c r="T3086" s="512" t="e">
        <f>_xlfn.XLOOKUP(H3086,#REF!,#REF!,0,0)</f>
        <v>#REF!</v>
      </c>
    </row>
    <row r="3087" spans="1:20" s="376" customFormat="1" ht="18.75" customHeight="1" x14ac:dyDescent="0.4">
      <c r="A3087" s="1" t="s">
        <v>11922</v>
      </c>
      <c r="B3087" s="1" t="s">
        <v>11938</v>
      </c>
      <c r="C3087" s="1" t="s">
        <v>433</v>
      </c>
      <c r="D3087" s="1" t="s">
        <v>8008</v>
      </c>
      <c r="E3087" s="1" t="s">
        <v>10</v>
      </c>
      <c r="F3087" s="1" t="s">
        <v>437</v>
      </c>
      <c r="G3087" s="2">
        <v>45901</v>
      </c>
      <c r="H3087" s="1" t="s">
        <v>11689</v>
      </c>
      <c r="I3087" s="1">
        <v>78181</v>
      </c>
      <c r="J3087" s="1" t="s">
        <v>11906</v>
      </c>
      <c r="K3087" s="553"/>
      <c r="L3087" s="1"/>
      <c r="M3087" s="1"/>
      <c r="N3087" s="1"/>
      <c r="O3087" s="1"/>
      <c r="P3087" s="1"/>
      <c r="Q3087" s="1"/>
      <c r="R3087" s="1">
        <v>1</v>
      </c>
      <c r="S3087" s="1"/>
      <c r="T3087" s="512" t="e">
        <f>_xlfn.XLOOKUP(H3087,#REF!,#REF!,0,0)</f>
        <v>#REF!</v>
      </c>
    </row>
    <row r="3088" spans="1:20" s="286" customFormat="1" x14ac:dyDescent="0.4">
      <c r="A3088" s="281" t="s">
        <v>11952</v>
      </c>
      <c r="B3088" s="281" t="s">
        <v>11925</v>
      </c>
      <c r="C3088" s="281" t="s">
        <v>8925</v>
      </c>
      <c r="D3088" s="281" t="s">
        <v>8127</v>
      </c>
      <c r="E3088" s="281" t="s">
        <v>366</v>
      </c>
      <c r="F3088" s="281" t="s">
        <v>367</v>
      </c>
      <c r="G3088" s="2">
        <v>45751</v>
      </c>
      <c r="H3088" s="281" t="s">
        <v>11926</v>
      </c>
      <c r="I3088" s="281">
        <v>77444</v>
      </c>
      <c r="J3088" s="281" t="s">
        <v>11937</v>
      </c>
      <c r="K3088" s="2"/>
      <c r="L3088" s="281" t="s">
        <v>364</v>
      </c>
      <c r="M3088" s="281" t="s">
        <v>364</v>
      </c>
      <c r="N3088" s="281"/>
      <c r="O3088" s="281" t="s">
        <v>364</v>
      </c>
      <c r="P3088" s="281" t="s">
        <v>11931</v>
      </c>
      <c r="Q3088" s="281" t="str">
        <f>IF(A3088="SCORTA 10",1,"")</f>
        <v/>
      </c>
      <c r="R3088" s="1">
        <f>IF(H3088&lt;&gt;"",1,"")</f>
        <v>1</v>
      </c>
      <c r="S3088" s="1">
        <f>IF(AND(A3088&lt;&gt;"",A3088&lt;&gt;"SCORTA 10"),1,"")</f>
        <v>1</v>
      </c>
      <c r="T3088" s="512" t="e">
        <f>_xlfn.XLOOKUP(H3088,#REF!,#REF!,0,0)</f>
        <v>#REF!</v>
      </c>
    </row>
    <row r="3089" spans="1:20" s="328" customFormat="1" x14ac:dyDescent="0.4">
      <c r="A3089" s="324" t="s">
        <v>11954</v>
      </c>
      <c r="B3089" s="522" t="s">
        <v>11939</v>
      </c>
      <c r="C3089" s="324" t="s">
        <v>434</v>
      </c>
      <c r="D3089" s="324" t="s">
        <v>8127</v>
      </c>
      <c r="E3089" s="325" t="s">
        <v>10</v>
      </c>
      <c r="F3089" s="324" t="s">
        <v>437</v>
      </c>
      <c r="G3089" s="326"/>
      <c r="H3089" s="324" t="s">
        <v>470</v>
      </c>
      <c r="I3089" s="327">
        <v>77369</v>
      </c>
      <c r="J3089" s="324" t="s">
        <v>11801</v>
      </c>
      <c r="K3089" s="326">
        <v>45971</v>
      </c>
      <c r="L3089" s="324" t="s">
        <v>364</v>
      </c>
      <c r="M3089" s="324" t="s">
        <v>364</v>
      </c>
      <c r="N3089" s="324"/>
      <c r="O3089" s="324" t="s">
        <v>364</v>
      </c>
      <c r="P3089" s="324" t="s">
        <v>11955</v>
      </c>
      <c r="Q3089" s="324"/>
      <c r="R3089" s="324">
        <v>1</v>
      </c>
      <c r="S3089" s="324"/>
      <c r="T3089" s="512" t="e">
        <f>_xlfn.XLOOKUP(H3089,#REF!,#REF!,0,0)</f>
        <v>#REF!</v>
      </c>
    </row>
    <row r="3090" spans="1:20" s="328" customFormat="1" x14ac:dyDescent="0.4">
      <c r="A3090" s="324" t="s">
        <v>11957</v>
      </c>
      <c r="B3090" s="522" t="s">
        <v>11903</v>
      </c>
      <c r="C3090" s="324" t="s">
        <v>434</v>
      </c>
      <c r="D3090" s="324" t="s">
        <v>8127</v>
      </c>
      <c r="E3090" s="325" t="s">
        <v>11331</v>
      </c>
      <c r="F3090" s="324" t="s">
        <v>367</v>
      </c>
      <c r="G3090" s="326"/>
      <c r="H3090" s="324" t="s">
        <v>421</v>
      </c>
      <c r="I3090" s="324">
        <v>77442</v>
      </c>
      <c r="J3090" s="324"/>
      <c r="K3090" s="326" t="s">
        <v>11913</v>
      </c>
      <c r="L3090" s="324" t="s">
        <v>364</v>
      </c>
      <c r="M3090" s="324" t="s">
        <v>364</v>
      </c>
      <c r="N3090" s="324"/>
      <c r="O3090" s="324" t="s">
        <v>364</v>
      </c>
      <c r="P3090" s="324" t="s">
        <v>11959</v>
      </c>
      <c r="Q3090" s="324"/>
      <c r="R3090" s="324">
        <v>1</v>
      </c>
      <c r="S3090" s="324"/>
      <c r="T3090" s="512" t="e">
        <f>_xlfn.XLOOKUP(H3090,#REF!,#REF!,0,0)</f>
        <v>#REF!</v>
      </c>
    </row>
    <row r="3091" spans="1:20" s="376" customFormat="1" ht="18.75" customHeight="1" x14ac:dyDescent="0.4">
      <c r="A3091" s="1" t="s">
        <v>11923</v>
      </c>
      <c r="B3091" s="555" t="s">
        <v>11966</v>
      </c>
      <c r="C3091" s="1" t="s">
        <v>433</v>
      </c>
      <c r="D3091" s="1" t="s">
        <v>3778</v>
      </c>
      <c r="E3091" s="1" t="s">
        <v>10</v>
      </c>
      <c r="F3091" s="1" t="s">
        <v>437</v>
      </c>
      <c r="G3091" s="2">
        <v>45901</v>
      </c>
      <c r="H3091" s="1" t="s">
        <v>11690</v>
      </c>
      <c r="I3091" s="1">
        <v>78182</v>
      </c>
      <c r="J3091" s="1" t="s">
        <v>11907</v>
      </c>
      <c r="K3091" s="553"/>
      <c r="L3091" s="324" t="s">
        <v>364</v>
      </c>
      <c r="M3091" s="324" t="s">
        <v>364</v>
      </c>
      <c r="N3091" s="1"/>
      <c r="O3091" s="324" t="s">
        <v>364</v>
      </c>
      <c r="P3091" s="1"/>
      <c r="Q3091" s="1"/>
      <c r="R3091" s="1">
        <v>1</v>
      </c>
      <c r="S3091" s="1"/>
      <c r="T3091" s="512" t="e">
        <f>_xlfn.XLOOKUP(H3091,#REF!,#REF!,0,0)</f>
        <v>#REF!</v>
      </c>
    </row>
    <row r="3092" spans="1:20" s="376" customFormat="1" ht="18.75" customHeight="1" x14ac:dyDescent="0.4">
      <c r="A3092" s="1" t="s">
        <v>11924</v>
      </c>
      <c r="B3092" s="555" t="s">
        <v>11967</v>
      </c>
      <c r="C3092" s="1" t="s">
        <v>433</v>
      </c>
      <c r="D3092" s="1" t="s">
        <v>3778</v>
      </c>
      <c r="E3092" s="1" t="s">
        <v>10</v>
      </c>
      <c r="F3092" s="1" t="s">
        <v>437</v>
      </c>
      <c r="G3092" s="2">
        <v>45901</v>
      </c>
      <c r="H3092" s="1" t="s">
        <v>11691</v>
      </c>
      <c r="I3092" s="1">
        <v>78183</v>
      </c>
      <c r="J3092" s="1" t="s">
        <v>11908</v>
      </c>
      <c r="K3092" s="553"/>
      <c r="L3092" s="324" t="s">
        <v>364</v>
      </c>
      <c r="M3092" s="324" t="s">
        <v>364</v>
      </c>
      <c r="N3092" s="1"/>
      <c r="O3092" s="324" t="s">
        <v>364</v>
      </c>
      <c r="P3092" s="1"/>
      <c r="Q3092" s="1"/>
      <c r="R3092" s="1">
        <v>1</v>
      </c>
      <c r="S3092" s="1"/>
      <c r="T3092" s="512" t="e">
        <f>_xlfn.XLOOKUP(H3092,#REF!,#REF!,0,0)</f>
        <v>#REF!</v>
      </c>
    </row>
    <row r="3093" spans="1:20" s="328" customFormat="1" x14ac:dyDescent="0.4">
      <c r="A3093" s="360" t="s">
        <v>11969</v>
      </c>
      <c r="B3093" s="525" t="s">
        <v>11968</v>
      </c>
      <c r="C3093" s="360" t="s">
        <v>434</v>
      </c>
      <c r="D3093" s="360" t="s">
        <v>3778</v>
      </c>
      <c r="E3093" s="536" t="s">
        <v>10</v>
      </c>
      <c r="F3093" s="360" t="s">
        <v>11909</v>
      </c>
      <c r="G3093" s="527"/>
      <c r="H3093" s="360" t="s">
        <v>11910</v>
      </c>
      <c r="I3093" s="526">
        <v>72758</v>
      </c>
      <c r="J3093" s="360" t="s">
        <v>7581</v>
      </c>
      <c r="K3093" s="527"/>
      <c r="L3093" s="324" t="s">
        <v>364</v>
      </c>
      <c r="M3093" s="324" t="s">
        <v>364</v>
      </c>
      <c r="N3093" s="360"/>
      <c r="O3093" s="324" t="s">
        <v>364</v>
      </c>
      <c r="P3093" s="360"/>
      <c r="Q3093" s="360"/>
      <c r="R3093" s="360">
        <v>1</v>
      </c>
      <c r="S3093" s="360"/>
      <c r="T3093" s="512" t="e">
        <f>_xlfn.XLOOKUP(H3093,#REF!,#REF!,0,0)</f>
        <v>#REF!</v>
      </c>
    </row>
    <row r="3094" spans="1:20" s="328" customFormat="1" x14ac:dyDescent="0.4">
      <c r="A3094" s="324" t="s">
        <v>11963</v>
      </c>
      <c r="B3094" s="522" t="s">
        <v>11953</v>
      </c>
      <c r="C3094" s="324" t="s">
        <v>376</v>
      </c>
      <c r="D3094" s="324" t="s">
        <v>8127</v>
      </c>
      <c r="E3094" s="325" t="s">
        <v>11331</v>
      </c>
      <c r="F3094" s="324" t="s">
        <v>367</v>
      </c>
      <c r="G3094" s="326"/>
      <c r="H3094" s="324" t="s">
        <v>11944</v>
      </c>
      <c r="I3094" s="327">
        <v>73761</v>
      </c>
      <c r="J3094" s="324" t="s">
        <v>9565</v>
      </c>
      <c r="K3094" s="326" t="s">
        <v>11960</v>
      </c>
      <c r="L3094" s="324" t="s">
        <v>364</v>
      </c>
      <c r="M3094" s="324"/>
      <c r="N3094" s="324"/>
      <c r="O3094" s="324"/>
      <c r="P3094" s="324" t="s">
        <v>11970</v>
      </c>
      <c r="Q3094" s="324"/>
      <c r="R3094" s="324">
        <v>1</v>
      </c>
      <c r="S3094" s="324"/>
      <c r="T3094" s="512" t="e">
        <f>_xlfn.XLOOKUP(H3094,#REF!,#REF!,0,0)</f>
        <v>#REF!</v>
      </c>
    </row>
    <row r="3095" spans="1:20" s="512" customFormat="1" x14ac:dyDescent="0.4">
      <c r="A3095" s="324" t="s">
        <v>11929</v>
      </c>
      <c r="B3095" s="522" t="s">
        <v>11928</v>
      </c>
      <c r="C3095" s="324" t="s">
        <v>433</v>
      </c>
      <c r="D3095" s="324" t="s">
        <v>447</v>
      </c>
      <c r="E3095" s="325" t="s">
        <v>3746</v>
      </c>
      <c r="F3095" s="324" t="s">
        <v>11927</v>
      </c>
      <c r="G3095" s="326"/>
      <c r="H3095" s="324" t="s">
        <v>11930</v>
      </c>
      <c r="I3095" s="327">
        <v>73808</v>
      </c>
      <c r="J3095" s="554" t="s">
        <v>11936</v>
      </c>
      <c r="K3095" s="326"/>
      <c r="L3095" s="324" t="s">
        <v>570</v>
      </c>
      <c r="M3095" s="324" t="s">
        <v>570</v>
      </c>
      <c r="N3095" s="324" t="s">
        <v>570</v>
      </c>
      <c r="O3095" s="324"/>
      <c r="P3095" s="324"/>
      <c r="Q3095" s="324"/>
      <c r="R3095" s="324">
        <v>1</v>
      </c>
      <c r="S3095" s="324"/>
      <c r="T3095" s="512" t="e">
        <f>_xlfn.XLOOKUP(H3095,#REF!,#REF!,0,0)</f>
        <v>#REF!</v>
      </c>
    </row>
    <row r="3096" spans="1:20" s="512" customFormat="1" x14ac:dyDescent="0.4">
      <c r="A3096" s="324" t="s">
        <v>11934</v>
      </c>
      <c r="B3096" s="522" t="s">
        <v>11928</v>
      </c>
      <c r="C3096" s="324" t="s">
        <v>433</v>
      </c>
      <c r="D3096" s="324" t="s">
        <v>447</v>
      </c>
      <c r="E3096" s="325" t="s">
        <v>3746</v>
      </c>
      <c r="F3096" s="324" t="s">
        <v>11932</v>
      </c>
      <c r="G3096" s="326"/>
      <c r="H3096" s="324" t="s">
        <v>11933</v>
      </c>
      <c r="I3096" s="327">
        <v>73659</v>
      </c>
      <c r="J3096" s="554" t="s">
        <v>11935</v>
      </c>
      <c r="K3096" s="326"/>
      <c r="L3096" s="324" t="s">
        <v>570</v>
      </c>
      <c r="M3096" s="324" t="s">
        <v>570</v>
      </c>
      <c r="N3096" s="324" t="s">
        <v>570</v>
      </c>
      <c r="O3096" s="324"/>
      <c r="P3096" s="324"/>
      <c r="Q3096" s="324"/>
      <c r="R3096" s="324">
        <v>1</v>
      </c>
      <c r="S3096" s="324"/>
      <c r="T3096" s="512" t="e">
        <f>_xlfn.XLOOKUP(H3096,#REF!,#REF!,0,0)</f>
        <v>#REF!</v>
      </c>
    </row>
    <row r="3097" spans="1:20" s="328" customFormat="1" x14ac:dyDescent="0.4">
      <c r="A3097" s="324" t="s">
        <v>11984</v>
      </c>
      <c r="B3097" s="522" t="s">
        <v>11958</v>
      </c>
      <c r="C3097" s="324" t="s">
        <v>434</v>
      </c>
      <c r="D3097" s="324" t="s">
        <v>8127</v>
      </c>
      <c r="E3097" s="325" t="s">
        <v>11331</v>
      </c>
      <c r="F3097" s="324" t="s">
        <v>367</v>
      </c>
      <c r="G3097" s="326"/>
      <c r="H3097" s="324" t="s">
        <v>10980</v>
      </c>
      <c r="I3097" s="327">
        <v>77562</v>
      </c>
      <c r="J3097" s="324"/>
      <c r="K3097" s="326" t="s">
        <v>11985</v>
      </c>
      <c r="L3097" s="324" t="s">
        <v>364</v>
      </c>
      <c r="M3097" s="324" t="s">
        <v>364</v>
      </c>
      <c r="N3097" s="324"/>
      <c r="O3097" s="324" t="s">
        <v>364</v>
      </c>
      <c r="P3097" s="324" t="s">
        <v>523</v>
      </c>
      <c r="Q3097" s="324"/>
      <c r="R3097" s="324">
        <v>1</v>
      </c>
      <c r="T3097" s="512" t="e">
        <f>_xlfn.XLOOKUP(H3097,#REF!,#REF!,0,0)</f>
        <v>#REF!</v>
      </c>
    </row>
    <row r="3098" spans="1:20" s="286" customFormat="1" x14ac:dyDescent="0.4">
      <c r="A3098" s="281" t="s">
        <v>11973</v>
      </c>
      <c r="B3098" s="281" t="s">
        <v>11964</v>
      </c>
      <c r="C3098" s="281" t="s">
        <v>435</v>
      </c>
      <c r="D3098" s="281" t="s">
        <v>8127</v>
      </c>
      <c r="E3098" s="281" t="s">
        <v>366</v>
      </c>
      <c r="F3098" s="281" t="s">
        <v>367</v>
      </c>
      <c r="G3098" s="2">
        <v>45751</v>
      </c>
      <c r="H3098" s="281" t="s">
        <v>423</v>
      </c>
      <c r="I3098" s="281">
        <v>77445</v>
      </c>
      <c r="J3098" s="281" t="s">
        <v>11971</v>
      </c>
      <c r="K3098" s="2">
        <v>45978</v>
      </c>
      <c r="L3098" s="281" t="s">
        <v>364</v>
      </c>
      <c r="M3098" s="281"/>
      <c r="N3098" s="281" t="s">
        <v>364</v>
      </c>
      <c r="O3098" s="281" t="s">
        <v>364</v>
      </c>
      <c r="P3098" s="281" t="s">
        <v>11993</v>
      </c>
      <c r="Q3098" s="281" t="str">
        <f>IF(A3098="SCORTA 10",1,"")</f>
        <v/>
      </c>
      <c r="R3098" s="1">
        <f>IF(H3098&lt;&gt;"",1,"")</f>
        <v>1</v>
      </c>
      <c r="S3098" s="281">
        <f>IF(AND(A3098&lt;&gt;"",A3098&lt;&gt;"SCORTA 10"),1,"")</f>
        <v>1</v>
      </c>
      <c r="T3098" s="512" t="e">
        <f>_xlfn.XLOOKUP(H3098,#REF!,#REF!,0,0)</f>
        <v>#REF!</v>
      </c>
    </row>
    <row r="3099" spans="1:20" s="328" customFormat="1" x14ac:dyDescent="0.4">
      <c r="A3099" s="324" t="s">
        <v>11987</v>
      </c>
      <c r="B3099" s="522" t="s">
        <v>11844</v>
      </c>
      <c r="C3099" s="324" t="s">
        <v>433</v>
      </c>
      <c r="D3099" s="324" t="s">
        <v>8127</v>
      </c>
      <c r="E3099" s="325" t="s">
        <v>10</v>
      </c>
      <c r="F3099" s="324" t="s">
        <v>11995</v>
      </c>
      <c r="G3099" s="326">
        <v>45968</v>
      </c>
      <c r="H3099" s="324" t="s">
        <v>11976</v>
      </c>
      <c r="I3099" s="327">
        <v>78222</v>
      </c>
      <c r="J3099" s="324" t="s">
        <v>11978</v>
      </c>
      <c r="K3099" s="326">
        <v>45978</v>
      </c>
      <c r="L3099" s="324"/>
      <c r="M3099" s="324"/>
      <c r="N3099" s="324"/>
      <c r="O3099" s="324"/>
      <c r="P3099" s="528" t="s">
        <v>11986</v>
      </c>
      <c r="Q3099" s="324"/>
      <c r="R3099" s="324"/>
      <c r="T3099" s="512" t="e">
        <f>_xlfn.XLOOKUP(H3099,#REF!,#REF!,0,0)</f>
        <v>#REF!</v>
      </c>
    </row>
    <row r="3100" spans="1:20" s="328" customFormat="1" x14ac:dyDescent="0.4">
      <c r="A3100" s="324" t="s">
        <v>11988</v>
      </c>
      <c r="B3100" s="522" t="s">
        <v>11844</v>
      </c>
      <c r="C3100" s="324" t="s">
        <v>433</v>
      </c>
      <c r="D3100" s="324" t="s">
        <v>8127</v>
      </c>
      <c r="E3100" s="325" t="s">
        <v>10</v>
      </c>
      <c r="F3100" s="324" t="s">
        <v>11995</v>
      </c>
      <c r="G3100" s="326">
        <v>45968</v>
      </c>
      <c r="H3100" s="324" t="s">
        <v>11977</v>
      </c>
      <c r="I3100" s="327">
        <v>78223</v>
      </c>
      <c r="J3100" s="324" t="s">
        <v>11979</v>
      </c>
      <c r="K3100" s="326">
        <v>45978</v>
      </c>
      <c r="L3100" s="324"/>
      <c r="M3100" s="324"/>
      <c r="N3100" s="324"/>
      <c r="O3100" s="324"/>
      <c r="P3100" s="324" t="s">
        <v>11981</v>
      </c>
      <c r="Q3100" s="324"/>
      <c r="R3100" s="324"/>
      <c r="T3100" s="512" t="e">
        <f>_xlfn.XLOOKUP(H3100,#REF!,#REF!,0,0)</f>
        <v>#REF!</v>
      </c>
    </row>
    <row r="3101" spans="1:20" s="328" customFormat="1" x14ac:dyDescent="0.4">
      <c r="A3101" s="324" t="s">
        <v>11998</v>
      </c>
      <c r="B3101" s="522" t="s">
        <v>11962</v>
      </c>
      <c r="C3101" s="324" t="s">
        <v>434</v>
      </c>
      <c r="D3101" s="324" t="s">
        <v>8127</v>
      </c>
      <c r="E3101" s="325" t="s">
        <v>10</v>
      </c>
      <c r="F3101" s="324" t="s">
        <v>11411</v>
      </c>
      <c r="G3101" s="326"/>
      <c r="H3101" s="324" t="s">
        <v>11945</v>
      </c>
      <c r="I3101" s="327">
        <v>73489</v>
      </c>
      <c r="J3101" s="324" t="s">
        <v>8163</v>
      </c>
      <c r="K3101" s="326">
        <v>45975</v>
      </c>
      <c r="L3101" s="324" t="s">
        <v>364</v>
      </c>
      <c r="M3101" s="324"/>
      <c r="N3101" s="324" t="s">
        <v>364</v>
      </c>
      <c r="O3101" s="324" t="s">
        <v>364</v>
      </c>
      <c r="P3101" s="324"/>
      <c r="Q3101" s="324"/>
      <c r="R3101" s="324">
        <v>1</v>
      </c>
      <c r="T3101" s="512" t="e">
        <f>_xlfn.XLOOKUP(H3101,#REF!,#REF!,0,0)</f>
        <v>#REF!</v>
      </c>
    </row>
    <row r="3102" spans="1:20" s="328" customFormat="1" x14ac:dyDescent="0.4">
      <c r="A3102" s="324" t="s">
        <v>11991</v>
      </c>
      <c r="B3102" s="522" t="s">
        <v>11990</v>
      </c>
      <c r="C3102" s="324" t="s">
        <v>434</v>
      </c>
      <c r="D3102" s="324" t="s">
        <v>8127</v>
      </c>
      <c r="E3102" s="325" t="s">
        <v>11331</v>
      </c>
      <c r="F3102" s="324" t="s">
        <v>367</v>
      </c>
      <c r="G3102" s="326"/>
      <c r="H3102" s="324" t="s">
        <v>11956</v>
      </c>
      <c r="I3102" s="327">
        <v>76355</v>
      </c>
      <c r="J3102" s="324"/>
      <c r="K3102" s="326"/>
      <c r="L3102" s="324" t="s">
        <v>364</v>
      </c>
      <c r="M3102" s="324"/>
      <c r="N3102" s="324" t="s">
        <v>364</v>
      </c>
      <c r="O3102" s="324" t="s">
        <v>364</v>
      </c>
      <c r="P3102" s="324"/>
      <c r="Q3102" s="324"/>
      <c r="R3102" s="324">
        <v>1</v>
      </c>
      <c r="T3102" s="512" t="e">
        <f>_xlfn.XLOOKUP(H3102,#REF!,#REF!,0,0)</f>
        <v>#REF!</v>
      </c>
    </row>
    <row r="3103" spans="1:20" s="286" customFormat="1" x14ac:dyDescent="0.4">
      <c r="A3103" s="281" t="s">
        <v>11798</v>
      </c>
      <c r="B3103" s="281" t="s">
        <v>11961</v>
      </c>
      <c r="C3103" s="281" t="s">
        <v>433</v>
      </c>
      <c r="D3103" s="281" t="s">
        <v>8127</v>
      </c>
      <c r="E3103" s="281" t="s">
        <v>366</v>
      </c>
      <c r="F3103" s="281" t="s">
        <v>367</v>
      </c>
      <c r="G3103" s="2">
        <v>45751</v>
      </c>
      <c r="H3103" s="281" t="s">
        <v>417</v>
      </c>
      <c r="I3103" s="281">
        <v>77435</v>
      </c>
      <c r="J3103" s="281" t="s">
        <v>11809</v>
      </c>
      <c r="K3103" s="2">
        <v>45975</v>
      </c>
      <c r="L3103" s="281"/>
      <c r="M3103" s="281" t="s">
        <v>364</v>
      </c>
      <c r="N3103" s="281" t="s">
        <v>364</v>
      </c>
      <c r="O3103" s="281" t="s">
        <v>364</v>
      </c>
      <c r="P3103" s="281"/>
      <c r="Q3103" s="281" t="str">
        <f>IF(A3103="SCORTA 10",1,"")</f>
        <v/>
      </c>
      <c r="R3103" s="1">
        <f>IF(H3103&lt;&gt;"",1,"")</f>
        <v>1</v>
      </c>
      <c r="S3103" s="281">
        <f>IF(AND(A3103&lt;&gt;"",A3103&lt;&gt;"SCORTA 10"),1,"")</f>
        <v>1</v>
      </c>
      <c r="T3103" s="512" t="e">
        <f>_xlfn.XLOOKUP(H3103,#REF!,#REF!,0,0)</f>
        <v>#REF!</v>
      </c>
    </row>
    <row r="3104" spans="1:20" s="328" customFormat="1" x14ac:dyDescent="0.4">
      <c r="A3104" s="324" t="s">
        <v>11996</v>
      </c>
      <c r="B3104" s="522" t="s">
        <v>11965</v>
      </c>
      <c r="C3104" s="324" t="s">
        <v>431</v>
      </c>
      <c r="D3104" s="324" t="s">
        <v>8127</v>
      </c>
      <c r="E3104" s="325" t="s">
        <v>10</v>
      </c>
      <c r="F3104" s="324" t="s">
        <v>11909</v>
      </c>
      <c r="G3104" s="326"/>
      <c r="H3104" s="324" t="s">
        <v>10969</v>
      </c>
      <c r="I3104" s="327">
        <v>72473</v>
      </c>
      <c r="J3104" s="324"/>
      <c r="K3104" s="326">
        <v>45978</v>
      </c>
      <c r="L3104" s="324" t="s">
        <v>364</v>
      </c>
      <c r="M3104" s="324"/>
      <c r="N3104" s="324" t="s">
        <v>364</v>
      </c>
      <c r="O3104" s="324" t="s">
        <v>364</v>
      </c>
      <c r="P3104" s="528" t="s">
        <v>11994</v>
      </c>
      <c r="Q3104" s="324"/>
      <c r="R3104" s="324"/>
      <c r="T3104" s="512" t="e">
        <f>_xlfn.XLOOKUP(H3104,#REF!,#REF!,0,0)</f>
        <v>#REF!</v>
      </c>
    </row>
    <row r="3105" spans="1:20" s="328" customFormat="1" x14ac:dyDescent="0.4">
      <c r="A3105" s="324" t="s">
        <v>12000</v>
      </c>
      <c r="B3105" s="522" t="s">
        <v>11975</v>
      </c>
      <c r="C3105" s="324" t="s">
        <v>434</v>
      </c>
      <c r="D3105" s="324" t="s">
        <v>8127</v>
      </c>
      <c r="E3105" s="325" t="s">
        <v>10</v>
      </c>
      <c r="F3105" s="324" t="s">
        <v>11411</v>
      </c>
      <c r="G3105" s="326"/>
      <c r="H3105" s="324" t="s">
        <v>11946</v>
      </c>
      <c r="I3105" s="327">
        <v>73119</v>
      </c>
      <c r="J3105" s="324" t="s">
        <v>7821</v>
      </c>
      <c r="K3105" s="326" t="s">
        <v>11997</v>
      </c>
      <c r="L3105" s="324" t="s">
        <v>364</v>
      </c>
      <c r="M3105" s="324"/>
      <c r="N3105" s="324" t="s">
        <v>364</v>
      </c>
      <c r="O3105" s="324" t="s">
        <v>364</v>
      </c>
      <c r="P3105" s="528" t="s">
        <v>11980</v>
      </c>
      <c r="Q3105" s="324"/>
      <c r="R3105" s="324">
        <v>1</v>
      </c>
      <c r="T3105" s="512" t="e">
        <f>_xlfn.XLOOKUP(H3105,#REF!,#REF!,0,0)</f>
        <v>#REF!</v>
      </c>
    </row>
    <row r="3106" spans="1:20" s="376" customFormat="1" ht="18.75" customHeight="1" x14ac:dyDescent="0.4">
      <c r="A3106" s="1" t="s">
        <v>11949</v>
      </c>
      <c r="B3106" s="1" t="s">
        <v>12001</v>
      </c>
      <c r="C3106" s="1" t="s">
        <v>433</v>
      </c>
      <c r="D3106" s="1" t="s">
        <v>8127</v>
      </c>
      <c r="E3106" s="1" t="s">
        <v>10</v>
      </c>
      <c r="F3106" s="1" t="s">
        <v>437</v>
      </c>
      <c r="G3106" s="2">
        <v>45901</v>
      </c>
      <c r="H3106" s="1" t="s">
        <v>11693</v>
      </c>
      <c r="I3106" s="1">
        <v>78185</v>
      </c>
      <c r="J3106" s="1" t="s">
        <v>11941</v>
      </c>
      <c r="K3106" s="553"/>
      <c r="L3106" s="1"/>
      <c r="M3106" s="1"/>
      <c r="N3106" s="1"/>
      <c r="O3106" s="1"/>
      <c r="P3106" s="1"/>
      <c r="Q3106" s="1"/>
      <c r="R3106" s="1">
        <v>1</v>
      </c>
      <c r="S3106" s="1"/>
      <c r="T3106" s="512" t="e">
        <f>_xlfn.XLOOKUP(H3106,#REF!,#REF!,0,0)</f>
        <v>#REF!</v>
      </c>
    </row>
    <row r="3107" spans="1:20" s="328" customFormat="1" x14ac:dyDescent="0.4">
      <c r="A3107" s="324" t="s">
        <v>12019</v>
      </c>
      <c r="B3107" s="522" t="s">
        <v>12021</v>
      </c>
      <c r="C3107" s="324" t="s">
        <v>434</v>
      </c>
      <c r="D3107" s="324"/>
      <c r="E3107" s="325" t="s">
        <v>11331</v>
      </c>
      <c r="F3107" s="324" t="s">
        <v>367</v>
      </c>
      <c r="G3107" s="326"/>
      <c r="H3107" s="324" t="s">
        <v>11231</v>
      </c>
      <c r="I3107" s="327">
        <v>77403</v>
      </c>
      <c r="J3107" s="324" t="s">
        <v>11232</v>
      </c>
      <c r="K3107" s="326">
        <v>45982</v>
      </c>
      <c r="L3107" s="324" t="s">
        <v>364</v>
      </c>
      <c r="M3107" s="324" t="s">
        <v>364</v>
      </c>
      <c r="N3107" s="324"/>
      <c r="O3107" s="324" t="s">
        <v>364</v>
      </c>
      <c r="P3107" s="324" t="s">
        <v>12022</v>
      </c>
      <c r="Q3107" s="324"/>
      <c r="R3107" s="360">
        <v>1</v>
      </c>
      <c r="T3107" s="512" t="e">
        <f>_xlfn.XLOOKUP(H3107,#REF!,#REF!,0,0)</f>
        <v>#REF!</v>
      </c>
    </row>
    <row r="3108" spans="1:20" s="328" customFormat="1" x14ac:dyDescent="0.4">
      <c r="A3108" s="324" t="s">
        <v>12008</v>
      </c>
      <c r="B3108" s="522" t="s">
        <v>12005</v>
      </c>
      <c r="C3108" s="324" t="s">
        <v>434</v>
      </c>
      <c r="D3108" s="324" t="s">
        <v>8127</v>
      </c>
      <c r="E3108" s="325" t="s">
        <v>11331</v>
      </c>
      <c r="F3108" s="324" t="s">
        <v>367</v>
      </c>
      <c r="G3108" s="326"/>
      <c r="H3108" s="324" t="s">
        <v>10840</v>
      </c>
      <c r="I3108" s="327">
        <v>77556</v>
      </c>
      <c r="J3108" s="324" t="s">
        <v>10841</v>
      </c>
      <c r="K3108" s="326">
        <v>45985</v>
      </c>
      <c r="L3108" s="324"/>
      <c r="M3108" s="324"/>
      <c r="N3108" s="324"/>
      <c r="O3108" s="324"/>
      <c r="P3108" s="324" t="s">
        <v>12023</v>
      </c>
      <c r="Q3108" s="324"/>
      <c r="R3108" s="324">
        <v>1</v>
      </c>
      <c r="T3108" s="512" t="e">
        <f>_xlfn.XLOOKUP(H3108,#REF!,#REF!,0,0)</f>
        <v>#REF!</v>
      </c>
    </row>
    <row r="3109" spans="1:20" s="328" customFormat="1" x14ac:dyDescent="0.4">
      <c r="A3109" s="324" t="s">
        <v>520</v>
      </c>
      <c r="B3109" s="2" t="s">
        <v>11774</v>
      </c>
      <c r="C3109" s="324" t="s">
        <v>434</v>
      </c>
      <c r="D3109" s="324" t="s">
        <v>8127</v>
      </c>
      <c r="E3109" s="325" t="s">
        <v>10</v>
      </c>
      <c r="F3109" s="324" t="s">
        <v>244</v>
      </c>
      <c r="G3109" s="326"/>
      <c r="H3109" s="324" t="s">
        <v>521</v>
      </c>
      <c r="I3109" s="327">
        <v>71346</v>
      </c>
      <c r="J3109" s="324"/>
      <c r="K3109" s="326">
        <v>45982</v>
      </c>
      <c r="L3109" s="324" t="s">
        <v>364</v>
      </c>
      <c r="M3109" s="324" t="s">
        <v>364</v>
      </c>
      <c r="N3109" s="324" t="s">
        <v>364</v>
      </c>
      <c r="O3109" s="324" t="s">
        <v>364</v>
      </c>
      <c r="P3109" s="324" t="s">
        <v>11773</v>
      </c>
      <c r="Q3109" s="324"/>
      <c r="R3109" s="324">
        <v>1</v>
      </c>
      <c r="T3109" s="512" t="e">
        <f>_xlfn.XLOOKUP(H3109,#REF!,#REF!,0,0)</f>
        <v>#REF!</v>
      </c>
    </row>
    <row r="3110" spans="1:20" s="328" customFormat="1" x14ac:dyDescent="0.4">
      <c r="A3110" s="324" t="s">
        <v>12007</v>
      </c>
      <c r="B3110" s="522" t="s">
        <v>12027</v>
      </c>
      <c r="C3110" s="324" t="s">
        <v>434</v>
      </c>
      <c r="D3110" s="324" t="s">
        <v>3778</v>
      </c>
      <c r="E3110" s="325" t="s">
        <v>11331</v>
      </c>
      <c r="F3110" s="324" t="s">
        <v>367</v>
      </c>
      <c r="G3110" s="326"/>
      <c r="H3110" s="324" t="s">
        <v>10806</v>
      </c>
      <c r="I3110" s="327">
        <v>77545</v>
      </c>
      <c r="J3110" s="324" t="s">
        <v>10807</v>
      </c>
      <c r="K3110" s="326"/>
      <c r="L3110" s="324" t="s">
        <v>364</v>
      </c>
      <c r="M3110" s="324" t="s">
        <v>364</v>
      </c>
      <c r="N3110" s="324"/>
      <c r="O3110" s="324" t="s">
        <v>364</v>
      </c>
      <c r="P3110" s="324"/>
      <c r="Q3110" s="324"/>
      <c r="R3110" s="324">
        <v>1</v>
      </c>
      <c r="T3110" s="512" t="e">
        <f>_xlfn.XLOOKUP(H3110,#REF!,#REF!,0,0)</f>
        <v>#REF!</v>
      </c>
    </row>
    <row r="3111" spans="1:20" s="286" customFormat="1" x14ac:dyDescent="0.4">
      <c r="A3111" s="281" t="s">
        <v>12025</v>
      </c>
      <c r="B3111" s="281" t="s">
        <v>12024</v>
      </c>
      <c r="C3111" s="281" t="s">
        <v>433</v>
      </c>
      <c r="D3111" s="281" t="s">
        <v>3778</v>
      </c>
      <c r="E3111" s="281" t="s">
        <v>366</v>
      </c>
      <c r="F3111" s="281" t="s">
        <v>367</v>
      </c>
      <c r="G3111" s="2">
        <v>45901</v>
      </c>
      <c r="H3111" s="281" t="s">
        <v>11704</v>
      </c>
      <c r="I3111" s="281">
        <v>78200</v>
      </c>
      <c r="J3111" s="281" t="s">
        <v>11983</v>
      </c>
      <c r="K3111" s="2"/>
      <c r="L3111" s="281" t="s">
        <v>364</v>
      </c>
      <c r="M3111" s="281" t="s">
        <v>364</v>
      </c>
      <c r="N3111" s="281"/>
      <c r="O3111" s="281" t="s">
        <v>364</v>
      </c>
      <c r="P3111" s="281" t="s">
        <v>12028</v>
      </c>
      <c r="Q3111" s="281"/>
      <c r="R3111" s="1">
        <f>IF(H3111&lt;&gt;"",1,"")</f>
        <v>1</v>
      </c>
      <c r="S3111" s="281">
        <f>IF(AND(A3111&lt;&gt;"",A3111&lt;&gt;"SCORTA 10"),1,"")</f>
        <v>1</v>
      </c>
      <c r="T3111" s="512" t="e">
        <f>_xlfn.XLOOKUP(H3111,#REF!,#REF!,0,0)</f>
        <v>#REF!</v>
      </c>
    </row>
    <row r="3112" spans="1:20" s="286" customFormat="1" x14ac:dyDescent="0.4">
      <c r="A3112" s="281" t="s">
        <v>12026</v>
      </c>
      <c r="B3112" s="281" t="s">
        <v>11989</v>
      </c>
      <c r="C3112" s="281" t="s">
        <v>433</v>
      </c>
      <c r="D3112" s="281" t="s">
        <v>8127</v>
      </c>
      <c r="E3112" s="281" t="s">
        <v>366</v>
      </c>
      <c r="F3112" s="281" t="s">
        <v>367</v>
      </c>
      <c r="G3112" s="2">
        <v>45901</v>
      </c>
      <c r="H3112" s="281" t="s">
        <v>11703</v>
      </c>
      <c r="I3112" s="281">
        <v>78199</v>
      </c>
      <c r="J3112" s="281" t="s">
        <v>11982</v>
      </c>
      <c r="K3112" s="2" t="s">
        <v>12002</v>
      </c>
      <c r="L3112" s="281" t="s">
        <v>364</v>
      </c>
      <c r="M3112" s="281"/>
      <c r="N3112" s="281" t="s">
        <v>364</v>
      </c>
      <c r="O3112" s="281" t="s">
        <v>364</v>
      </c>
      <c r="P3112" s="281" t="s">
        <v>12035</v>
      </c>
      <c r="Q3112" s="281"/>
      <c r="R3112" s="1">
        <f>IF(H3112&lt;&gt;"",1,"")</f>
        <v>1</v>
      </c>
      <c r="S3112" s="281">
        <f>IF(AND(A3112&lt;&gt;"",A3112&lt;&gt;"SCORTA 10"),1,"")</f>
        <v>1</v>
      </c>
      <c r="T3112" s="512" t="e">
        <f>_xlfn.XLOOKUP(H3112,#REF!,#REF!,0,0)</f>
        <v>#REF!</v>
      </c>
    </row>
    <row r="3113" spans="1:20" s="328" customFormat="1" x14ac:dyDescent="0.4">
      <c r="A3113" s="324" t="s">
        <v>12012</v>
      </c>
      <c r="B3113" s="522" t="s">
        <v>12037</v>
      </c>
      <c r="C3113" s="324" t="s">
        <v>434</v>
      </c>
      <c r="D3113" s="324" t="s">
        <v>8127</v>
      </c>
      <c r="E3113" s="325" t="s">
        <v>11331</v>
      </c>
      <c r="F3113" s="324" t="s">
        <v>367</v>
      </c>
      <c r="G3113" s="326"/>
      <c r="H3113" s="324" t="s">
        <v>10941</v>
      </c>
      <c r="I3113" s="327">
        <v>77538</v>
      </c>
      <c r="J3113" s="324" t="s">
        <v>10942</v>
      </c>
      <c r="K3113" s="326">
        <v>45986</v>
      </c>
      <c r="L3113" s="324" t="s">
        <v>364</v>
      </c>
      <c r="M3113" s="324"/>
      <c r="N3113" s="324"/>
      <c r="O3113" s="324"/>
      <c r="P3113" s="324"/>
      <c r="Q3113" s="324"/>
      <c r="R3113" s="324">
        <v>1</v>
      </c>
      <c r="T3113" s="512" t="e">
        <f>_xlfn.XLOOKUP(H3113,#REF!,#REF!,0,0)</f>
        <v>#REF!</v>
      </c>
    </row>
    <row r="3114" spans="1:20" s="328" customFormat="1" x14ac:dyDescent="0.4">
      <c r="A3114" s="324" t="s">
        <v>12010</v>
      </c>
      <c r="B3114" s="522" t="s">
        <v>12039</v>
      </c>
      <c r="C3114" s="324" t="s">
        <v>434</v>
      </c>
      <c r="D3114" s="324" t="s">
        <v>8127</v>
      </c>
      <c r="E3114" s="325" t="s">
        <v>11331</v>
      </c>
      <c r="F3114" s="324" t="s">
        <v>367</v>
      </c>
      <c r="G3114" s="326"/>
      <c r="H3114" s="324" t="s">
        <v>11216</v>
      </c>
      <c r="I3114" s="327">
        <v>77404</v>
      </c>
      <c r="J3114" s="324" t="s">
        <v>11217</v>
      </c>
      <c r="K3114" s="326">
        <v>45986</v>
      </c>
      <c r="L3114" s="324" t="s">
        <v>364</v>
      </c>
      <c r="M3114" s="324"/>
      <c r="N3114" s="324" t="s">
        <v>364</v>
      </c>
      <c r="O3114" s="324" t="s">
        <v>364</v>
      </c>
      <c r="P3114" s="324" t="s">
        <v>12038</v>
      </c>
      <c r="Q3114" s="324"/>
      <c r="R3114" s="324">
        <v>1</v>
      </c>
      <c r="T3114" s="512" t="e">
        <f>_xlfn.XLOOKUP(H3114,#REF!,#REF!,0,0)</f>
        <v>#REF!</v>
      </c>
    </row>
    <row r="3115" spans="1:20" s="328" customFormat="1" x14ac:dyDescent="0.4">
      <c r="A3115" s="324" t="s">
        <v>12052</v>
      </c>
      <c r="B3115" s="522" t="s">
        <v>12047</v>
      </c>
      <c r="C3115" s="324" t="s">
        <v>434</v>
      </c>
      <c r="D3115" s="324"/>
      <c r="E3115" s="325" t="s">
        <v>10</v>
      </c>
      <c r="F3115" s="324" t="s">
        <v>244</v>
      </c>
      <c r="G3115" s="326"/>
      <c r="H3115" s="324" t="s">
        <v>12048</v>
      </c>
      <c r="I3115" s="327">
        <v>71772</v>
      </c>
      <c r="J3115" s="324" t="s">
        <v>8170</v>
      </c>
      <c r="K3115" s="326"/>
      <c r="L3115" s="324" t="s">
        <v>364</v>
      </c>
      <c r="M3115" s="324"/>
      <c r="N3115" s="324" t="s">
        <v>364</v>
      </c>
      <c r="O3115" s="324" t="s">
        <v>364</v>
      </c>
      <c r="P3115" s="324" t="s">
        <v>12050</v>
      </c>
      <c r="Q3115" s="324"/>
      <c r="R3115" s="324">
        <v>1</v>
      </c>
      <c r="T3115" s="512" t="e">
        <f>_xlfn.XLOOKUP(H3115,#REF!,#REF!,0,0)</f>
        <v>#REF!</v>
      </c>
    </row>
    <row r="3116" spans="1:20" s="328" customFormat="1" x14ac:dyDescent="0.4">
      <c r="A3116" s="324" t="s">
        <v>12051</v>
      </c>
      <c r="B3116" s="2" t="s">
        <v>12042</v>
      </c>
      <c r="C3116" s="2" t="s">
        <v>434</v>
      </c>
      <c r="D3116" s="2"/>
      <c r="E3116" s="2" t="s">
        <v>11331</v>
      </c>
      <c r="F3116" s="2" t="s">
        <v>367</v>
      </c>
      <c r="G3116" s="2">
        <v>45673</v>
      </c>
      <c r="H3116" s="2" t="s">
        <v>10834</v>
      </c>
      <c r="I3116" s="281">
        <v>77550</v>
      </c>
      <c r="J3116" s="2" t="s">
        <v>10835</v>
      </c>
      <c r="K3116" s="2"/>
      <c r="L3116" s="2" t="s">
        <v>364</v>
      </c>
      <c r="M3116" s="2"/>
      <c r="N3116" s="2"/>
      <c r="O3116" s="2"/>
      <c r="P3116" s="524" t="s">
        <v>12049</v>
      </c>
      <c r="Q3116" s="324"/>
      <c r="R3116" s="324">
        <v>1</v>
      </c>
      <c r="T3116" s="512" t="e">
        <f>_xlfn.XLOOKUP(H3116,#REF!,#REF!,0,0)</f>
        <v>#REF!</v>
      </c>
    </row>
    <row r="3117" spans="1:20" s="328" customFormat="1" x14ac:dyDescent="0.4">
      <c r="A3117" s="360" t="s">
        <v>11992</v>
      </c>
      <c r="B3117" s="525" t="s">
        <v>12003</v>
      </c>
      <c r="C3117" s="360" t="s">
        <v>434</v>
      </c>
      <c r="D3117" s="360" t="s">
        <v>12004</v>
      </c>
      <c r="E3117" s="536" t="s">
        <v>10</v>
      </c>
      <c r="F3117" s="360" t="s">
        <v>11411</v>
      </c>
      <c r="G3117" s="527"/>
      <c r="H3117" s="360" t="s">
        <v>11947</v>
      </c>
      <c r="I3117" s="526">
        <v>73454</v>
      </c>
      <c r="J3117" s="360" t="s">
        <v>7947</v>
      </c>
      <c r="K3117" s="527">
        <v>45975</v>
      </c>
      <c r="L3117" s="360" t="s">
        <v>364</v>
      </c>
      <c r="M3117" s="360"/>
      <c r="N3117" s="360"/>
      <c r="O3117" s="360"/>
      <c r="P3117" s="360"/>
      <c r="Q3117" s="360"/>
      <c r="R3117" s="360">
        <v>1</v>
      </c>
      <c r="T3117" s="512" t="e">
        <f>_xlfn.XLOOKUP(H3117,#REF!,#REF!,0,0)</f>
        <v>#REF!</v>
      </c>
    </row>
    <row r="3118" spans="1:20" s="376" customFormat="1" ht="18.75" customHeight="1" x14ac:dyDescent="0.4">
      <c r="A3118" s="1" t="s">
        <v>12036</v>
      </c>
      <c r="B3118" s="1" t="s">
        <v>12031</v>
      </c>
      <c r="C3118" s="1" t="s">
        <v>435</v>
      </c>
      <c r="D3118" s="1" t="s">
        <v>8127</v>
      </c>
      <c r="E3118" s="1" t="s">
        <v>10</v>
      </c>
      <c r="F3118" s="1" t="s">
        <v>436</v>
      </c>
      <c r="G3118" s="2">
        <v>45765</v>
      </c>
      <c r="H3118" s="1" t="s">
        <v>469</v>
      </c>
      <c r="I3118" s="1">
        <v>77368</v>
      </c>
      <c r="J3118" s="1" t="s">
        <v>11999</v>
      </c>
      <c r="K3118" s="2">
        <v>45992</v>
      </c>
      <c r="L3118" s="1" t="s">
        <v>364</v>
      </c>
      <c r="M3118" s="1"/>
      <c r="N3118" s="1"/>
      <c r="O3118" s="1"/>
      <c r="P3118" s="553" t="s">
        <v>12040</v>
      </c>
      <c r="Q3118" s="1" t="str">
        <f>IF(A3118="SCORTA 10",1,"")</f>
        <v/>
      </c>
      <c r="R3118" s="1">
        <f>IF(H3118&lt;&gt;"",1,"")</f>
        <v>1</v>
      </c>
      <c r="S3118" s="1">
        <f>IF(AND(A3118&lt;&gt;"",A3118&lt;&gt;"SCORTA 10"),1,"")</f>
        <v>1</v>
      </c>
      <c r="T3118" s="512" t="e">
        <f>_xlfn.XLOOKUP(H3118,#REF!,#REF!,0,0)</f>
        <v>#REF!</v>
      </c>
    </row>
    <row r="3119" spans="1:20" s="376" customFormat="1" ht="18.75" customHeight="1" x14ac:dyDescent="0.4">
      <c r="A3119" s="1" t="s">
        <v>11948</v>
      </c>
      <c r="B3119" s="1" t="s">
        <v>12029</v>
      </c>
      <c r="C3119" s="1" t="s">
        <v>435</v>
      </c>
      <c r="D3119" s="1" t="s">
        <v>8127</v>
      </c>
      <c r="E3119" s="1" t="s">
        <v>10</v>
      </c>
      <c r="F3119" s="1" t="s">
        <v>437</v>
      </c>
      <c r="G3119" s="2">
        <v>45901</v>
      </c>
      <c r="H3119" s="1" t="s">
        <v>11692</v>
      </c>
      <c r="I3119" s="1">
        <v>78184</v>
      </c>
      <c r="J3119" s="1" t="s">
        <v>11940</v>
      </c>
      <c r="K3119" s="2">
        <v>45992</v>
      </c>
      <c r="L3119" s="1" t="s">
        <v>364</v>
      </c>
      <c r="M3119" s="1"/>
      <c r="N3119" s="1"/>
      <c r="O3119" s="1"/>
      <c r="P3119" s="1" t="s">
        <v>12043</v>
      </c>
      <c r="Q3119" s="1"/>
      <c r="R3119" s="1">
        <v>1</v>
      </c>
      <c r="S3119" s="1">
        <f>IF(AND(A3119&lt;&gt;"",A3119&lt;&gt;"SCORTA 10"),1,"")</f>
        <v>1</v>
      </c>
      <c r="T3119" s="512" t="e">
        <f>_xlfn.XLOOKUP(H3119,#REF!,#REF!,0,0)</f>
        <v>#REF!</v>
      </c>
    </row>
    <row r="3120" spans="1:20" s="376" customFormat="1" ht="18.75" customHeight="1" x14ac:dyDescent="0.4">
      <c r="A3120" s="1" t="s">
        <v>11950</v>
      </c>
      <c r="B3120" s="1" t="s">
        <v>12030</v>
      </c>
      <c r="C3120" s="1" t="s">
        <v>435</v>
      </c>
      <c r="D3120" s="1" t="s">
        <v>8127</v>
      </c>
      <c r="E3120" s="1" t="s">
        <v>10</v>
      </c>
      <c r="F3120" s="1" t="s">
        <v>437</v>
      </c>
      <c r="G3120" s="2">
        <v>45901</v>
      </c>
      <c r="H3120" s="1" t="s">
        <v>11694</v>
      </c>
      <c r="I3120" s="1">
        <v>78186</v>
      </c>
      <c r="J3120" s="1" t="s">
        <v>11942</v>
      </c>
      <c r="K3120" s="2">
        <v>45992</v>
      </c>
      <c r="L3120" s="1" t="s">
        <v>364</v>
      </c>
      <c r="M3120" s="1"/>
      <c r="N3120" s="1"/>
      <c r="O3120" s="1"/>
      <c r="P3120" s="1" t="s">
        <v>12053</v>
      </c>
      <c r="Q3120" s="1"/>
      <c r="R3120" s="1">
        <v>1</v>
      </c>
      <c r="S3120" s="1">
        <f>IF(AND(A3120&lt;&gt;"",A3120&lt;&gt;"SCORTA 10"),1,"")</f>
        <v>1</v>
      </c>
      <c r="T3120" s="512" t="e">
        <f>_xlfn.XLOOKUP(H3120,#REF!,#REF!,0,0)</f>
        <v>#REF!</v>
      </c>
    </row>
    <row r="3121" spans="1:20" s="328" customFormat="1" x14ac:dyDescent="0.4">
      <c r="A3121" s="324" t="s">
        <v>12014</v>
      </c>
      <c r="B3121" s="522" t="s">
        <v>12033</v>
      </c>
      <c r="C3121" s="324" t="s">
        <v>435</v>
      </c>
      <c r="D3121" s="324"/>
      <c r="E3121" s="325" t="s">
        <v>11331</v>
      </c>
      <c r="F3121" s="324" t="s">
        <v>367</v>
      </c>
      <c r="G3121" s="326"/>
      <c r="H3121" s="324" t="s">
        <v>10673</v>
      </c>
      <c r="I3121" s="327">
        <v>76865</v>
      </c>
      <c r="J3121" s="324" t="s">
        <v>10674</v>
      </c>
      <c r="K3121" s="326">
        <v>45992</v>
      </c>
      <c r="L3121" s="324" t="s">
        <v>364</v>
      </c>
      <c r="M3121" s="324"/>
      <c r="N3121" s="324"/>
      <c r="O3121" s="324"/>
      <c r="P3121" s="324" t="s">
        <v>12046</v>
      </c>
      <c r="Q3121" s="324"/>
      <c r="R3121" s="324">
        <v>1</v>
      </c>
      <c r="T3121" s="512" t="e">
        <f>_xlfn.XLOOKUP(H3121,#REF!,#REF!,0,0)</f>
        <v>#REF!</v>
      </c>
    </row>
    <row r="3122" spans="1:20" s="328" customFormat="1" x14ac:dyDescent="0.4">
      <c r="A3122" s="324" t="s">
        <v>12016</v>
      </c>
      <c r="B3122" s="522" t="s">
        <v>12032</v>
      </c>
      <c r="C3122" s="324" t="s">
        <v>435</v>
      </c>
      <c r="D3122" s="324"/>
      <c r="E3122" s="325" t="s">
        <v>11331</v>
      </c>
      <c r="F3122" s="324" t="s">
        <v>367</v>
      </c>
      <c r="G3122" s="326"/>
      <c r="H3122" s="324" t="s">
        <v>10851</v>
      </c>
      <c r="I3122" s="327">
        <v>77554</v>
      </c>
      <c r="J3122" s="324" t="s">
        <v>10852</v>
      </c>
      <c r="K3122" s="326">
        <v>45992</v>
      </c>
      <c r="L3122" s="324" t="s">
        <v>364</v>
      </c>
      <c r="M3122" s="324"/>
      <c r="N3122" s="324"/>
      <c r="O3122" s="324"/>
      <c r="P3122" s="324" t="s">
        <v>12056</v>
      </c>
      <c r="Q3122" s="324"/>
      <c r="R3122" s="324">
        <v>1</v>
      </c>
      <c r="T3122" s="512" t="e">
        <f>_xlfn.XLOOKUP(H3122,#REF!,#REF!,0,0)</f>
        <v>#REF!</v>
      </c>
    </row>
    <row r="3123" spans="1:20" s="328" customFormat="1" x14ac:dyDescent="0.4">
      <c r="A3123" s="324" t="s">
        <v>12017</v>
      </c>
      <c r="B3123" s="522" t="s">
        <v>12034</v>
      </c>
      <c r="C3123" s="324" t="s">
        <v>435</v>
      </c>
      <c r="D3123" s="324"/>
      <c r="E3123" s="325" t="s">
        <v>11331</v>
      </c>
      <c r="F3123" s="324" t="s">
        <v>367</v>
      </c>
      <c r="G3123" s="326"/>
      <c r="H3123" s="324" t="s">
        <v>10684</v>
      </c>
      <c r="I3123" s="327">
        <v>76861</v>
      </c>
      <c r="J3123" s="324" t="s">
        <v>10685</v>
      </c>
      <c r="K3123" s="326">
        <v>45992</v>
      </c>
      <c r="L3123" s="324" t="s">
        <v>364</v>
      </c>
      <c r="M3123" s="324"/>
      <c r="N3123" s="324"/>
      <c r="O3123" s="324"/>
      <c r="P3123" s="324" t="s">
        <v>12057</v>
      </c>
      <c r="Q3123" s="324"/>
      <c r="R3123" s="324">
        <v>1</v>
      </c>
      <c r="T3123" s="512" t="e">
        <f>_xlfn.XLOOKUP(H3123,#REF!,#REF!,0,0)</f>
        <v>#REF!</v>
      </c>
    </row>
    <row r="3124" spans="1:20" s="328" customFormat="1" x14ac:dyDescent="0.4">
      <c r="A3124" s="324" t="s">
        <v>12015</v>
      </c>
      <c r="B3124" s="522" t="s">
        <v>12045</v>
      </c>
      <c r="C3124" s="324" t="s">
        <v>434</v>
      </c>
      <c r="D3124" s="324" t="s">
        <v>447</v>
      </c>
      <c r="E3124" s="325" t="s">
        <v>11331</v>
      </c>
      <c r="F3124" s="324" t="s">
        <v>367</v>
      </c>
      <c r="G3124" s="326"/>
      <c r="H3124" s="324" t="s">
        <v>10893</v>
      </c>
      <c r="I3124" s="327">
        <v>77558</v>
      </c>
      <c r="J3124" s="324" t="s">
        <v>12009</v>
      </c>
      <c r="K3124" s="326">
        <v>45994</v>
      </c>
      <c r="L3124" s="324" t="s">
        <v>364</v>
      </c>
      <c r="M3124" s="324" t="s">
        <v>364</v>
      </c>
      <c r="N3124" s="324" t="s">
        <v>364</v>
      </c>
      <c r="O3124" s="324" t="s">
        <v>364</v>
      </c>
      <c r="P3124" s="528" t="s">
        <v>12044</v>
      </c>
      <c r="Q3124" s="324"/>
      <c r="R3124" s="324">
        <v>1</v>
      </c>
      <c r="T3124" s="512" t="e">
        <f>_xlfn.XLOOKUP(H3124,#REF!,#REF!,0,0)</f>
        <v>#REF!</v>
      </c>
    </row>
    <row r="3125" spans="1:20" s="328" customFormat="1" x14ac:dyDescent="0.4">
      <c r="A3125" s="324" t="s">
        <v>12018</v>
      </c>
      <c r="B3125" s="522" t="s">
        <v>12059</v>
      </c>
      <c r="C3125" s="324" t="s">
        <v>434</v>
      </c>
      <c r="D3125" s="324" t="s">
        <v>447</v>
      </c>
      <c r="E3125" s="325" t="s">
        <v>11331</v>
      </c>
      <c r="F3125" s="324" t="s">
        <v>367</v>
      </c>
      <c r="G3125" s="326"/>
      <c r="H3125" s="324" t="s">
        <v>10695</v>
      </c>
      <c r="I3125" s="327">
        <v>76862</v>
      </c>
      <c r="J3125" s="324" t="s">
        <v>10696</v>
      </c>
      <c r="K3125" s="326"/>
      <c r="L3125" s="324" t="s">
        <v>364</v>
      </c>
      <c r="M3125" s="324" t="s">
        <v>364</v>
      </c>
      <c r="N3125" s="324" t="s">
        <v>364</v>
      </c>
      <c r="O3125" s="324" t="s">
        <v>364</v>
      </c>
      <c r="P3125" s="528" t="s">
        <v>12060</v>
      </c>
      <c r="Q3125" s="324"/>
      <c r="R3125" s="324">
        <v>1</v>
      </c>
      <c r="T3125" s="512" t="e">
        <f>_xlfn.XLOOKUP(H3125,#REF!,#REF!,0,0)</f>
        <v>#REF!</v>
      </c>
    </row>
    <row r="3126" spans="1:20" s="376" customFormat="1" x14ac:dyDescent="0.4">
      <c r="A3126" s="1" t="s">
        <v>12063</v>
      </c>
      <c r="B3126" s="1" t="s">
        <v>12055</v>
      </c>
      <c r="C3126" s="1" t="s">
        <v>435</v>
      </c>
      <c r="D3126" s="1" t="s">
        <v>8127</v>
      </c>
      <c r="E3126" s="1" t="s">
        <v>10</v>
      </c>
      <c r="F3126" s="1" t="s">
        <v>437</v>
      </c>
      <c r="G3126" s="2">
        <v>45901</v>
      </c>
      <c r="H3126" s="1" t="s">
        <v>11696</v>
      </c>
      <c r="I3126" s="1">
        <v>78188</v>
      </c>
      <c r="J3126" s="1" t="s">
        <v>12067</v>
      </c>
      <c r="K3126" s="2">
        <v>46000</v>
      </c>
      <c r="L3126" s="1" t="s">
        <v>364</v>
      </c>
      <c r="M3126" s="1" t="s">
        <v>364</v>
      </c>
      <c r="N3126" s="1" t="s">
        <v>364</v>
      </c>
      <c r="O3126" s="1" t="s">
        <v>364</v>
      </c>
      <c r="P3126" s="1" t="s">
        <v>12068</v>
      </c>
      <c r="Q3126" s="1"/>
      <c r="R3126" s="1">
        <v>1</v>
      </c>
      <c r="S3126" s="1">
        <f>IF(AND(A3126&lt;&gt;"",A3126&lt;&gt;"SCORTA 10"),1,"")</f>
        <v>1</v>
      </c>
      <c r="T3126" s="512" t="e">
        <f>_xlfn.XLOOKUP(H3126,#REF!,#REF!,0,0)</f>
        <v>#REF!</v>
      </c>
    </row>
    <row r="3127" spans="1:20" s="286" customFormat="1" x14ac:dyDescent="0.4">
      <c r="A3127" s="281" t="s">
        <v>11974</v>
      </c>
      <c r="B3127" s="281" t="s">
        <v>12075</v>
      </c>
      <c r="C3127" s="281" t="s">
        <v>433</v>
      </c>
      <c r="D3127" s="281"/>
      <c r="E3127" s="281" t="s">
        <v>366</v>
      </c>
      <c r="F3127" s="281" t="s">
        <v>367</v>
      </c>
      <c r="G3127" s="2">
        <v>45751</v>
      </c>
      <c r="H3127" s="281" t="s">
        <v>424</v>
      </c>
      <c r="I3127" s="281">
        <v>77446</v>
      </c>
      <c r="J3127" s="281" t="s">
        <v>11972</v>
      </c>
      <c r="K3127" s="2"/>
      <c r="L3127" s="281"/>
      <c r="M3127" s="281"/>
      <c r="N3127" s="281"/>
      <c r="O3127" s="281"/>
      <c r="P3127" s="281"/>
      <c r="Q3127" s="281" t="str">
        <f>IF(A3127="SCORTA 10",1,"")</f>
        <v/>
      </c>
      <c r="R3127" s="1">
        <f>IF(H3127&lt;&gt;"",1,"")</f>
        <v>1</v>
      </c>
      <c r="S3127" s="281">
        <f>IF(AND(A3127&lt;&gt;"",A3127&lt;&gt;"SCORTA 10"),1,"")</f>
        <v>1</v>
      </c>
      <c r="T3127" s="512" t="e">
        <f>_xlfn.XLOOKUP(H3127,#REF!,#REF!,0,0)</f>
        <v>#REF!</v>
      </c>
    </row>
    <row r="3128" spans="1:20" s="328" customFormat="1" x14ac:dyDescent="0.4">
      <c r="A3128" s="324" t="s">
        <v>12062</v>
      </c>
      <c r="B3128" s="324" t="s">
        <v>12054</v>
      </c>
      <c r="C3128" s="324" t="s">
        <v>431</v>
      </c>
      <c r="D3128" s="324" t="s">
        <v>8127</v>
      </c>
      <c r="E3128" s="325" t="s">
        <v>10</v>
      </c>
      <c r="F3128" s="324" t="s">
        <v>244</v>
      </c>
      <c r="G3128" s="326"/>
      <c r="H3128" s="324" t="s">
        <v>11307</v>
      </c>
      <c r="I3128" s="327">
        <v>72277</v>
      </c>
      <c r="J3128" s="324"/>
      <c r="K3128" s="326">
        <v>45993</v>
      </c>
      <c r="L3128" s="324" t="s">
        <v>364</v>
      </c>
      <c r="M3128" s="324"/>
      <c r="N3128" s="324" t="s">
        <v>364</v>
      </c>
      <c r="O3128" s="324" t="s">
        <v>364</v>
      </c>
      <c r="P3128" s="324" t="s">
        <v>12058</v>
      </c>
      <c r="Q3128" s="324"/>
      <c r="R3128" s="324">
        <v>1</v>
      </c>
      <c r="T3128" s="512" t="e">
        <f>_xlfn.XLOOKUP(H3128,#REF!,#REF!,0,0)</f>
        <v>#REF!</v>
      </c>
    </row>
    <row r="3129" spans="1:20" s="328" customFormat="1" x14ac:dyDescent="0.4">
      <c r="A3129" s="360" t="s">
        <v>12087</v>
      </c>
      <c r="B3129" s="525" t="s">
        <v>10325</v>
      </c>
      <c r="C3129" s="360" t="s">
        <v>433</v>
      </c>
      <c r="D3129" s="360" t="s">
        <v>8127</v>
      </c>
      <c r="E3129" s="536" t="s">
        <v>10</v>
      </c>
      <c r="F3129" s="360" t="s">
        <v>12084</v>
      </c>
      <c r="G3129" s="527">
        <v>45922</v>
      </c>
      <c r="H3129" s="360" t="s">
        <v>12070</v>
      </c>
      <c r="I3129" s="526"/>
      <c r="J3129" s="360" t="s">
        <v>12078</v>
      </c>
      <c r="K3129" s="527"/>
      <c r="L3129" s="360" t="s">
        <v>364</v>
      </c>
      <c r="M3129" s="360" t="s">
        <v>364</v>
      </c>
      <c r="N3129" s="360" t="s">
        <v>364</v>
      </c>
      <c r="O3129" s="360" t="s">
        <v>364</v>
      </c>
      <c r="P3129" s="556" t="s">
        <v>12083</v>
      </c>
      <c r="Q3129" s="360"/>
      <c r="R3129" s="360">
        <v>1</v>
      </c>
      <c r="T3129" s="512" t="e">
        <f>_xlfn.XLOOKUP(H3129,#REF!,#REF!,0,0)</f>
        <v>#REF!</v>
      </c>
    </row>
    <row r="3130" spans="1:20" s="328" customFormat="1" x14ac:dyDescent="0.4">
      <c r="A3130" s="324" t="s">
        <v>12088</v>
      </c>
      <c r="B3130" s="522" t="s">
        <v>10325</v>
      </c>
      <c r="C3130" s="324" t="s">
        <v>433</v>
      </c>
      <c r="D3130" s="324" t="s">
        <v>8127</v>
      </c>
      <c r="E3130" s="325" t="s">
        <v>10</v>
      </c>
      <c r="F3130" s="324" t="s">
        <v>12084</v>
      </c>
      <c r="G3130" s="527">
        <v>45922</v>
      </c>
      <c r="H3130" s="324" t="s">
        <v>12071</v>
      </c>
      <c r="I3130" s="327"/>
      <c r="J3130" s="324" t="s">
        <v>12079</v>
      </c>
      <c r="K3130" s="326"/>
      <c r="L3130" s="324" t="s">
        <v>364</v>
      </c>
      <c r="M3130" s="324" t="s">
        <v>364</v>
      </c>
      <c r="N3130" s="360" t="s">
        <v>364</v>
      </c>
      <c r="O3130" s="360" t="s">
        <v>364</v>
      </c>
      <c r="P3130" s="324" t="s">
        <v>12083</v>
      </c>
      <c r="Q3130" s="324"/>
      <c r="R3130" s="324">
        <v>1</v>
      </c>
      <c r="T3130" s="512" t="e">
        <f>_xlfn.XLOOKUP(H3130,#REF!,#REF!,0,0)</f>
        <v>#REF!</v>
      </c>
    </row>
    <row r="3131" spans="1:20" s="328" customFormat="1" x14ac:dyDescent="0.4">
      <c r="A3131" s="324" t="s">
        <v>12089</v>
      </c>
      <c r="B3131" s="522" t="s">
        <v>12093</v>
      </c>
      <c r="C3131" s="324" t="s">
        <v>433</v>
      </c>
      <c r="D3131" s="324" t="s">
        <v>8127</v>
      </c>
      <c r="E3131" s="325" t="s">
        <v>10</v>
      </c>
      <c r="F3131" s="324" t="s">
        <v>12084</v>
      </c>
      <c r="G3131" s="527">
        <v>45922</v>
      </c>
      <c r="H3131" s="324" t="s">
        <v>12072</v>
      </c>
      <c r="I3131" s="327"/>
      <c r="J3131" s="324" t="s">
        <v>12080</v>
      </c>
      <c r="K3131" s="326"/>
      <c r="L3131" s="324"/>
      <c r="M3131" s="324"/>
      <c r="N3131" s="324"/>
      <c r="O3131" s="324"/>
      <c r="P3131" s="324" t="s">
        <v>12086</v>
      </c>
      <c r="Q3131" s="324"/>
      <c r="R3131" s="324">
        <v>1</v>
      </c>
      <c r="T3131" s="512" t="e">
        <f>_xlfn.XLOOKUP(H3131,#REF!,#REF!,0,0)</f>
        <v>#REF!</v>
      </c>
    </row>
    <row r="3132" spans="1:20" s="328" customFormat="1" x14ac:dyDescent="0.4">
      <c r="A3132" s="324" t="s">
        <v>12090</v>
      </c>
      <c r="B3132" s="522" t="s">
        <v>12093</v>
      </c>
      <c r="C3132" s="324" t="s">
        <v>433</v>
      </c>
      <c r="D3132" s="324" t="s">
        <v>8127</v>
      </c>
      <c r="E3132" s="325" t="s">
        <v>10</v>
      </c>
      <c r="F3132" s="324" t="s">
        <v>12084</v>
      </c>
      <c r="G3132" s="527">
        <v>45922</v>
      </c>
      <c r="H3132" s="324" t="s">
        <v>12073</v>
      </c>
      <c r="I3132" s="327"/>
      <c r="J3132" s="324" t="s">
        <v>12081</v>
      </c>
      <c r="K3132" s="326"/>
      <c r="L3132" s="324"/>
      <c r="M3132" s="324"/>
      <c r="N3132" s="324"/>
      <c r="O3132" s="324"/>
      <c r="P3132" s="324" t="s">
        <v>12085</v>
      </c>
      <c r="Q3132" s="324"/>
      <c r="R3132" s="324">
        <v>1</v>
      </c>
      <c r="T3132" s="512" t="e">
        <f>_xlfn.XLOOKUP(H3132,#REF!,#REF!,0,0)</f>
        <v>#REF!</v>
      </c>
    </row>
    <row r="3133" spans="1:20" s="328" customFormat="1" x14ac:dyDescent="0.4">
      <c r="A3133" s="324" t="s">
        <v>12091</v>
      </c>
      <c r="B3133" s="522" t="s">
        <v>12093</v>
      </c>
      <c r="C3133" s="324" t="s">
        <v>433</v>
      </c>
      <c r="D3133" s="324" t="s">
        <v>8127</v>
      </c>
      <c r="E3133" s="325" t="s">
        <v>10</v>
      </c>
      <c r="F3133" s="324" t="s">
        <v>12084</v>
      </c>
      <c r="G3133" s="326">
        <v>45922</v>
      </c>
      <c r="H3133" s="324" t="s">
        <v>12074</v>
      </c>
      <c r="I3133" s="327"/>
      <c r="J3133" s="324" t="s">
        <v>12082</v>
      </c>
      <c r="K3133" s="326"/>
      <c r="L3133" s="324"/>
      <c r="M3133" s="324"/>
      <c r="N3133" s="324"/>
      <c r="O3133" s="324"/>
      <c r="P3133" s="324" t="s">
        <v>12085</v>
      </c>
      <c r="Q3133" s="324"/>
      <c r="R3133" s="324">
        <v>1</v>
      </c>
      <c r="T3133" s="512" t="e">
        <f>_xlfn.XLOOKUP(H3133,#REF!,#REF!,0,0)</f>
        <v>#REF!</v>
      </c>
    </row>
    <row r="3134" spans="1:20" s="328" customFormat="1" x14ac:dyDescent="0.4">
      <c r="A3134" s="324" t="s">
        <v>12097</v>
      </c>
      <c r="B3134" s="522" t="s">
        <v>12065</v>
      </c>
      <c r="C3134" s="324" t="s">
        <v>434</v>
      </c>
      <c r="D3134" s="324" t="s">
        <v>8127</v>
      </c>
      <c r="E3134" s="325" t="s">
        <v>11331</v>
      </c>
      <c r="F3134" s="324" t="s">
        <v>367</v>
      </c>
      <c r="G3134" s="326"/>
      <c r="H3134" s="324" t="s">
        <v>11088</v>
      </c>
      <c r="I3134" s="327">
        <v>77398</v>
      </c>
      <c r="J3134" s="324"/>
      <c r="K3134" s="326">
        <v>45995</v>
      </c>
      <c r="L3134" s="324" t="s">
        <v>364</v>
      </c>
      <c r="M3134" s="324" t="s">
        <v>364</v>
      </c>
      <c r="N3134" s="324"/>
      <c r="O3134" s="324" t="s">
        <v>364</v>
      </c>
      <c r="P3134" s="324" t="s">
        <v>12066</v>
      </c>
      <c r="Q3134" s="324"/>
      <c r="R3134" s="324">
        <v>1</v>
      </c>
      <c r="T3134" s="512" t="e">
        <f>_xlfn.XLOOKUP(H3134,#REF!,#REF!,0,0)</f>
        <v>#REF!</v>
      </c>
    </row>
    <row r="3135" spans="1:20" s="286" customFormat="1" x14ac:dyDescent="0.4">
      <c r="A3135" s="281" t="s">
        <v>12076</v>
      </c>
      <c r="B3135" s="281" t="s">
        <v>12103</v>
      </c>
      <c r="C3135" s="281" t="s">
        <v>433</v>
      </c>
      <c r="D3135" s="281" t="s">
        <v>8127</v>
      </c>
      <c r="E3135" s="281" t="s">
        <v>366</v>
      </c>
      <c r="F3135" s="281" t="s">
        <v>367</v>
      </c>
      <c r="G3135" s="2">
        <v>45751</v>
      </c>
      <c r="H3135" s="281" t="s">
        <v>425</v>
      </c>
      <c r="I3135" s="281">
        <v>77447</v>
      </c>
      <c r="J3135" s="281" t="s">
        <v>12069</v>
      </c>
      <c r="K3135" s="2"/>
      <c r="L3135" s="281" t="s">
        <v>364</v>
      </c>
      <c r="M3135" s="281"/>
      <c r="N3135" s="281" t="s">
        <v>364</v>
      </c>
      <c r="O3135" s="281"/>
      <c r="P3135" s="281"/>
      <c r="Q3135" s="281" t="str">
        <f>IF(A3135="SCORTA 10",1,"")</f>
        <v/>
      </c>
      <c r="R3135" s="1">
        <f>IF(H3135&lt;&gt;"",1,"")</f>
        <v>1</v>
      </c>
      <c r="S3135" s="281">
        <f>IF(AND(A3135&lt;&gt;"",A3135&lt;&gt;"SCORTA 10"),1,"")</f>
        <v>1</v>
      </c>
      <c r="T3135" s="512" t="e">
        <f>_xlfn.XLOOKUP(H3135,#REF!,#REF!,0,0)</f>
        <v>#REF!</v>
      </c>
    </row>
    <row r="3136" spans="1:20" s="328" customFormat="1" x14ac:dyDescent="0.4">
      <c r="A3136" s="324" t="s">
        <v>12100</v>
      </c>
      <c r="B3136" s="522" t="s">
        <v>12061</v>
      </c>
      <c r="C3136" s="324" t="s">
        <v>435</v>
      </c>
      <c r="D3136" s="324" t="s">
        <v>8127</v>
      </c>
      <c r="E3136" s="325" t="s">
        <v>11331</v>
      </c>
      <c r="F3136" s="324" t="s">
        <v>367</v>
      </c>
      <c r="G3136" s="326"/>
      <c r="H3136" s="324" t="s">
        <v>11039</v>
      </c>
      <c r="I3136" s="327">
        <v>77571</v>
      </c>
      <c r="J3136" s="324" t="s">
        <v>11040</v>
      </c>
      <c r="K3136" s="326">
        <v>46006</v>
      </c>
      <c r="L3136" s="324" t="s">
        <v>364</v>
      </c>
      <c r="M3136" s="324"/>
      <c r="N3136" s="324"/>
      <c r="O3136" s="324"/>
      <c r="P3136" s="528" t="s">
        <v>12094</v>
      </c>
      <c r="Q3136" s="324"/>
      <c r="R3136" s="324">
        <v>1</v>
      </c>
      <c r="T3136" s="512" t="e">
        <f>_xlfn.XLOOKUP(H3136,#REF!,#REF!,0,0)</f>
        <v>#REF!</v>
      </c>
    </row>
    <row r="3137" spans="1:20" s="328" customFormat="1" x14ac:dyDescent="0.4">
      <c r="A3137" s="324" t="s">
        <v>12107</v>
      </c>
      <c r="B3137" s="522" t="s">
        <v>12106</v>
      </c>
      <c r="C3137" s="324" t="s">
        <v>434</v>
      </c>
      <c r="D3137" s="324"/>
      <c r="E3137" s="325" t="s">
        <v>11331</v>
      </c>
      <c r="F3137" s="324" t="s">
        <v>367</v>
      </c>
      <c r="G3137" s="326"/>
      <c r="H3137" s="324" t="s">
        <v>12104</v>
      </c>
      <c r="I3137" s="327">
        <v>73766</v>
      </c>
      <c r="J3137" s="324" t="s">
        <v>9851</v>
      </c>
      <c r="K3137" s="326"/>
      <c r="L3137" s="324" t="s">
        <v>364</v>
      </c>
      <c r="M3137" s="324" t="s">
        <v>364</v>
      </c>
      <c r="N3137" s="324"/>
      <c r="O3137" s="324"/>
      <c r="P3137" s="324" t="s">
        <v>12108</v>
      </c>
      <c r="Q3137" s="324"/>
      <c r="R3137" s="324">
        <v>1</v>
      </c>
      <c r="T3137" s="512" t="e">
        <f>_xlfn.XLOOKUP(H3137,#REF!,#REF!,0,0)</f>
        <v>#REF!</v>
      </c>
    </row>
    <row r="3138" spans="1:20" s="328" customFormat="1" x14ac:dyDescent="0.4">
      <c r="A3138" s="324" t="s">
        <v>12099</v>
      </c>
      <c r="B3138" s="522" t="s">
        <v>12077</v>
      </c>
      <c r="C3138" s="324" t="s">
        <v>435</v>
      </c>
      <c r="D3138" s="324" t="s">
        <v>8127</v>
      </c>
      <c r="E3138" s="325" t="s">
        <v>11331</v>
      </c>
      <c r="F3138" s="324" t="s">
        <v>367</v>
      </c>
      <c r="G3138" s="326"/>
      <c r="H3138" s="324" t="s">
        <v>12041</v>
      </c>
      <c r="I3138" s="327">
        <v>76332</v>
      </c>
      <c r="J3138" s="324" t="s">
        <v>10156</v>
      </c>
      <c r="K3138" s="326">
        <v>46006</v>
      </c>
      <c r="L3138" s="324" t="s">
        <v>364</v>
      </c>
      <c r="M3138" s="324" t="s">
        <v>364</v>
      </c>
      <c r="N3138" s="324"/>
      <c r="O3138" s="324" t="s">
        <v>364</v>
      </c>
      <c r="P3138" s="324" t="s">
        <v>7518</v>
      </c>
      <c r="Q3138" s="324"/>
      <c r="R3138" s="324">
        <v>1</v>
      </c>
      <c r="T3138" s="512" t="e">
        <f>_xlfn.XLOOKUP(H3138,#REF!,#REF!,0,0)</f>
        <v>#REF!</v>
      </c>
    </row>
    <row r="3139" spans="1:20" s="328" customFormat="1" x14ac:dyDescent="0.4">
      <c r="A3139" s="324" t="s">
        <v>12101</v>
      </c>
      <c r="B3139" s="522" t="s">
        <v>12111</v>
      </c>
      <c r="C3139" s="324" t="s">
        <v>434</v>
      </c>
      <c r="D3139" s="324" t="s">
        <v>8127</v>
      </c>
      <c r="E3139" s="325" t="s">
        <v>10</v>
      </c>
      <c r="F3139" s="324" t="s">
        <v>12105</v>
      </c>
      <c r="G3139" s="326">
        <v>45922</v>
      </c>
      <c r="H3139" s="324" t="s">
        <v>551</v>
      </c>
      <c r="I3139" s="327">
        <v>73338</v>
      </c>
      <c r="J3139" s="324" t="s">
        <v>552</v>
      </c>
      <c r="K3139" s="326">
        <v>46008</v>
      </c>
      <c r="L3139" s="324" t="s">
        <v>364</v>
      </c>
      <c r="M3139" s="324"/>
      <c r="N3139" s="324" t="s">
        <v>364</v>
      </c>
      <c r="O3139" s="324" t="s">
        <v>364</v>
      </c>
      <c r="P3139" s="324"/>
      <c r="Q3139" s="324"/>
      <c r="R3139" s="324">
        <v>1</v>
      </c>
      <c r="T3139" s="512" t="e">
        <f>_xlfn.XLOOKUP(H3139,#REF!,#REF!,0,0)</f>
        <v>#REF!</v>
      </c>
    </row>
    <row r="3140" spans="1:20" s="376" customFormat="1" ht="18.75" customHeight="1" x14ac:dyDescent="0.4">
      <c r="A3140" s="1" t="s">
        <v>11951</v>
      </c>
      <c r="B3140" s="1" t="s">
        <v>12095</v>
      </c>
      <c r="C3140" s="1" t="s">
        <v>435</v>
      </c>
      <c r="D3140" s="1" t="s">
        <v>8127</v>
      </c>
      <c r="E3140" s="1" t="s">
        <v>10</v>
      </c>
      <c r="F3140" s="1" t="s">
        <v>437</v>
      </c>
      <c r="G3140" s="2">
        <v>45901</v>
      </c>
      <c r="H3140" s="1" t="s">
        <v>11695</v>
      </c>
      <c r="I3140" s="1">
        <v>78187</v>
      </c>
      <c r="J3140" s="1" t="s">
        <v>11943</v>
      </c>
      <c r="K3140" s="2">
        <v>46009</v>
      </c>
      <c r="L3140" s="1" t="s">
        <v>364</v>
      </c>
      <c r="M3140" s="1" t="s">
        <v>364</v>
      </c>
      <c r="N3140" s="1" t="s">
        <v>364</v>
      </c>
      <c r="O3140" s="1" t="s">
        <v>364</v>
      </c>
      <c r="P3140" s="1" t="s">
        <v>12114</v>
      </c>
      <c r="Q3140" s="1"/>
      <c r="R3140" s="1">
        <v>1</v>
      </c>
      <c r="S3140" s="1">
        <f>IF(AND(A3140&lt;&gt;"",A3140&lt;&gt;"SCORTA 10"),1,"")</f>
        <v>1</v>
      </c>
      <c r="T3140" s="512" t="e">
        <f>_xlfn.XLOOKUP(H3140,#REF!,#REF!,0,0)</f>
        <v>#REF!</v>
      </c>
    </row>
    <row r="3141" spans="1:20" s="328" customFormat="1" x14ac:dyDescent="0.4">
      <c r="A3141" s="324" t="s">
        <v>12113</v>
      </c>
      <c r="B3141" s="522" t="s">
        <v>12110</v>
      </c>
      <c r="C3141" s="324" t="s">
        <v>434</v>
      </c>
      <c r="D3141" s="324" t="s">
        <v>8127</v>
      </c>
      <c r="E3141" s="325" t="s">
        <v>3016</v>
      </c>
      <c r="F3141" s="324" t="s">
        <v>3016</v>
      </c>
      <c r="G3141" s="326"/>
      <c r="H3141" s="324" t="s">
        <v>12109</v>
      </c>
      <c r="I3141" s="327">
        <v>70650</v>
      </c>
      <c r="J3141" s="324"/>
      <c r="K3141" s="326"/>
      <c r="L3141" s="324" t="s">
        <v>364</v>
      </c>
      <c r="M3141" s="324"/>
      <c r="N3141" s="324" t="s">
        <v>364</v>
      </c>
      <c r="O3141" s="324" t="s">
        <v>364</v>
      </c>
      <c r="P3141" s="324"/>
      <c r="Q3141" s="324"/>
      <c r="R3141" s="324">
        <v>1</v>
      </c>
      <c r="T3141" s="512" t="e">
        <f>_xlfn.XLOOKUP(H3141,#REF!,#REF!,0,0)</f>
        <v>#REF!</v>
      </c>
    </row>
    <row r="3142" spans="1:20" s="286" customFormat="1" x14ac:dyDescent="0.4">
      <c r="A3142" s="281" t="s">
        <v>12092</v>
      </c>
      <c r="B3142" s="281" t="s">
        <v>12112</v>
      </c>
      <c r="C3142" s="281" t="s">
        <v>433</v>
      </c>
      <c r="D3142" s="281" t="s">
        <v>8127</v>
      </c>
      <c r="E3142" s="281" t="s">
        <v>366</v>
      </c>
      <c r="F3142" s="281" t="s">
        <v>367</v>
      </c>
      <c r="G3142" s="2">
        <v>45751</v>
      </c>
      <c r="H3142" s="281" t="s">
        <v>426</v>
      </c>
      <c r="I3142" s="281">
        <v>77448</v>
      </c>
      <c r="J3142" s="281" t="s">
        <v>12096</v>
      </c>
      <c r="K3142" s="2" t="s">
        <v>12115</v>
      </c>
      <c r="L3142" s="281" t="s">
        <v>364</v>
      </c>
      <c r="M3142" s="281"/>
      <c r="N3142" s="281"/>
      <c r="O3142" s="281"/>
      <c r="P3142" s="550" t="s">
        <v>10848</v>
      </c>
      <c r="Q3142" s="281" t="str">
        <f>IF(A3142="SCORTA 10",1,"")</f>
        <v/>
      </c>
      <c r="R3142" s="1">
        <f>IF(H3142&lt;&gt;"",1,"")</f>
        <v>1</v>
      </c>
      <c r="S3142" s="281">
        <f>IF(AND(A3142&lt;&gt;"",A3142&lt;&gt;"SCORTA 10"),1,"")</f>
        <v>1</v>
      </c>
      <c r="T3142" s="512" t="e">
        <f>_xlfn.XLOOKUP(H3142,#REF!,#REF!,0,0)</f>
        <v>#REF!</v>
      </c>
    </row>
    <row r="3143" spans="1:20" s="328" customFormat="1" x14ac:dyDescent="0.4">
      <c r="A3143" s="324" t="s">
        <v>12128</v>
      </c>
      <c r="B3143" s="522" t="s">
        <v>12127</v>
      </c>
      <c r="C3143" s="324" t="s">
        <v>434</v>
      </c>
      <c r="D3143" s="324" t="s">
        <v>8127</v>
      </c>
      <c r="E3143" s="325" t="s">
        <v>10</v>
      </c>
      <c r="F3143" s="324" t="s">
        <v>68</v>
      </c>
      <c r="G3143" s="326"/>
      <c r="H3143" s="324" t="s">
        <v>10580</v>
      </c>
      <c r="I3143" s="327">
        <v>76179</v>
      </c>
      <c r="J3143" s="324" t="s">
        <v>9332</v>
      </c>
      <c r="K3143" s="326">
        <v>46020</v>
      </c>
      <c r="L3143" s="324" t="s">
        <v>364</v>
      </c>
      <c r="M3143" s="324" t="s">
        <v>364</v>
      </c>
      <c r="N3143" s="324" t="s">
        <v>364</v>
      </c>
      <c r="O3143" s="324" t="s">
        <v>364</v>
      </c>
      <c r="P3143" s="324"/>
      <c r="Q3143" s="324"/>
      <c r="R3143" s="324">
        <v>1</v>
      </c>
      <c r="T3143" s="512" t="e">
        <f>_xlfn.XLOOKUP(H3143,#REF!,#REF!,0,0)</f>
        <v>#REF!</v>
      </c>
    </row>
    <row r="3144" spans="1:20" s="328" customFormat="1" x14ac:dyDescent="0.4">
      <c r="A3144" s="324" t="s">
        <v>12118</v>
      </c>
      <c r="B3144" s="522" t="s">
        <v>10572</v>
      </c>
      <c r="C3144" s="324" t="s">
        <v>433</v>
      </c>
      <c r="D3144" s="324" t="s">
        <v>8127</v>
      </c>
      <c r="E3144" s="325" t="s">
        <v>11331</v>
      </c>
      <c r="F3144" s="324" t="s">
        <v>12116</v>
      </c>
      <c r="G3144" s="326"/>
      <c r="H3144" s="324" t="s">
        <v>12142</v>
      </c>
      <c r="I3144" s="327">
        <v>78503</v>
      </c>
      <c r="J3144" s="324"/>
      <c r="K3144" s="326"/>
      <c r="L3144" s="324" t="s">
        <v>364</v>
      </c>
      <c r="M3144" s="324" t="s">
        <v>364</v>
      </c>
      <c r="N3144" s="324"/>
      <c r="O3144" s="324" t="s">
        <v>364</v>
      </c>
      <c r="P3144" s="324" t="s">
        <v>12117</v>
      </c>
      <c r="Q3144" s="324"/>
      <c r="R3144" s="324">
        <v>1</v>
      </c>
      <c r="T3144" s="512" t="e">
        <f>_xlfn.XLOOKUP(H3144,#REF!,#REF!,0,0)</f>
        <v>#REF!</v>
      </c>
    </row>
    <row r="3145" spans="1:20" s="328" customFormat="1" x14ac:dyDescent="0.4">
      <c r="A3145" s="324" t="s">
        <v>12119</v>
      </c>
      <c r="B3145" s="522" t="s">
        <v>10572</v>
      </c>
      <c r="C3145" s="324" t="s">
        <v>433</v>
      </c>
      <c r="D3145" s="324" t="s">
        <v>8127</v>
      </c>
      <c r="E3145" s="325" t="s">
        <v>11331</v>
      </c>
      <c r="F3145" s="324" t="s">
        <v>12116</v>
      </c>
      <c r="G3145" s="326"/>
      <c r="H3145" s="324" t="s">
        <v>12143</v>
      </c>
      <c r="I3145" s="327">
        <v>78504</v>
      </c>
      <c r="J3145" s="324"/>
      <c r="K3145" s="326"/>
      <c r="L3145" s="324" t="s">
        <v>364</v>
      </c>
      <c r="M3145" s="324" t="s">
        <v>364</v>
      </c>
      <c r="N3145" s="324"/>
      <c r="O3145" s="324" t="s">
        <v>364</v>
      </c>
      <c r="P3145" s="324" t="s">
        <v>12117</v>
      </c>
      <c r="Q3145" s="324"/>
      <c r="R3145" s="324">
        <v>1</v>
      </c>
      <c r="T3145" s="512" t="e">
        <f>_xlfn.XLOOKUP(H3145,#REF!,#REF!,0,0)</f>
        <v>#REF!</v>
      </c>
    </row>
    <row r="3146" spans="1:20" s="328" customFormat="1" x14ac:dyDescent="0.4">
      <c r="A3146" s="324" t="s">
        <v>12120</v>
      </c>
      <c r="B3146" s="522" t="s">
        <v>10572</v>
      </c>
      <c r="C3146" s="324" t="s">
        <v>433</v>
      </c>
      <c r="D3146" s="324" t="s">
        <v>8127</v>
      </c>
      <c r="E3146" s="325" t="s">
        <v>11331</v>
      </c>
      <c r="F3146" s="324" t="s">
        <v>12116</v>
      </c>
      <c r="G3146" s="326"/>
      <c r="H3146" s="324" t="s">
        <v>12144</v>
      </c>
      <c r="I3146" s="327">
        <v>78505</v>
      </c>
      <c r="J3146" s="324"/>
      <c r="K3146" s="326"/>
      <c r="L3146" s="324" t="s">
        <v>364</v>
      </c>
      <c r="M3146" s="324" t="s">
        <v>364</v>
      </c>
      <c r="N3146" s="324"/>
      <c r="O3146" s="324" t="s">
        <v>364</v>
      </c>
      <c r="P3146" s="324" t="s">
        <v>12117</v>
      </c>
      <c r="Q3146" s="324"/>
      <c r="R3146" s="324">
        <v>1</v>
      </c>
      <c r="T3146" s="512" t="e">
        <f>_xlfn.XLOOKUP(H3146,#REF!,#REF!,0,0)</f>
        <v>#REF!</v>
      </c>
    </row>
    <row r="3147" spans="1:20" s="328" customFormat="1" x14ac:dyDescent="0.4">
      <c r="A3147" s="324" t="s">
        <v>12121</v>
      </c>
      <c r="B3147" s="522" t="s">
        <v>10572</v>
      </c>
      <c r="C3147" s="324" t="s">
        <v>433</v>
      </c>
      <c r="D3147" s="324" t="s">
        <v>8127</v>
      </c>
      <c r="E3147" s="325" t="s">
        <v>11331</v>
      </c>
      <c r="F3147" s="324" t="s">
        <v>12116</v>
      </c>
      <c r="G3147" s="326"/>
      <c r="H3147" s="324" t="s">
        <v>12145</v>
      </c>
      <c r="I3147" s="327">
        <v>78506</v>
      </c>
      <c r="J3147" s="324"/>
      <c r="K3147" s="326"/>
      <c r="L3147" s="324" t="s">
        <v>364</v>
      </c>
      <c r="M3147" s="324" t="s">
        <v>364</v>
      </c>
      <c r="N3147" s="324"/>
      <c r="O3147" s="324" t="s">
        <v>364</v>
      </c>
      <c r="P3147" s="324" t="s">
        <v>12117</v>
      </c>
      <c r="Q3147" s="324"/>
      <c r="R3147" s="324">
        <v>1</v>
      </c>
      <c r="T3147" s="512" t="e">
        <f>_xlfn.XLOOKUP(H3147,#REF!,#REF!,0,0)</f>
        <v>#REF!</v>
      </c>
    </row>
    <row r="3148" spans="1:20" s="328" customFormat="1" x14ac:dyDescent="0.4">
      <c r="A3148" s="324" t="s">
        <v>12122</v>
      </c>
      <c r="B3148" s="522" t="s">
        <v>10572</v>
      </c>
      <c r="C3148" s="324" t="s">
        <v>433</v>
      </c>
      <c r="D3148" s="324" t="s">
        <v>8127</v>
      </c>
      <c r="E3148" s="325" t="s">
        <v>11331</v>
      </c>
      <c r="F3148" s="324" t="s">
        <v>12116</v>
      </c>
      <c r="G3148" s="326"/>
      <c r="H3148" s="324" t="s">
        <v>12146</v>
      </c>
      <c r="I3148" s="327">
        <v>78507</v>
      </c>
      <c r="J3148" s="324"/>
      <c r="K3148" s="326"/>
      <c r="L3148" s="324" t="s">
        <v>364</v>
      </c>
      <c r="M3148" s="324" t="s">
        <v>364</v>
      </c>
      <c r="N3148" s="324"/>
      <c r="O3148" s="324" t="s">
        <v>364</v>
      </c>
      <c r="P3148" s="324" t="s">
        <v>12117</v>
      </c>
      <c r="Q3148" s="324"/>
      <c r="R3148" s="324">
        <v>1</v>
      </c>
      <c r="T3148" s="512" t="e">
        <f>_xlfn.XLOOKUP(H3148,#REF!,#REF!,0,0)</f>
        <v>#REF!</v>
      </c>
    </row>
    <row r="3149" spans="1:20" s="328" customFormat="1" x14ac:dyDescent="0.4">
      <c r="A3149" s="324" t="s">
        <v>12123</v>
      </c>
      <c r="B3149" s="522" t="s">
        <v>10572</v>
      </c>
      <c r="C3149" s="324" t="s">
        <v>433</v>
      </c>
      <c r="D3149" s="324" t="s">
        <v>8127</v>
      </c>
      <c r="E3149" s="325" t="s">
        <v>11331</v>
      </c>
      <c r="F3149" s="324" t="s">
        <v>12116</v>
      </c>
      <c r="G3149" s="326"/>
      <c r="H3149" s="324" t="s">
        <v>12147</v>
      </c>
      <c r="I3149" s="327">
        <v>78508</v>
      </c>
      <c r="J3149" s="324"/>
      <c r="K3149" s="326"/>
      <c r="L3149" s="324" t="s">
        <v>364</v>
      </c>
      <c r="M3149" s="324" t="s">
        <v>364</v>
      </c>
      <c r="N3149" s="324"/>
      <c r="O3149" s="324" t="s">
        <v>364</v>
      </c>
      <c r="P3149" s="324" t="s">
        <v>12117</v>
      </c>
      <c r="Q3149" s="324"/>
      <c r="R3149" s="324">
        <v>1</v>
      </c>
      <c r="T3149" s="512" t="e">
        <f>_xlfn.XLOOKUP(H3149,#REF!,#REF!,0,0)</f>
        <v>#REF!</v>
      </c>
    </row>
    <row r="3150" spans="1:20" s="328" customFormat="1" x14ac:dyDescent="0.4">
      <c r="A3150" s="324" t="s">
        <v>12124</v>
      </c>
      <c r="B3150" s="522" t="s">
        <v>10572</v>
      </c>
      <c r="C3150" s="324" t="s">
        <v>433</v>
      </c>
      <c r="D3150" s="324" t="s">
        <v>8127</v>
      </c>
      <c r="E3150" s="325" t="s">
        <v>11331</v>
      </c>
      <c r="F3150" s="324" t="s">
        <v>12116</v>
      </c>
      <c r="G3150" s="326"/>
      <c r="H3150" s="324" t="s">
        <v>12148</v>
      </c>
      <c r="I3150" s="327">
        <v>78509</v>
      </c>
      <c r="J3150" s="324"/>
      <c r="K3150" s="326"/>
      <c r="L3150" s="324" t="s">
        <v>364</v>
      </c>
      <c r="M3150" s="324" t="s">
        <v>364</v>
      </c>
      <c r="N3150" s="324"/>
      <c r="O3150" s="324" t="s">
        <v>364</v>
      </c>
      <c r="P3150" s="324" t="s">
        <v>12117</v>
      </c>
      <c r="Q3150" s="324"/>
      <c r="R3150" s="324">
        <v>1</v>
      </c>
      <c r="T3150" s="512" t="e">
        <f>_xlfn.XLOOKUP(H3150,#REF!,#REF!,0,0)</f>
        <v>#REF!</v>
      </c>
    </row>
    <row r="3151" spans="1:20" s="328" customFormat="1" x14ac:dyDescent="0.4">
      <c r="A3151" s="324" t="s">
        <v>12125</v>
      </c>
      <c r="B3151" s="522" t="s">
        <v>10572</v>
      </c>
      <c r="C3151" s="324" t="s">
        <v>433</v>
      </c>
      <c r="D3151" s="324" t="s">
        <v>8127</v>
      </c>
      <c r="E3151" s="325" t="s">
        <v>11331</v>
      </c>
      <c r="F3151" s="324" t="s">
        <v>12116</v>
      </c>
      <c r="G3151" s="326"/>
      <c r="H3151" s="324" t="s">
        <v>12149</v>
      </c>
      <c r="I3151" s="327">
        <v>78510</v>
      </c>
      <c r="J3151" s="324"/>
      <c r="K3151" s="326"/>
      <c r="L3151" s="324" t="s">
        <v>364</v>
      </c>
      <c r="M3151" s="324" t="s">
        <v>364</v>
      </c>
      <c r="N3151" s="324"/>
      <c r="O3151" s="324" t="s">
        <v>364</v>
      </c>
      <c r="P3151" s="324" t="s">
        <v>12117</v>
      </c>
      <c r="Q3151" s="324"/>
      <c r="R3151" s="324">
        <v>1</v>
      </c>
      <c r="T3151" s="512" t="e">
        <f>_xlfn.XLOOKUP(H3151,#REF!,#REF!,0,0)</f>
        <v>#REF!</v>
      </c>
    </row>
    <row r="3152" spans="1:20" s="328" customFormat="1" x14ac:dyDescent="0.4">
      <c r="A3152" s="324" t="s">
        <v>12126</v>
      </c>
      <c r="B3152" s="522" t="s">
        <v>10572</v>
      </c>
      <c r="C3152" s="324" t="s">
        <v>433</v>
      </c>
      <c r="D3152" s="324" t="s">
        <v>8127</v>
      </c>
      <c r="E3152" s="325" t="s">
        <v>11331</v>
      </c>
      <c r="F3152" s="324" t="s">
        <v>12116</v>
      </c>
      <c r="G3152" s="326"/>
      <c r="H3152" s="324" t="s">
        <v>12150</v>
      </c>
      <c r="I3152" s="327">
        <v>78511</v>
      </c>
      <c r="J3152" s="324"/>
      <c r="K3152" s="326"/>
      <c r="L3152" s="324" t="s">
        <v>364</v>
      </c>
      <c r="M3152" s="324" t="s">
        <v>364</v>
      </c>
      <c r="N3152" s="324"/>
      <c r="O3152" s="324" t="s">
        <v>364</v>
      </c>
      <c r="P3152" s="324" t="s">
        <v>12117</v>
      </c>
      <c r="Q3152" s="324"/>
      <c r="R3152" s="324">
        <v>1</v>
      </c>
      <c r="T3152" s="512" t="e">
        <f>_xlfn.XLOOKUP(H3152,#REF!,#REF!,0,0)</f>
        <v>#REF!</v>
      </c>
    </row>
    <row r="3153" spans="1:20" s="328" customFormat="1" x14ac:dyDescent="0.4">
      <c r="A3153" s="324" t="s">
        <v>12132</v>
      </c>
      <c r="B3153" s="522" t="s">
        <v>12133</v>
      </c>
      <c r="C3153" s="324" t="s">
        <v>433</v>
      </c>
      <c r="D3153" s="324" t="s">
        <v>8127</v>
      </c>
      <c r="E3153" s="325" t="s">
        <v>10</v>
      </c>
      <c r="F3153" s="324" t="s">
        <v>12134</v>
      </c>
      <c r="G3153" s="326"/>
      <c r="H3153" s="324" t="s">
        <v>12131</v>
      </c>
      <c r="I3153" s="327">
        <v>71375</v>
      </c>
      <c r="J3153" s="324"/>
      <c r="K3153" s="326"/>
      <c r="L3153" s="324" t="s">
        <v>364</v>
      </c>
      <c r="M3153" s="324"/>
      <c r="N3153" s="324" t="s">
        <v>364</v>
      </c>
      <c r="O3153" s="324"/>
      <c r="P3153" s="324"/>
      <c r="Q3153" s="324"/>
      <c r="R3153" s="324">
        <v>1</v>
      </c>
      <c r="T3153" s="512" t="e">
        <f>_xlfn.XLOOKUP(H3153,#REF!,#REF!,0,0)</f>
        <v>#REF!</v>
      </c>
    </row>
    <row r="3154" spans="1:20" s="328" customFormat="1" x14ac:dyDescent="0.4">
      <c r="A3154" s="324" t="s">
        <v>12098</v>
      </c>
      <c r="B3154" s="522" t="s">
        <v>12135</v>
      </c>
      <c r="C3154" s="324" t="s">
        <v>434</v>
      </c>
      <c r="D3154" s="324" t="s">
        <v>8127</v>
      </c>
      <c r="E3154" s="325" t="s">
        <v>11331</v>
      </c>
      <c r="F3154" s="324" t="s">
        <v>367</v>
      </c>
      <c r="G3154" s="326"/>
      <c r="H3154" s="324" t="s">
        <v>10976</v>
      </c>
      <c r="I3154" s="324">
        <v>77567</v>
      </c>
      <c r="J3154" s="324"/>
      <c r="K3154" s="326">
        <v>46014</v>
      </c>
      <c r="L3154" s="324" t="s">
        <v>364</v>
      </c>
      <c r="M3154" s="324"/>
      <c r="N3154" s="324" t="s">
        <v>364</v>
      </c>
      <c r="O3154" s="324" t="s">
        <v>364</v>
      </c>
      <c r="P3154" s="557"/>
      <c r="Q3154" s="324"/>
      <c r="R3154" s="324">
        <v>1</v>
      </c>
      <c r="T3154" s="512" t="e">
        <f>_xlfn.XLOOKUP(H3154,#REF!,#REF!,0,0)</f>
        <v>#REF!</v>
      </c>
    </row>
    <row r="3155" spans="1:20" s="328" customFormat="1" x14ac:dyDescent="0.4">
      <c r="A3155" s="324" t="s">
        <v>12152</v>
      </c>
      <c r="B3155" s="522" t="s">
        <v>12153</v>
      </c>
      <c r="C3155" s="324" t="s">
        <v>434</v>
      </c>
      <c r="D3155" s="324"/>
      <c r="E3155" s="325" t="s">
        <v>10</v>
      </c>
      <c r="F3155" s="324" t="s">
        <v>68</v>
      </c>
      <c r="G3155" s="326"/>
      <c r="H3155" s="324" t="s">
        <v>12151</v>
      </c>
      <c r="I3155" s="327">
        <v>73665</v>
      </c>
      <c r="J3155" s="324" t="s">
        <v>8799</v>
      </c>
      <c r="K3155" s="326"/>
      <c r="L3155" s="324" t="s">
        <v>364</v>
      </c>
      <c r="M3155" s="324"/>
      <c r="N3155" s="324"/>
      <c r="O3155" s="324" t="s">
        <v>364</v>
      </c>
      <c r="P3155" s="324"/>
      <c r="Q3155" s="324"/>
      <c r="R3155" s="324"/>
      <c r="T3155" s="512" t="e">
        <f>_xlfn.XLOOKUP(H3155,#REF!,#REF!,0,0)</f>
        <v>#REF!</v>
      </c>
    </row>
    <row r="3156" spans="1:20" s="286" customFormat="1" x14ac:dyDescent="0.4">
      <c r="A3156" s="281" t="s">
        <v>12156</v>
      </c>
      <c r="B3156" s="281" t="s">
        <v>12141</v>
      </c>
      <c r="C3156" s="281" t="s">
        <v>433</v>
      </c>
      <c r="D3156" s="281" t="s">
        <v>8127</v>
      </c>
      <c r="E3156" s="281" t="s">
        <v>366</v>
      </c>
      <c r="F3156" s="281" t="s">
        <v>367</v>
      </c>
      <c r="G3156" s="2">
        <v>45751</v>
      </c>
      <c r="H3156" s="281" t="s">
        <v>428</v>
      </c>
      <c r="I3156" s="281">
        <v>77450</v>
      </c>
      <c r="J3156" s="281" t="s">
        <v>12158</v>
      </c>
      <c r="K3156" s="2"/>
      <c r="L3156" s="281" t="s">
        <v>364</v>
      </c>
      <c r="M3156" s="281" t="s">
        <v>364</v>
      </c>
      <c r="N3156" s="281"/>
      <c r="O3156" s="281" t="s">
        <v>364</v>
      </c>
      <c r="P3156" s="281"/>
      <c r="Q3156" s="281" t="str">
        <f>IF(A3156="SCORTA 10",1,"")</f>
        <v/>
      </c>
      <c r="R3156" s="1">
        <f>IF(H3156&lt;&gt;"",1,"")</f>
        <v>1</v>
      </c>
      <c r="S3156" s="281">
        <f>IF(AND(A3156&lt;&gt;"",A3156&lt;&gt;"SCORTA 10"),1,"")</f>
        <v>1</v>
      </c>
      <c r="T3156" s="512" t="e">
        <f>_xlfn.XLOOKUP(H3156,#REF!,#REF!,0,0)</f>
        <v>#REF!</v>
      </c>
    </row>
    <row r="3157" spans="1:20" s="7" customFormat="1" x14ac:dyDescent="0.25">
      <c r="A3157" s="2" t="s">
        <v>12197</v>
      </c>
      <c r="B3157" s="2" t="s">
        <v>12198</v>
      </c>
      <c r="C3157" s="2" t="s">
        <v>433</v>
      </c>
      <c r="D3157" s="2" t="s">
        <v>8127</v>
      </c>
      <c r="E3157" s="2" t="s">
        <v>10</v>
      </c>
      <c r="F3157" s="2" t="s">
        <v>369</v>
      </c>
      <c r="G3157" s="2">
        <v>45282</v>
      </c>
      <c r="H3157" s="2" t="s">
        <v>372</v>
      </c>
      <c r="I3157" s="1">
        <v>73304</v>
      </c>
      <c r="J3157" s="2" t="s">
        <v>373</v>
      </c>
      <c r="K3157" s="2"/>
      <c r="L3157" s="2" t="s">
        <v>364</v>
      </c>
      <c r="M3157" s="2" t="s">
        <v>364</v>
      </c>
      <c r="N3157" s="2" t="s">
        <v>364</v>
      </c>
      <c r="O3157" s="2" t="s">
        <v>364</v>
      </c>
      <c r="P3157" s="2"/>
      <c r="Q3157" s="1"/>
      <c r="R3157" s="1">
        <f>IF(H3157&lt;&gt;"",1,"")</f>
        <v>1</v>
      </c>
      <c r="S3157" s="1">
        <f>IF(AND(A3157&lt;&gt;"",A3157&lt;&gt;"SCORTA 10"),1,"")</f>
        <v>1</v>
      </c>
    </row>
    <row r="3158" spans="1:20" s="286" customFormat="1" x14ac:dyDescent="0.25">
      <c r="A3158" s="281" t="s">
        <v>12187</v>
      </c>
      <c r="B3158" s="281" t="s">
        <v>12129</v>
      </c>
      <c r="C3158" s="281" t="s">
        <v>435</v>
      </c>
      <c r="D3158" s="281" t="s">
        <v>8127</v>
      </c>
      <c r="E3158" s="281" t="s">
        <v>366</v>
      </c>
      <c r="F3158" s="281" t="s">
        <v>367</v>
      </c>
      <c r="G3158" s="2">
        <v>45751</v>
      </c>
      <c r="H3158" s="281" t="s">
        <v>430</v>
      </c>
      <c r="I3158" s="281">
        <v>77452</v>
      </c>
      <c r="J3158" s="281" t="s">
        <v>12160</v>
      </c>
      <c r="K3158" s="2"/>
      <c r="L3158" s="281" t="s">
        <v>364</v>
      </c>
      <c r="M3158" s="281" t="s">
        <v>364</v>
      </c>
      <c r="N3158" s="281" t="s">
        <v>364</v>
      </c>
      <c r="O3158" s="281" t="s">
        <v>364</v>
      </c>
      <c r="P3158" s="281" t="s">
        <v>12154</v>
      </c>
      <c r="Q3158" s="281" t="str">
        <f>IF(A3158="SCORTA 10",1,"")</f>
        <v/>
      </c>
      <c r="R3158" s="1">
        <f>IF(H3158&lt;&gt;"",1,"")</f>
        <v>1</v>
      </c>
      <c r="S3158" s="281">
        <f>IF(AND(A3158&lt;&gt;"",A3158&lt;&gt;"SCORTA 10"),1,"")</f>
        <v>1</v>
      </c>
    </row>
    <row r="3159" spans="1:20" s="328" customFormat="1" x14ac:dyDescent="0.25">
      <c r="A3159" s="324" t="s">
        <v>12169</v>
      </c>
      <c r="B3159" s="522" t="s">
        <v>10330</v>
      </c>
      <c r="C3159" s="324" t="s">
        <v>433</v>
      </c>
      <c r="D3159" s="324" t="s">
        <v>8127</v>
      </c>
      <c r="E3159" s="325" t="s">
        <v>10</v>
      </c>
      <c r="F3159" s="324" t="s">
        <v>12166</v>
      </c>
      <c r="G3159" s="326">
        <v>46001</v>
      </c>
      <c r="H3159" s="324" t="s">
        <v>12161</v>
      </c>
      <c r="I3159" s="327">
        <v>78039</v>
      </c>
      <c r="J3159" s="324" t="s">
        <v>12136</v>
      </c>
      <c r="K3159" s="326">
        <v>46031</v>
      </c>
      <c r="L3159" s="324" t="s">
        <v>364</v>
      </c>
      <c r="M3159" s="324" t="s">
        <v>364</v>
      </c>
      <c r="N3159" s="324" t="s">
        <v>364</v>
      </c>
      <c r="O3159" s="324" t="s">
        <v>364</v>
      </c>
      <c r="P3159" s="324" t="s">
        <v>12155</v>
      </c>
      <c r="Q3159" s="324"/>
      <c r="R3159" s="324">
        <v>1</v>
      </c>
    </row>
    <row r="3160" spans="1:20" s="328" customFormat="1" x14ac:dyDescent="0.25">
      <c r="A3160" s="324" t="s">
        <v>12170</v>
      </c>
      <c r="B3160" s="522" t="s">
        <v>10330</v>
      </c>
      <c r="C3160" s="324" t="s">
        <v>433</v>
      </c>
      <c r="D3160" s="324" t="s">
        <v>8127</v>
      </c>
      <c r="E3160" s="325" t="s">
        <v>10</v>
      </c>
      <c r="F3160" s="324" t="s">
        <v>12166</v>
      </c>
      <c r="G3160" s="326">
        <v>46001</v>
      </c>
      <c r="H3160" s="324" t="s">
        <v>12162</v>
      </c>
      <c r="I3160" s="327">
        <v>78040</v>
      </c>
      <c r="J3160" s="324" t="s">
        <v>12137</v>
      </c>
      <c r="K3160" s="326">
        <v>46031</v>
      </c>
      <c r="L3160" s="324" t="s">
        <v>364</v>
      </c>
      <c r="M3160" s="324" t="s">
        <v>364</v>
      </c>
      <c r="N3160" s="324" t="s">
        <v>364</v>
      </c>
      <c r="O3160" s="324" t="s">
        <v>364</v>
      </c>
      <c r="P3160" s="324" t="s">
        <v>12155</v>
      </c>
      <c r="Q3160" s="324"/>
      <c r="R3160" s="324">
        <v>1</v>
      </c>
    </row>
    <row r="3161" spans="1:20" s="328" customFormat="1" x14ac:dyDescent="0.25">
      <c r="A3161" s="324" t="s">
        <v>12171</v>
      </c>
      <c r="B3161" s="522" t="s">
        <v>10330</v>
      </c>
      <c r="C3161" s="324" t="s">
        <v>433</v>
      </c>
      <c r="D3161" s="324" t="s">
        <v>8127</v>
      </c>
      <c r="E3161" s="325" t="s">
        <v>10</v>
      </c>
      <c r="F3161" s="324" t="s">
        <v>12166</v>
      </c>
      <c r="G3161" s="326">
        <v>46001</v>
      </c>
      <c r="H3161" s="324" t="s">
        <v>12163</v>
      </c>
      <c r="I3161" s="327">
        <v>78041</v>
      </c>
      <c r="J3161" s="324" t="s">
        <v>12138</v>
      </c>
      <c r="K3161" s="326">
        <v>46031</v>
      </c>
      <c r="L3161" s="324" t="s">
        <v>364</v>
      </c>
      <c r="M3161" s="324" t="s">
        <v>364</v>
      </c>
      <c r="N3161" s="324" t="s">
        <v>364</v>
      </c>
      <c r="O3161" s="324" t="s">
        <v>364</v>
      </c>
      <c r="P3161" s="324" t="s">
        <v>12155</v>
      </c>
      <c r="Q3161" s="324"/>
      <c r="R3161" s="324">
        <v>1</v>
      </c>
    </row>
    <row r="3162" spans="1:20" s="328" customFormat="1" x14ac:dyDescent="0.25">
      <c r="A3162" s="324" t="s">
        <v>12172</v>
      </c>
      <c r="B3162" s="522" t="s">
        <v>10330</v>
      </c>
      <c r="C3162" s="324" t="s">
        <v>433</v>
      </c>
      <c r="D3162" s="324" t="s">
        <v>8127</v>
      </c>
      <c r="E3162" s="325" t="s">
        <v>10</v>
      </c>
      <c r="F3162" s="324" t="s">
        <v>12166</v>
      </c>
      <c r="G3162" s="326">
        <v>46001</v>
      </c>
      <c r="H3162" s="324" t="s">
        <v>12164</v>
      </c>
      <c r="I3162" s="327">
        <v>78042</v>
      </c>
      <c r="J3162" s="324" t="s">
        <v>12139</v>
      </c>
      <c r="K3162" s="326">
        <v>46031</v>
      </c>
      <c r="L3162" s="324" t="s">
        <v>364</v>
      </c>
      <c r="M3162" s="324" t="s">
        <v>364</v>
      </c>
      <c r="N3162" s="324" t="s">
        <v>364</v>
      </c>
      <c r="O3162" s="324" t="s">
        <v>364</v>
      </c>
      <c r="P3162" s="324" t="s">
        <v>12155</v>
      </c>
      <c r="Q3162" s="324"/>
      <c r="R3162" s="324">
        <v>1</v>
      </c>
    </row>
    <row r="3163" spans="1:20" s="328" customFormat="1" x14ac:dyDescent="0.25">
      <c r="A3163" s="324" t="s">
        <v>12173</v>
      </c>
      <c r="B3163" s="522" t="s">
        <v>10330</v>
      </c>
      <c r="C3163" s="324" t="s">
        <v>433</v>
      </c>
      <c r="D3163" s="324" t="s">
        <v>8127</v>
      </c>
      <c r="E3163" s="325" t="s">
        <v>10</v>
      </c>
      <c r="F3163" s="324" t="s">
        <v>12166</v>
      </c>
      <c r="G3163" s="326">
        <v>46001</v>
      </c>
      <c r="H3163" s="324" t="s">
        <v>12165</v>
      </c>
      <c r="I3163" s="327">
        <v>78043</v>
      </c>
      <c r="J3163" s="324" t="s">
        <v>12140</v>
      </c>
      <c r="K3163" s="326">
        <v>46031</v>
      </c>
      <c r="L3163" s="324" t="s">
        <v>364</v>
      </c>
      <c r="M3163" s="324" t="s">
        <v>364</v>
      </c>
      <c r="N3163" s="324" t="s">
        <v>364</v>
      </c>
      <c r="O3163" s="324" t="s">
        <v>364</v>
      </c>
      <c r="P3163" s="324" t="s">
        <v>12155</v>
      </c>
      <c r="Q3163" s="324"/>
      <c r="R3163" s="324">
        <v>1</v>
      </c>
    </row>
    <row r="3164" spans="1:20" s="286" customFormat="1" x14ac:dyDescent="0.25">
      <c r="A3164" s="281" t="s">
        <v>12203</v>
      </c>
      <c r="B3164" s="281" t="s">
        <v>12202</v>
      </c>
      <c r="C3164" s="281" t="s">
        <v>433</v>
      </c>
      <c r="D3164" s="281" t="s">
        <v>8127</v>
      </c>
      <c r="E3164" s="281" t="s">
        <v>366</v>
      </c>
      <c r="F3164" s="281" t="s">
        <v>367</v>
      </c>
      <c r="G3164" s="2">
        <v>45751</v>
      </c>
      <c r="H3164" s="281" t="s">
        <v>427</v>
      </c>
      <c r="I3164" s="281">
        <v>77449</v>
      </c>
      <c r="J3164" s="281" t="s">
        <v>12157</v>
      </c>
      <c r="K3164" s="2">
        <v>46035</v>
      </c>
      <c r="L3164" s="281" t="s">
        <v>364</v>
      </c>
      <c r="M3164" s="281" t="s">
        <v>364</v>
      </c>
      <c r="N3164" s="281" t="s">
        <v>364</v>
      </c>
      <c r="O3164" s="281" t="s">
        <v>364</v>
      </c>
      <c r="P3164" s="281"/>
      <c r="Q3164" s="281" t="str">
        <f>IF(A3164="SCORTA 10",1,"")</f>
        <v/>
      </c>
      <c r="R3164" s="1">
        <f>IF(H3164&lt;&gt;"",1,"")</f>
        <v>1</v>
      </c>
      <c r="S3164" s="281">
        <f>IF(AND(A3164&lt;&gt;"",A3164&lt;&gt;"SCORTA 10"),1,"")</f>
        <v>1</v>
      </c>
    </row>
    <row r="3165" spans="1:20" s="328" customFormat="1" x14ac:dyDescent="0.25">
      <c r="A3165" s="324" t="s">
        <v>12188</v>
      </c>
      <c r="B3165" s="522" t="s">
        <v>12130</v>
      </c>
      <c r="C3165" s="324" t="s">
        <v>431</v>
      </c>
      <c r="D3165" s="324" t="s">
        <v>693</v>
      </c>
      <c r="E3165" s="325" t="s">
        <v>10</v>
      </c>
      <c r="F3165" s="324" t="s">
        <v>244</v>
      </c>
      <c r="G3165" s="326"/>
      <c r="H3165" s="324" t="s">
        <v>11420</v>
      </c>
      <c r="I3165" s="327">
        <v>72269</v>
      </c>
      <c r="J3165" s="324"/>
      <c r="K3165" s="326"/>
      <c r="L3165" s="324"/>
      <c r="M3165" s="324"/>
      <c r="N3165" s="324"/>
      <c r="O3165" s="324"/>
      <c r="P3165" s="324" t="s">
        <v>12208</v>
      </c>
      <c r="Q3165" s="324"/>
      <c r="R3165" s="324">
        <v>1</v>
      </c>
    </row>
    <row r="3166" spans="1:20" s="328" customFormat="1" x14ac:dyDescent="0.25">
      <c r="A3166" s="324" t="s">
        <v>12193</v>
      </c>
      <c r="B3166" s="522" t="s">
        <v>10116</v>
      </c>
      <c r="C3166" s="324" t="s">
        <v>433</v>
      </c>
      <c r="D3166" s="324" t="s">
        <v>8127</v>
      </c>
      <c r="E3166" s="325" t="s">
        <v>11331</v>
      </c>
      <c r="F3166" s="324" t="s">
        <v>12189</v>
      </c>
      <c r="G3166" s="326">
        <v>46001</v>
      </c>
      <c r="H3166" s="324" t="s">
        <v>12178</v>
      </c>
      <c r="I3166" s="327">
        <v>98527</v>
      </c>
      <c r="J3166" s="324" t="s">
        <v>12190</v>
      </c>
      <c r="K3166" s="326"/>
      <c r="L3166" s="324"/>
      <c r="M3166" s="324"/>
      <c r="N3166" s="324"/>
      <c r="O3166" s="324"/>
      <c r="P3166" s="324" t="s">
        <v>12206</v>
      </c>
      <c r="Q3166" s="324"/>
      <c r="R3166" s="324"/>
    </row>
    <row r="3167" spans="1:20" s="328" customFormat="1" x14ac:dyDescent="0.25">
      <c r="A3167" s="324" t="s">
        <v>12194</v>
      </c>
      <c r="B3167" s="522" t="s">
        <v>10116</v>
      </c>
      <c r="C3167" s="324" t="s">
        <v>433</v>
      </c>
      <c r="D3167" s="324" t="s">
        <v>8127</v>
      </c>
      <c r="E3167" s="325" t="s">
        <v>11331</v>
      </c>
      <c r="F3167" s="324" t="s">
        <v>12189</v>
      </c>
      <c r="G3167" s="326">
        <v>46001</v>
      </c>
      <c r="H3167" s="324" t="s">
        <v>12179</v>
      </c>
      <c r="I3167" s="327">
        <v>98528</v>
      </c>
      <c r="J3167" s="324" t="s">
        <v>12191</v>
      </c>
      <c r="K3167" s="326"/>
      <c r="L3167" s="324"/>
      <c r="M3167" s="324"/>
      <c r="N3167" s="324"/>
      <c r="O3167" s="324"/>
      <c r="P3167" s="324" t="s">
        <v>12207</v>
      </c>
      <c r="Q3167" s="324"/>
      <c r="R3167" s="324"/>
    </row>
    <row r="3168" spans="1:20" s="328" customFormat="1" x14ac:dyDescent="0.25">
      <c r="A3168" s="324" t="s">
        <v>12195</v>
      </c>
      <c r="B3168" s="522" t="s">
        <v>10116</v>
      </c>
      <c r="C3168" s="324" t="s">
        <v>433</v>
      </c>
      <c r="D3168" s="324" t="s">
        <v>8127</v>
      </c>
      <c r="E3168" s="325" t="s">
        <v>11331</v>
      </c>
      <c r="F3168" s="324" t="s">
        <v>12189</v>
      </c>
      <c r="G3168" s="326">
        <v>46001</v>
      </c>
      <c r="H3168" s="324" t="s">
        <v>12180</v>
      </c>
      <c r="I3168" s="327">
        <v>98529</v>
      </c>
      <c r="J3168" s="324" t="s">
        <v>12192</v>
      </c>
      <c r="K3168" s="326"/>
      <c r="L3168" s="324"/>
      <c r="M3168" s="324"/>
      <c r="N3168" s="324"/>
      <c r="O3168" s="324"/>
      <c r="P3168" s="324" t="s">
        <v>12206</v>
      </c>
      <c r="Q3168" s="324"/>
      <c r="R3168" s="324"/>
    </row>
    <row r="3169" spans="1:20" s="328" customFormat="1" x14ac:dyDescent="0.25">
      <c r="A3169" s="324" t="s">
        <v>12210</v>
      </c>
      <c r="B3169" s="522" t="s">
        <v>12209</v>
      </c>
      <c r="C3169" s="324" t="s">
        <v>434</v>
      </c>
      <c r="D3169" s="324"/>
      <c r="E3169" s="325" t="s">
        <v>11331</v>
      </c>
      <c r="F3169" s="324"/>
      <c r="G3169" s="326"/>
      <c r="H3169" s="324" t="s">
        <v>10771</v>
      </c>
      <c r="I3169" s="327">
        <v>76364</v>
      </c>
      <c r="J3169" s="324" t="s">
        <v>10276</v>
      </c>
      <c r="K3169" s="326"/>
      <c r="L3169" s="324" t="s">
        <v>364</v>
      </c>
      <c r="M3169" s="324" t="s">
        <v>364</v>
      </c>
      <c r="N3169" s="324" t="s">
        <v>364</v>
      </c>
      <c r="O3169" s="324" t="s">
        <v>364</v>
      </c>
      <c r="P3169" s="324" t="s">
        <v>12211</v>
      </c>
      <c r="Q3169" s="324"/>
      <c r="R3169" s="324">
        <v>1</v>
      </c>
    </row>
    <row r="3170" spans="1:20" s="376" customFormat="1" ht="18.75" customHeight="1" x14ac:dyDescent="0.25">
      <c r="A3170" s="1" t="s">
        <v>12186</v>
      </c>
      <c r="B3170" s="1" t="s">
        <v>685</v>
      </c>
      <c r="C3170" s="1" t="s">
        <v>433</v>
      </c>
      <c r="D3170" s="1" t="s">
        <v>447</v>
      </c>
      <c r="E3170" s="1" t="s">
        <v>10</v>
      </c>
      <c r="F3170" s="1" t="s">
        <v>12196</v>
      </c>
      <c r="G3170" s="2">
        <v>46029</v>
      </c>
      <c r="H3170" s="1" t="s">
        <v>12174</v>
      </c>
      <c r="I3170" s="1">
        <v>78560</v>
      </c>
      <c r="J3170" s="1" t="s">
        <v>12200</v>
      </c>
      <c r="K3170" s="2">
        <v>46043</v>
      </c>
      <c r="L3170" s="1" t="s">
        <v>364</v>
      </c>
      <c r="M3170" s="1" t="s">
        <v>364</v>
      </c>
      <c r="N3170" s="1" t="s">
        <v>364</v>
      </c>
      <c r="O3170" s="1" t="s">
        <v>364</v>
      </c>
      <c r="P3170" s="1" t="s">
        <v>12214</v>
      </c>
      <c r="Q3170" s="1"/>
      <c r="R3170" s="1">
        <f>IF(H3170&lt;&gt;"",1,"")</f>
        <v>1</v>
      </c>
      <c r="S3170" s="1"/>
    </row>
    <row r="3171" spans="1:20" s="286" customFormat="1" x14ac:dyDescent="0.25">
      <c r="A3171" s="281" t="s">
        <v>12222</v>
      </c>
      <c r="B3171" s="281" t="s">
        <v>12201</v>
      </c>
      <c r="C3171" s="1" t="s">
        <v>433</v>
      </c>
      <c r="D3171" s="281" t="s">
        <v>447</v>
      </c>
      <c r="E3171" s="281" t="s">
        <v>366</v>
      </c>
      <c r="F3171" s="281" t="s">
        <v>367</v>
      </c>
      <c r="G3171" s="2">
        <v>45901</v>
      </c>
      <c r="H3171" s="281" t="s">
        <v>12205</v>
      </c>
      <c r="I3171" s="281">
        <v>78201</v>
      </c>
      <c r="J3171" s="281" t="s">
        <v>12204</v>
      </c>
      <c r="K3171" s="2"/>
      <c r="L3171" s="281" t="s">
        <v>570</v>
      </c>
      <c r="M3171" s="281" t="s">
        <v>570</v>
      </c>
      <c r="N3171" s="281" t="s">
        <v>570</v>
      </c>
      <c r="O3171" s="281" t="s">
        <v>570</v>
      </c>
      <c r="P3171" s="281" t="s">
        <v>12215</v>
      </c>
      <c r="Q3171" s="281"/>
      <c r="R3171" s="1">
        <f>IF(H3171&lt;&gt;"",1,"")</f>
        <v>1</v>
      </c>
      <c r="S3171" s="281">
        <f>IF(AND(A3171&lt;&gt;"",A3171&lt;&gt;"SCORTA 10"),1,"")</f>
        <v>1</v>
      </c>
      <c r="T3171" s="296"/>
    </row>
    <row r="3172" spans="1:20" s="328" customFormat="1" x14ac:dyDescent="0.25">
      <c r="A3172" s="324" t="s">
        <v>12013</v>
      </c>
      <c r="B3172" s="522" t="s">
        <v>12218</v>
      </c>
      <c r="C3172" s="1" t="s">
        <v>433</v>
      </c>
      <c r="D3172" s="1" t="s">
        <v>455</v>
      </c>
      <c r="E3172" s="325" t="s">
        <v>11331</v>
      </c>
      <c r="F3172" s="324" t="s">
        <v>367</v>
      </c>
      <c r="G3172" s="326"/>
      <c r="H3172" s="324" t="s">
        <v>10797</v>
      </c>
      <c r="I3172" s="327">
        <v>77540</v>
      </c>
      <c r="J3172" s="324" t="s">
        <v>12006</v>
      </c>
      <c r="K3172" s="326"/>
      <c r="L3172" s="324" t="s">
        <v>364</v>
      </c>
      <c r="M3172" s="324" t="s">
        <v>364</v>
      </c>
      <c r="N3172" s="324" t="s">
        <v>364</v>
      </c>
      <c r="O3172" s="324" t="s">
        <v>364</v>
      </c>
      <c r="P3172" s="324"/>
      <c r="Q3172" s="324"/>
      <c r="R3172" s="360">
        <v>1</v>
      </c>
    </row>
    <row r="3173" spans="1:20" s="328" customFormat="1" x14ac:dyDescent="0.25">
      <c r="A3173" s="324" t="s">
        <v>12011</v>
      </c>
      <c r="B3173" s="522" t="s">
        <v>9700</v>
      </c>
      <c r="C3173" s="324" t="s">
        <v>433</v>
      </c>
      <c r="D3173" s="281" t="s">
        <v>455</v>
      </c>
      <c r="E3173" s="325" t="s">
        <v>11331</v>
      </c>
      <c r="F3173" s="324" t="s">
        <v>367</v>
      </c>
      <c r="G3173" s="326"/>
      <c r="H3173" s="324" t="s">
        <v>11221</v>
      </c>
      <c r="I3173" s="327">
        <v>77400</v>
      </c>
      <c r="J3173" s="324" t="s">
        <v>11222</v>
      </c>
      <c r="K3173" s="326"/>
      <c r="L3173" s="324" t="s">
        <v>7332</v>
      </c>
      <c r="M3173" s="324" t="s">
        <v>7332</v>
      </c>
      <c r="N3173" s="324" t="s">
        <v>7332</v>
      </c>
      <c r="O3173" s="324" t="s">
        <v>7332</v>
      </c>
      <c r="P3173" s="324"/>
      <c r="Q3173" s="324"/>
      <c r="R3173" s="324">
        <v>1</v>
      </c>
    </row>
    <row r="3174" spans="1:20" s="376" customFormat="1" ht="18.75" customHeight="1" x14ac:dyDescent="0.25">
      <c r="A3174" s="1" t="s">
        <v>12185</v>
      </c>
      <c r="B3174" s="1" t="s">
        <v>12227</v>
      </c>
      <c r="C3174" s="1" t="s">
        <v>433</v>
      </c>
      <c r="D3174" s="1" t="s">
        <v>447</v>
      </c>
      <c r="E3174" s="1" t="s">
        <v>10</v>
      </c>
      <c r="F3174" s="1" t="s">
        <v>12196</v>
      </c>
      <c r="G3174" s="2">
        <v>46029</v>
      </c>
      <c r="H3174" s="1" t="s">
        <v>12177</v>
      </c>
      <c r="I3174" s="1">
        <v>78559</v>
      </c>
      <c r="J3174" s="1" t="s">
        <v>12199</v>
      </c>
      <c r="K3174" s="2">
        <v>46048</v>
      </c>
      <c r="L3174" s="1" t="s">
        <v>364</v>
      </c>
      <c r="M3174" s="1" t="s">
        <v>364</v>
      </c>
      <c r="N3174" s="1" t="s">
        <v>364</v>
      </c>
      <c r="O3174" s="1" t="s">
        <v>364</v>
      </c>
      <c r="P3174" s="293" t="s">
        <v>12229</v>
      </c>
      <c r="Q3174" s="1"/>
      <c r="R3174" s="1">
        <f>IF(H3174&lt;&gt;"",1,"")</f>
        <v>1</v>
      </c>
      <c r="S3174" s="1"/>
    </row>
    <row r="3175" spans="1:20" s="376" customFormat="1" ht="18.75" customHeight="1" x14ac:dyDescent="0.25">
      <c r="A3175" s="3" t="s">
        <v>12216</v>
      </c>
      <c r="B3175" s="1" t="s">
        <v>12225</v>
      </c>
      <c r="C3175" s="1" t="s">
        <v>433</v>
      </c>
      <c r="D3175" s="1" t="s">
        <v>3778</v>
      </c>
      <c r="E3175" s="1" t="s">
        <v>10</v>
      </c>
      <c r="F3175" s="1" t="s">
        <v>437</v>
      </c>
      <c r="G3175" s="2">
        <v>45901</v>
      </c>
      <c r="H3175" s="1" t="s">
        <v>11697</v>
      </c>
      <c r="I3175" s="1">
        <v>78197</v>
      </c>
      <c r="J3175" s="1" t="s">
        <v>12220</v>
      </c>
      <c r="K3175" s="2"/>
      <c r="L3175" s="1" t="s">
        <v>364</v>
      </c>
      <c r="M3175" s="1" t="s">
        <v>364</v>
      </c>
      <c r="N3175" s="1" t="s">
        <v>364</v>
      </c>
      <c r="O3175" s="1" t="s">
        <v>364</v>
      </c>
      <c r="P3175" s="1"/>
      <c r="Q3175" s="1">
        <v>1</v>
      </c>
      <c r="R3175" s="1"/>
      <c r="S3175" s="1">
        <f>IF(AND(A3175&lt;&gt;"",A3175&lt;&gt;"SCORTA 10"),1,"")</f>
        <v>1</v>
      </c>
    </row>
    <row r="3176" spans="1:20" s="328" customFormat="1" x14ac:dyDescent="0.25">
      <c r="A3176" s="324" t="s">
        <v>12239</v>
      </c>
      <c r="B3176" s="522" t="s">
        <v>12224</v>
      </c>
      <c r="C3176" s="324" t="s">
        <v>434</v>
      </c>
      <c r="D3176" s="324" t="s">
        <v>447</v>
      </c>
      <c r="E3176" s="325" t="s">
        <v>10</v>
      </c>
      <c r="F3176" s="324" t="s">
        <v>68</v>
      </c>
      <c r="G3176" s="326">
        <v>46051</v>
      </c>
      <c r="H3176" s="324" t="s">
        <v>11859</v>
      </c>
      <c r="I3176" s="327">
        <v>73463</v>
      </c>
      <c r="J3176" s="324" t="s">
        <v>8004</v>
      </c>
      <c r="K3176" s="326"/>
      <c r="L3176" s="324" t="s">
        <v>364</v>
      </c>
      <c r="M3176" s="324" t="s">
        <v>364</v>
      </c>
      <c r="N3176" s="324" t="s">
        <v>364</v>
      </c>
      <c r="O3176" s="324" t="s">
        <v>364</v>
      </c>
      <c r="P3176" s="324" t="s">
        <v>523</v>
      </c>
      <c r="Q3176" s="324"/>
      <c r="R3176" s="324">
        <v>1</v>
      </c>
    </row>
    <row r="3177" spans="1:20" s="328" customFormat="1" x14ac:dyDescent="0.25">
      <c r="A3177" s="324" t="s">
        <v>11905</v>
      </c>
      <c r="B3177" s="522" t="s">
        <v>12240</v>
      </c>
      <c r="C3177" s="324" t="s">
        <v>434</v>
      </c>
      <c r="D3177" s="324" t="s">
        <v>447</v>
      </c>
      <c r="E3177" s="325" t="s">
        <v>10</v>
      </c>
      <c r="F3177" s="324" t="s">
        <v>68</v>
      </c>
      <c r="G3177" s="326"/>
      <c r="H3177" s="324" t="s">
        <v>11857</v>
      </c>
      <c r="I3177" s="327">
        <v>71713</v>
      </c>
      <c r="J3177" s="324" t="s">
        <v>8975</v>
      </c>
      <c r="K3177" s="326">
        <v>46051</v>
      </c>
      <c r="L3177" s="324" t="s">
        <v>364</v>
      </c>
      <c r="M3177" s="324" t="s">
        <v>364</v>
      </c>
      <c r="N3177" s="324" t="s">
        <v>364</v>
      </c>
      <c r="O3177" s="324" t="s">
        <v>364</v>
      </c>
      <c r="P3177" s="324"/>
      <c r="Q3177" s="324"/>
      <c r="R3177" s="324">
        <v>1</v>
      </c>
    </row>
    <row r="3178" spans="1:20" s="376" customFormat="1" ht="18.75" customHeight="1" x14ac:dyDescent="0.25">
      <c r="A3178" s="1" t="s">
        <v>12183</v>
      </c>
      <c r="B3178" s="1" t="s">
        <v>12226</v>
      </c>
      <c r="C3178" s="1" t="s">
        <v>433</v>
      </c>
      <c r="D3178" s="1" t="s">
        <v>447</v>
      </c>
      <c r="E3178" s="1" t="s">
        <v>10</v>
      </c>
      <c r="F3178" s="1" t="s">
        <v>12196</v>
      </c>
      <c r="G3178" s="2">
        <v>46029</v>
      </c>
      <c r="H3178" s="1" t="s">
        <v>12175</v>
      </c>
      <c r="I3178" s="1">
        <v>78557</v>
      </c>
      <c r="J3178" s="1" t="s">
        <v>12181</v>
      </c>
      <c r="K3178" s="2">
        <v>46050</v>
      </c>
      <c r="L3178" s="1" t="s">
        <v>364</v>
      </c>
      <c r="M3178" s="1" t="s">
        <v>364</v>
      </c>
      <c r="N3178" s="1" t="s">
        <v>364</v>
      </c>
      <c r="O3178" s="1" t="s">
        <v>364</v>
      </c>
      <c r="P3178" s="1" t="s">
        <v>12212</v>
      </c>
      <c r="Q3178" s="1"/>
      <c r="R3178" s="1">
        <f>IF(H3178&lt;&gt;"",1,"")</f>
        <v>1</v>
      </c>
      <c r="S3178" s="1"/>
    </row>
    <row r="3179" spans="1:20" s="328" customFormat="1" x14ac:dyDescent="0.25">
      <c r="A3179" s="324" t="s">
        <v>12248</v>
      </c>
      <c r="B3179" s="522" t="s">
        <v>12247</v>
      </c>
      <c r="C3179" s="324" t="s">
        <v>434</v>
      </c>
      <c r="D3179" s="324" t="s">
        <v>3778</v>
      </c>
      <c r="E3179" s="325" t="s">
        <v>10</v>
      </c>
      <c r="F3179" s="324" t="s">
        <v>68</v>
      </c>
      <c r="G3179" s="326"/>
      <c r="H3179" s="324" t="s">
        <v>11858</v>
      </c>
      <c r="I3179" s="327">
        <v>73478</v>
      </c>
      <c r="J3179" s="324" t="s">
        <v>8132</v>
      </c>
      <c r="K3179" s="326"/>
      <c r="L3179" s="324" t="s">
        <v>364</v>
      </c>
      <c r="M3179" s="324" t="s">
        <v>364</v>
      </c>
      <c r="N3179" s="324" t="s">
        <v>364</v>
      </c>
      <c r="O3179" s="324" t="s">
        <v>364</v>
      </c>
      <c r="P3179" s="324"/>
      <c r="Q3179" s="324"/>
      <c r="R3179" s="324">
        <v>1</v>
      </c>
    </row>
    <row r="3180" spans="1:20" s="286" customFormat="1" x14ac:dyDescent="0.25">
      <c r="A3180" s="281" t="s">
        <v>12231</v>
      </c>
      <c r="B3180" s="281" t="s">
        <v>12238</v>
      </c>
      <c r="C3180" s="281" t="s">
        <v>433</v>
      </c>
      <c r="D3180" s="281" t="s">
        <v>447</v>
      </c>
      <c r="E3180" s="281" t="s">
        <v>366</v>
      </c>
      <c r="F3180" s="281" t="s">
        <v>367</v>
      </c>
      <c r="G3180" s="2">
        <v>45901</v>
      </c>
      <c r="H3180" s="281" t="s">
        <v>11706</v>
      </c>
      <c r="I3180" s="281">
        <v>78203</v>
      </c>
      <c r="J3180" s="281" t="s">
        <v>12235</v>
      </c>
      <c r="K3180" s="2"/>
      <c r="L3180" s="281" t="s">
        <v>364</v>
      </c>
      <c r="M3180" s="281" t="s">
        <v>364</v>
      </c>
      <c r="N3180" s="281" t="s">
        <v>364</v>
      </c>
      <c r="O3180" s="281" t="s">
        <v>364</v>
      </c>
      <c r="P3180" s="281"/>
      <c r="Q3180" s="281"/>
      <c r="R3180" s="1">
        <f>IF(H3180&lt;&gt;"",1,"")</f>
        <v>1</v>
      </c>
      <c r="S3180" s="281">
        <f>IF(AND(A3180&lt;&gt;"",A3180&lt;&gt;"SCORTA 10"),1,"")</f>
        <v>1</v>
      </c>
    </row>
    <row r="3181" spans="1:20" s="328" customFormat="1" x14ac:dyDescent="0.25">
      <c r="A3181" s="324" t="s">
        <v>12251</v>
      </c>
      <c r="B3181" s="522" t="s">
        <v>12223</v>
      </c>
      <c r="C3181" s="324" t="s">
        <v>431</v>
      </c>
      <c r="D3181" s="324" t="s">
        <v>12250</v>
      </c>
      <c r="E3181" s="325" t="s">
        <v>10</v>
      </c>
      <c r="F3181" s="324" t="s">
        <v>244</v>
      </c>
      <c r="G3181" s="326"/>
      <c r="H3181" s="324" t="s">
        <v>11444</v>
      </c>
      <c r="I3181" s="327">
        <v>71376</v>
      </c>
      <c r="J3181" s="324"/>
      <c r="K3181" s="326">
        <v>46048</v>
      </c>
      <c r="L3181" s="324" t="s">
        <v>364</v>
      </c>
      <c r="M3181" s="324" t="s">
        <v>364</v>
      </c>
      <c r="N3181" s="324" t="s">
        <v>364</v>
      </c>
      <c r="O3181" s="324" t="s">
        <v>364</v>
      </c>
      <c r="P3181" s="324" t="s">
        <v>12249</v>
      </c>
      <c r="Q3181" s="324"/>
      <c r="R3181" s="324"/>
    </row>
    <row r="3182" spans="1:20" s="328" customFormat="1" x14ac:dyDescent="0.25">
      <c r="A3182" s="324" t="s">
        <v>12245</v>
      </c>
      <c r="B3182" s="522" t="s">
        <v>12246</v>
      </c>
      <c r="C3182" s="324" t="s">
        <v>434</v>
      </c>
      <c r="D3182" s="324" t="s">
        <v>12250</v>
      </c>
      <c r="E3182" s="325" t="s">
        <v>10</v>
      </c>
      <c r="F3182" s="324" t="s">
        <v>5423</v>
      </c>
      <c r="G3182" s="326"/>
      <c r="H3182" s="324" t="s">
        <v>12244</v>
      </c>
      <c r="I3182" s="327">
        <v>73353</v>
      </c>
      <c r="J3182" s="324"/>
      <c r="K3182" s="326"/>
      <c r="L3182" s="324" t="s">
        <v>364</v>
      </c>
      <c r="M3182" s="324" t="s">
        <v>364</v>
      </c>
      <c r="N3182" s="324" t="s">
        <v>364</v>
      </c>
      <c r="O3182" s="324" t="s">
        <v>364</v>
      </c>
      <c r="P3182" s="324"/>
      <c r="Q3182" s="324"/>
      <c r="R3182" s="324"/>
    </row>
    <row r="3183" spans="1:20" s="328" customFormat="1" x14ac:dyDescent="0.25">
      <c r="A3183" s="324" t="s">
        <v>12243</v>
      </c>
      <c r="B3183" s="522" t="s">
        <v>12241</v>
      </c>
      <c r="C3183" s="324" t="s">
        <v>434</v>
      </c>
      <c r="D3183" s="324" t="s">
        <v>12250</v>
      </c>
      <c r="E3183" s="325" t="s">
        <v>10</v>
      </c>
      <c r="F3183" s="324" t="s">
        <v>68</v>
      </c>
      <c r="G3183" s="326"/>
      <c r="H3183" s="324" t="s">
        <v>12242</v>
      </c>
      <c r="I3183" s="327">
        <v>71253</v>
      </c>
      <c r="J3183" s="324"/>
      <c r="K3183" s="326"/>
      <c r="L3183" s="324" t="s">
        <v>364</v>
      </c>
      <c r="M3183" s="324" t="s">
        <v>364</v>
      </c>
      <c r="N3183" s="324" t="s">
        <v>364</v>
      </c>
      <c r="O3183" s="324" t="s">
        <v>364</v>
      </c>
      <c r="P3183" s="324"/>
      <c r="Q3183" s="324"/>
      <c r="R3183" s="324"/>
    </row>
    <row r="3184" spans="1:20" s="286" customFormat="1" ht="30" customHeight="1" x14ac:dyDescent="0.25">
      <c r="A3184" s="281" t="s">
        <v>12232</v>
      </c>
      <c r="B3184" s="281" t="s">
        <v>12219</v>
      </c>
      <c r="C3184" s="281" t="s">
        <v>376</v>
      </c>
      <c r="D3184" s="281" t="s">
        <v>447</v>
      </c>
      <c r="E3184" s="281" t="s">
        <v>366</v>
      </c>
      <c r="F3184" s="281" t="s">
        <v>367</v>
      </c>
      <c r="G3184" s="2">
        <v>45901</v>
      </c>
      <c r="H3184" s="281" t="s">
        <v>11707</v>
      </c>
      <c r="I3184" s="281">
        <v>78204</v>
      </c>
      <c r="J3184" s="281" t="s">
        <v>12236</v>
      </c>
      <c r="K3184" s="2">
        <v>46056</v>
      </c>
      <c r="L3184" s="281"/>
      <c r="M3184" s="281"/>
      <c r="N3184" s="281"/>
      <c r="O3184" s="281"/>
      <c r="P3184" s="558" t="s">
        <v>12252</v>
      </c>
      <c r="Q3184" s="281"/>
      <c r="R3184" s="1">
        <v>1</v>
      </c>
      <c r="S3184" s="281">
        <f>IF(AND(A3184&lt;&gt;"",A3184&lt;&gt;"SCORTA 10"),1,"")</f>
        <v>1</v>
      </c>
    </row>
    <row r="3185" spans="1:19" s="376" customFormat="1" ht="18.75" customHeight="1" x14ac:dyDescent="0.25">
      <c r="A3185" s="1" t="s">
        <v>12184</v>
      </c>
      <c r="B3185" s="1" t="s">
        <v>12228</v>
      </c>
      <c r="C3185" s="1" t="s">
        <v>433</v>
      </c>
      <c r="D3185" s="1" t="s">
        <v>447</v>
      </c>
      <c r="E3185" s="1" t="s">
        <v>10</v>
      </c>
      <c r="F3185" s="1" t="s">
        <v>12196</v>
      </c>
      <c r="G3185" s="2">
        <v>46029</v>
      </c>
      <c r="H3185" s="1" t="s">
        <v>12176</v>
      </c>
      <c r="I3185" s="1">
        <v>78558</v>
      </c>
      <c r="J3185" s="1" t="s">
        <v>12182</v>
      </c>
      <c r="K3185" s="2">
        <v>46057</v>
      </c>
      <c r="L3185" s="1" t="s">
        <v>364</v>
      </c>
      <c r="M3185" s="1" t="s">
        <v>364</v>
      </c>
      <c r="N3185" s="1" t="s">
        <v>364</v>
      </c>
      <c r="O3185" s="1" t="s">
        <v>364</v>
      </c>
      <c r="P3185" s="1" t="s">
        <v>12213</v>
      </c>
      <c r="Q3185" s="1"/>
      <c r="R3185" s="1">
        <f>IF(H3185&lt;&gt;"",1,"")</f>
        <v>1</v>
      </c>
      <c r="S3185" s="1">
        <v>1</v>
      </c>
    </row>
    <row r="3186" spans="1:19" s="286" customFormat="1" x14ac:dyDescent="0.25">
      <c r="A3186" s="281" t="s">
        <v>12237</v>
      </c>
      <c r="B3186" s="281" t="s">
        <v>11873</v>
      </c>
      <c r="C3186" s="281" t="s">
        <v>433</v>
      </c>
      <c r="D3186" s="281" t="s">
        <v>447</v>
      </c>
      <c r="E3186" s="281" t="s">
        <v>366</v>
      </c>
      <c r="F3186" s="281" t="s">
        <v>367</v>
      </c>
      <c r="G3186" s="2">
        <v>45901</v>
      </c>
      <c r="H3186" s="281" t="s">
        <v>11708</v>
      </c>
      <c r="I3186" s="281">
        <v>78205</v>
      </c>
      <c r="J3186" s="281" t="s">
        <v>12234</v>
      </c>
      <c r="K3186" s="2">
        <v>46058</v>
      </c>
      <c r="L3186" s="1" t="s">
        <v>364</v>
      </c>
      <c r="M3186" s="1" t="s">
        <v>364</v>
      </c>
      <c r="N3186" s="1" t="s">
        <v>364</v>
      </c>
      <c r="O3186" s="1" t="s">
        <v>364</v>
      </c>
      <c r="P3186" s="281" t="s">
        <v>12264</v>
      </c>
      <c r="Q3186" s="281"/>
      <c r="R3186" s="281">
        <v>1</v>
      </c>
      <c r="S3186" s="281">
        <f>IF(AND(A3186&lt;&gt;"",A3186&lt;&gt;"SCORTA 10"),1,"")</f>
        <v>1</v>
      </c>
    </row>
    <row r="3187" spans="1:19" s="286" customFormat="1" x14ac:dyDescent="0.25">
      <c r="A3187" s="281" t="s">
        <v>12265</v>
      </c>
      <c r="B3187" s="281" t="s">
        <v>12253</v>
      </c>
      <c r="C3187" s="281" t="s">
        <v>433</v>
      </c>
      <c r="D3187" s="281" t="s">
        <v>447</v>
      </c>
      <c r="E3187" s="281" t="s">
        <v>366</v>
      </c>
      <c r="F3187" s="281" t="s">
        <v>367</v>
      </c>
      <c r="G3187" s="2">
        <v>45751</v>
      </c>
      <c r="H3187" s="281" t="s">
        <v>429</v>
      </c>
      <c r="I3187" s="281">
        <v>77451</v>
      </c>
      <c r="J3187" s="281" t="s">
        <v>12159</v>
      </c>
      <c r="K3187" s="2"/>
      <c r="L3187" s="1" t="s">
        <v>364</v>
      </c>
      <c r="M3187" s="1" t="s">
        <v>364</v>
      </c>
      <c r="N3187" s="1" t="s">
        <v>364</v>
      </c>
      <c r="O3187" s="1" t="s">
        <v>364</v>
      </c>
      <c r="P3187" s="550" t="s">
        <v>12254</v>
      </c>
      <c r="Q3187" s="281" t="str">
        <f>IF(A3187="SCORTA 10",1,"")</f>
        <v/>
      </c>
      <c r="R3187" s="1">
        <f>IF(H3187&lt;&gt;"",1,"")</f>
        <v>1</v>
      </c>
      <c r="S3187" s="281">
        <v>1</v>
      </c>
    </row>
    <row r="3188" spans="1:19" s="328" customFormat="1" x14ac:dyDescent="0.25">
      <c r="A3188" s="324" t="s">
        <v>12259</v>
      </c>
      <c r="B3188" s="522" t="s">
        <v>12257</v>
      </c>
      <c r="C3188" s="324" t="s">
        <v>434</v>
      </c>
      <c r="D3188" s="324" t="s">
        <v>12260</v>
      </c>
      <c r="E3188" s="325" t="s">
        <v>10</v>
      </c>
      <c r="F3188" s="324" t="s">
        <v>68</v>
      </c>
      <c r="G3188" s="326"/>
      <c r="H3188" s="324" t="s">
        <v>11767</v>
      </c>
      <c r="I3188" s="327">
        <v>72422</v>
      </c>
      <c r="J3188" s="324"/>
      <c r="K3188" s="326"/>
      <c r="L3188" s="324"/>
      <c r="M3188" s="324"/>
      <c r="N3188" s="324"/>
      <c r="O3188" s="324"/>
      <c r="P3188" s="324"/>
      <c r="Q3188" s="324"/>
      <c r="R3188" s="324">
        <v>1</v>
      </c>
    </row>
    <row r="3189" spans="1:19" s="328" customFormat="1" x14ac:dyDescent="0.25">
      <c r="A3189" s="324" t="s">
        <v>12261</v>
      </c>
      <c r="B3189" s="522" t="s">
        <v>12257</v>
      </c>
      <c r="C3189" s="324" t="s">
        <v>434</v>
      </c>
      <c r="D3189" s="324" t="s">
        <v>12260</v>
      </c>
      <c r="E3189" s="325" t="s">
        <v>10</v>
      </c>
      <c r="F3189" s="324" t="s">
        <v>68</v>
      </c>
      <c r="G3189" s="326"/>
      <c r="H3189" s="326" t="s">
        <v>12255</v>
      </c>
      <c r="I3189" s="327">
        <v>72446</v>
      </c>
      <c r="J3189" s="324"/>
      <c r="K3189" s="326"/>
      <c r="L3189" s="324"/>
      <c r="M3189" s="324"/>
      <c r="N3189" s="324"/>
      <c r="O3189" s="324"/>
      <c r="P3189" s="324"/>
      <c r="Q3189" s="324"/>
      <c r="R3189" s="324">
        <v>1</v>
      </c>
    </row>
    <row r="3190" spans="1:19" s="328" customFormat="1" x14ac:dyDescent="0.25">
      <c r="A3190" s="324" t="s">
        <v>12262</v>
      </c>
      <c r="B3190" s="522" t="s">
        <v>12258</v>
      </c>
      <c r="C3190" s="324" t="s">
        <v>434</v>
      </c>
      <c r="D3190" s="324" t="s">
        <v>12260</v>
      </c>
      <c r="E3190" s="325" t="s">
        <v>10</v>
      </c>
      <c r="F3190" s="324" t="s">
        <v>244</v>
      </c>
      <c r="G3190" s="326"/>
      <c r="H3190" s="326" t="s">
        <v>11726</v>
      </c>
      <c r="I3190" s="327">
        <v>71390</v>
      </c>
      <c r="J3190" s="324"/>
      <c r="K3190" s="326"/>
      <c r="L3190" s="324"/>
      <c r="M3190" s="324"/>
      <c r="N3190" s="324"/>
      <c r="O3190" s="324"/>
      <c r="P3190" s="324"/>
      <c r="Q3190" s="324"/>
      <c r="R3190" s="324">
        <v>1</v>
      </c>
    </row>
    <row r="3191" spans="1:19" s="328" customFormat="1" x14ac:dyDescent="0.25">
      <c r="A3191" s="324" t="s">
        <v>12263</v>
      </c>
      <c r="B3191" s="522" t="s">
        <v>12258</v>
      </c>
      <c r="C3191" s="324" t="s">
        <v>434</v>
      </c>
      <c r="D3191" s="324" t="s">
        <v>12260</v>
      </c>
      <c r="E3191" s="325" t="s">
        <v>10</v>
      </c>
      <c r="F3191" s="324" t="s">
        <v>244</v>
      </c>
      <c r="G3191" s="326"/>
      <c r="H3191" s="326" t="s">
        <v>12256</v>
      </c>
      <c r="I3191" s="327">
        <v>70766</v>
      </c>
      <c r="J3191" s="324"/>
      <c r="K3191" s="326"/>
      <c r="L3191" s="324"/>
      <c r="M3191" s="324"/>
      <c r="N3191" s="324"/>
      <c r="O3191" s="324"/>
      <c r="P3191" s="324"/>
      <c r="Q3191" s="324"/>
      <c r="R3191" s="324">
        <v>1</v>
      </c>
    </row>
    <row r="3192" spans="1:19" s="328" customFormat="1" x14ac:dyDescent="0.25">
      <c r="A3192" s="324" t="s">
        <v>12277</v>
      </c>
      <c r="B3192" s="522" t="s">
        <v>12272</v>
      </c>
      <c r="C3192" s="324" t="s">
        <v>434</v>
      </c>
      <c r="D3192" s="324" t="s">
        <v>447</v>
      </c>
      <c r="E3192" s="325" t="s">
        <v>11331</v>
      </c>
      <c r="F3192" s="324" t="s">
        <v>367</v>
      </c>
      <c r="G3192" s="326"/>
      <c r="H3192" s="324" t="s">
        <v>421</v>
      </c>
      <c r="I3192" s="324">
        <v>77442</v>
      </c>
      <c r="J3192" s="324"/>
      <c r="K3192" s="326">
        <v>45706</v>
      </c>
      <c r="L3192" s="324" t="s">
        <v>364</v>
      </c>
      <c r="M3192" s="324" t="s">
        <v>364</v>
      </c>
      <c r="N3192" s="324" t="s">
        <v>364</v>
      </c>
      <c r="O3192" s="324" t="s">
        <v>364</v>
      </c>
      <c r="P3192" s="324" t="s">
        <v>12273</v>
      </c>
      <c r="Q3192" s="324"/>
      <c r="R3192" s="324"/>
    </row>
    <row r="3193" spans="1:19" s="328" customFormat="1" x14ac:dyDescent="0.25">
      <c r="A3193" s="324" t="s">
        <v>12280</v>
      </c>
      <c r="B3193" s="522" t="s">
        <v>12279</v>
      </c>
      <c r="C3193" s="324" t="s">
        <v>434</v>
      </c>
      <c r="D3193" s="324" t="s">
        <v>447</v>
      </c>
      <c r="E3193" s="325" t="s">
        <v>11331</v>
      </c>
      <c r="F3193" s="324" t="s">
        <v>367</v>
      </c>
      <c r="G3193" s="326"/>
      <c r="H3193" s="324" t="s">
        <v>12167</v>
      </c>
      <c r="I3193" s="324">
        <v>76349</v>
      </c>
      <c r="J3193" s="324"/>
      <c r="K3193" s="326">
        <v>46071</v>
      </c>
      <c r="L3193" s="324" t="s">
        <v>364</v>
      </c>
      <c r="M3193" s="324" t="s">
        <v>364</v>
      </c>
      <c r="N3193" s="324" t="s">
        <v>364</v>
      </c>
      <c r="O3193" s="324" t="s">
        <v>364</v>
      </c>
      <c r="P3193" s="324" t="s">
        <v>12281</v>
      </c>
      <c r="Q3193" s="324"/>
      <c r="R3193" s="324"/>
    </row>
    <row r="3194" spans="1:19" s="328" customFormat="1" x14ac:dyDescent="0.25">
      <c r="A3194" s="324" t="s">
        <v>12283</v>
      </c>
      <c r="B3194" s="522" t="s">
        <v>12282</v>
      </c>
      <c r="C3194" s="324" t="s">
        <v>431</v>
      </c>
      <c r="D3194" s="324" t="s">
        <v>447</v>
      </c>
      <c r="E3194" s="325" t="s">
        <v>11331</v>
      </c>
      <c r="F3194" s="324" t="s">
        <v>367</v>
      </c>
      <c r="G3194" s="326"/>
      <c r="H3194" s="324" t="s">
        <v>12267</v>
      </c>
      <c r="I3194" s="324">
        <v>76846</v>
      </c>
      <c r="J3194" s="324"/>
      <c r="K3194" s="326">
        <v>46072</v>
      </c>
      <c r="L3194" s="324" t="s">
        <v>364</v>
      </c>
      <c r="M3194" s="324" t="s">
        <v>364</v>
      </c>
      <c r="N3194" s="324" t="s">
        <v>364</v>
      </c>
      <c r="O3194" s="324" t="s">
        <v>364</v>
      </c>
      <c r="P3194" s="324"/>
      <c r="Q3194" s="324"/>
      <c r="R3194" s="324"/>
    </row>
    <row r="3195" spans="1:19" s="328" customFormat="1" x14ac:dyDescent="0.25">
      <c r="A3195" s="324" t="s">
        <v>12278</v>
      </c>
      <c r="B3195" s="522" t="s">
        <v>12275</v>
      </c>
      <c r="C3195" s="324" t="s">
        <v>431</v>
      </c>
      <c r="D3195" s="324" t="s">
        <v>447</v>
      </c>
      <c r="E3195" s="325" t="s">
        <v>10</v>
      </c>
      <c r="F3195" s="324" t="s">
        <v>68</v>
      </c>
      <c r="G3195" s="326"/>
      <c r="H3195" s="324" t="s">
        <v>11825</v>
      </c>
      <c r="I3195" s="324">
        <v>73455</v>
      </c>
      <c r="J3195" s="324"/>
      <c r="K3195" s="326">
        <v>46076</v>
      </c>
      <c r="L3195" s="324" t="s">
        <v>364</v>
      </c>
      <c r="M3195" s="324" t="s">
        <v>364</v>
      </c>
      <c r="N3195" s="324" t="s">
        <v>364</v>
      </c>
      <c r="O3195" s="324" t="s">
        <v>364</v>
      </c>
      <c r="P3195" s="528" t="s">
        <v>12276</v>
      </c>
      <c r="Q3195" s="324">
        <v>1</v>
      </c>
      <c r="R3195" s="324"/>
    </row>
    <row r="3196" spans="1:19" s="328" customFormat="1" x14ac:dyDescent="0.25">
      <c r="A3196" s="324" t="s">
        <v>12290</v>
      </c>
      <c r="B3196" s="522" t="s">
        <v>12287</v>
      </c>
      <c r="C3196" s="324" t="s">
        <v>433</v>
      </c>
      <c r="D3196" s="324" t="s">
        <v>447</v>
      </c>
      <c r="E3196" s="325" t="s">
        <v>11331</v>
      </c>
      <c r="F3196" s="324" t="s">
        <v>367</v>
      </c>
      <c r="G3196" s="326"/>
      <c r="H3196" s="324" t="s">
        <v>12142</v>
      </c>
      <c r="I3196" s="324">
        <v>78503</v>
      </c>
      <c r="J3196" s="324" t="s">
        <v>12288</v>
      </c>
      <c r="K3196" s="326">
        <v>46077</v>
      </c>
      <c r="L3196" s="324" t="s">
        <v>364</v>
      </c>
      <c r="M3196" s="324" t="s">
        <v>364</v>
      </c>
      <c r="N3196" s="324" t="s">
        <v>364</v>
      </c>
      <c r="O3196" s="324" t="s">
        <v>364</v>
      </c>
      <c r="P3196" s="324"/>
      <c r="Q3196" s="1">
        <f t="shared" ref="Q3196:Q3201" si="129">IF(AND(A3196&lt;&gt;"",A3196&lt;&gt;"SCORTA 10"),1,"")</f>
        <v>1</v>
      </c>
    </row>
    <row r="3197" spans="1:19" s="328" customFormat="1" x14ac:dyDescent="0.25">
      <c r="A3197" s="324" t="s">
        <v>12291</v>
      </c>
      <c r="B3197" s="522" t="s">
        <v>12287</v>
      </c>
      <c r="C3197" s="324" t="s">
        <v>433</v>
      </c>
      <c r="D3197" s="324" t="s">
        <v>447</v>
      </c>
      <c r="E3197" s="325" t="s">
        <v>11331</v>
      </c>
      <c r="F3197" s="324" t="s">
        <v>367</v>
      </c>
      <c r="G3197" s="326"/>
      <c r="H3197" s="324" t="s">
        <v>12148</v>
      </c>
      <c r="I3197" s="324">
        <v>78509</v>
      </c>
      <c r="J3197" s="324" t="s">
        <v>12289</v>
      </c>
      <c r="K3197" s="326">
        <v>46077</v>
      </c>
      <c r="L3197" s="324" t="s">
        <v>364</v>
      </c>
      <c r="M3197" s="324" t="s">
        <v>364</v>
      </c>
      <c r="N3197" s="324" t="s">
        <v>364</v>
      </c>
      <c r="O3197" s="324" t="s">
        <v>364</v>
      </c>
      <c r="P3197" s="324"/>
      <c r="Q3197" s="1">
        <f t="shared" si="129"/>
        <v>1</v>
      </c>
    </row>
    <row r="3198" spans="1:19" s="328" customFormat="1" x14ac:dyDescent="0.25">
      <c r="A3198" s="324" t="s">
        <v>12102</v>
      </c>
      <c r="B3198" s="522" t="s">
        <v>12274</v>
      </c>
      <c r="C3198" s="324" t="s">
        <v>434</v>
      </c>
      <c r="D3198" s="324" t="s">
        <v>447</v>
      </c>
      <c r="E3198" s="325" t="s">
        <v>11331</v>
      </c>
      <c r="F3198" s="324" t="s">
        <v>367</v>
      </c>
      <c r="G3198" s="326"/>
      <c r="H3198" s="324" t="s">
        <v>12064</v>
      </c>
      <c r="I3198" s="324">
        <v>77418</v>
      </c>
      <c r="J3198" s="324"/>
      <c r="K3198" s="326">
        <v>46084</v>
      </c>
      <c r="L3198" s="324" t="s">
        <v>364</v>
      </c>
      <c r="M3198" s="324" t="s">
        <v>364</v>
      </c>
      <c r="N3198" s="324" t="s">
        <v>364</v>
      </c>
      <c r="O3198" s="324" t="s">
        <v>364</v>
      </c>
      <c r="P3198" s="324" t="s">
        <v>12312</v>
      </c>
      <c r="Q3198" s="1">
        <f t="shared" si="129"/>
        <v>1</v>
      </c>
    </row>
    <row r="3199" spans="1:19" s="328" customFormat="1" x14ac:dyDescent="0.25">
      <c r="A3199" s="324" t="s">
        <v>12301</v>
      </c>
      <c r="B3199" s="522" t="s">
        <v>12300</v>
      </c>
      <c r="C3199" s="324" t="s">
        <v>434</v>
      </c>
      <c r="D3199" s="324" t="s">
        <v>8127</v>
      </c>
      <c r="E3199" s="325" t="s">
        <v>10</v>
      </c>
      <c r="F3199" s="324" t="s">
        <v>244</v>
      </c>
      <c r="G3199" s="326"/>
      <c r="H3199" s="324" t="s">
        <v>11174</v>
      </c>
      <c r="I3199" s="324">
        <v>72938</v>
      </c>
      <c r="J3199" s="324"/>
      <c r="K3199" s="326">
        <v>46056</v>
      </c>
      <c r="L3199" s="324" t="s">
        <v>364</v>
      </c>
      <c r="M3199" s="324" t="s">
        <v>364</v>
      </c>
      <c r="N3199" s="324" t="s">
        <v>364</v>
      </c>
      <c r="O3199" s="324" t="s">
        <v>364</v>
      </c>
      <c r="P3199" s="557" t="s">
        <v>12309</v>
      </c>
      <c r="Q3199" s="1">
        <f t="shared" si="129"/>
        <v>1</v>
      </c>
    </row>
    <row r="3200" spans="1:19" s="328" customFormat="1" x14ac:dyDescent="0.25">
      <c r="A3200" s="324" t="s">
        <v>12310</v>
      </c>
      <c r="B3200" s="522" t="s">
        <v>12284</v>
      </c>
      <c r="C3200" s="324" t="s">
        <v>435</v>
      </c>
      <c r="D3200" s="324" t="s">
        <v>8127</v>
      </c>
      <c r="E3200" s="325" t="s">
        <v>11331</v>
      </c>
      <c r="F3200" s="324" t="s">
        <v>367</v>
      </c>
      <c r="G3200" s="326"/>
      <c r="H3200" s="324" t="s">
        <v>12268</v>
      </c>
      <c r="I3200" s="324">
        <v>76358</v>
      </c>
      <c r="J3200" s="324"/>
      <c r="K3200" s="326">
        <v>46083</v>
      </c>
      <c r="L3200" s="324" t="s">
        <v>364</v>
      </c>
      <c r="M3200" s="324"/>
      <c r="N3200" s="324"/>
      <c r="O3200" s="324"/>
      <c r="P3200" s="324"/>
      <c r="Q3200" s="1">
        <f t="shared" si="129"/>
        <v>1</v>
      </c>
    </row>
    <row r="3201" spans="1:19" s="328" customFormat="1" x14ac:dyDescent="0.25">
      <c r="A3201" s="324" t="s">
        <v>12311</v>
      </c>
      <c r="B3201" s="522" t="s">
        <v>12294</v>
      </c>
      <c r="C3201" s="324" t="s">
        <v>434</v>
      </c>
      <c r="D3201" s="324" t="s">
        <v>8127</v>
      </c>
      <c r="E3201" s="325" t="s">
        <v>10</v>
      </c>
      <c r="F3201" s="324" t="s">
        <v>244</v>
      </c>
      <c r="G3201" s="326"/>
      <c r="H3201" s="324" t="s">
        <v>12271</v>
      </c>
      <c r="I3201" s="324">
        <v>72753</v>
      </c>
      <c r="J3201" s="324"/>
      <c r="K3201" s="326">
        <v>46085</v>
      </c>
      <c r="L3201" s="324" t="s">
        <v>364</v>
      </c>
      <c r="M3201" s="324" t="s">
        <v>364</v>
      </c>
      <c r="N3201" s="324" t="s">
        <v>364</v>
      </c>
      <c r="O3201" s="324" t="s">
        <v>364</v>
      </c>
      <c r="P3201" s="324" t="s">
        <v>6278</v>
      </c>
      <c r="Q3201" s="1">
        <f t="shared" si="129"/>
        <v>1</v>
      </c>
    </row>
    <row r="3202" spans="1:19" s="328" customFormat="1" x14ac:dyDescent="0.25">
      <c r="A3202" s="324" t="s">
        <v>12314</v>
      </c>
      <c r="B3202" s="522" t="s">
        <v>12313</v>
      </c>
      <c r="C3202" s="324" t="s">
        <v>434</v>
      </c>
      <c r="D3202" s="324" t="s">
        <v>8127</v>
      </c>
      <c r="E3202" s="325" t="s">
        <v>11331</v>
      </c>
      <c r="F3202" s="324" t="s">
        <v>367</v>
      </c>
      <c r="G3202" s="326"/>
      <c r="H3202" s="324" t="s">
        <v>11216</v>
      </c>
      <c r="I3202" s="327">
        <v>77404</v>
      </c>
      <c r="J3202" s="324" t="s">
        <v>11217</v>
      </c>
      <c r="K3202" s="326"/>
      <c r="L3202" s="324"/>
      <c r="M3202" s="324"/>
      <c r="N3202" s="324"/>
      <c r="O3202" s="324"/>
      <c r="P3202" s="324"/>
      <c r="Q3202" s="1">
        <v>1</v>
      </c>
    </row>
    <row r="3203" spans="1:19" s="328" customFormat="1" x14ac:dyDescent="0.25">
      <c r="A3203" s="324" t="s">
        <v>12298</v>
      </c>
      <c r="B3203" s="522" t="s">
        <v>12285</v>
      </c>
      <c r="C3203" s="324" t="s">
        <v>431</v>
      </c>
      <c r="D3203" s="324" t="s">
        <v>447</v>
      </c>
      <c r="E3203" s="325" t="s">
        <v>10</v>
      </c>
      <c r="F3203" s="324" t="s">
        <v>244</v>
      </c>
      <c r="G3203" s="326"/>
      <c r="H3203" s="324" t="s">
        <v>12269</v>
      </c>
      <c r="I3203" s="324">
        <v>72760</v>
      </c>
      <c r="J3203" s="324"/>
      <c r="K3203" s="326">
        <v>46083</v>
      </c>
      <c r="L3203" s="324" t="s">
        <v>364</v>
      </c>
      <c r="M3203" s="324" t="s">
        <v>364</v>
      </c>
      <c r="N3203" s="324" t="s">
        <v>364</v>
      </c>
      <c r="O3203" s="324" t="s">
        <v>364</v>
      </c>
      <c r="P3203" s="528" t="s">
        <v>12292</v>
      </c>
      <c r="Q3203" s="1">
        <f>IF(AND(A3203&lt;&gt;"",A3203&lt;&gt;"SCORTA 10"),1,"")</f>
        <v>1</v>
      </c>
    </row>
    <row r="3204" spans="1:19" s="328" customFormat="1" x14ac:dyDescent="0.25">
      <c r="A3204" s="324" t="s">
        <v>12299</v>
      </c>
      <c r="B3204" s="522" t="s">
        <v>12286</v>
      </c>
      <c r="C3204" s="324" t="s">
        <v>431</v>
      </c>
      <c r="D3204" s="324" t="s">
        <v>447</v>
      </c>
      <c r="E3204" s="325" t="s">
        <v>10</v>
      </c>
      <c r="F3204" s="324" t="s">
        <v>244</v>
      </c>
      <c r="G3204" s="326"/>
      <c r="H3204" s="324" t="s">
        <v>554</v>
      </c>
      <c r="I3204" s="324">
        <v>70762</v>
      </c>
      <c r="J3204" s="324"/>
      <c r="K3204" s="326">
        <v>46083</v>
      </c>
      <c r="L3204" s="324" t="s">
        <v>364</v>
      </c>
      <c r="M3204" s="324" t="s">
        <v>364</v>
      </c>
      <c r="N3204" s="324" t="s">
        <v>364</v>
      </c>
      <c r="O3204" s="324" t="s">
        <v>364</v>
      </c>
      <c r="P3204" s="528" t="s">
        <v>12292</v>
      </c>
      <c r="Q3204" s="1">
        <f>IF(AND(A3204&lt;&gt;"",A3204&lt;&gt;"SCORTA 10"),1,"")</f>
        <v>1</v>
      </c>
    </row>
    <row r="3205" spans="1:19" s="328" customFormat="1" x14ac:dyDescent="0.25">
      <c r="A3205" s="324" t="s">
        <v>12297</v>
      </c>
      <c r="B3205" s="522" t="s">
        <v>12293</v>
      </c>
      <c r="C3205" s="324" t="s">
        <v>431</v>
      </c>
      <c r="D3205" s="324" t="s">
        <v>8127</v>
      </c>
      <c r="E3205" s="325" t="s">
        <v>10</v>
      </c>
      <c r="F3205" s="324" t="s">
        <v>560</v>
      </c>
      <c r="G3205" s="326"/>
      <c r="H3205" s="324" t="s">
        <v>12295</v>
      </c>
      <c r="I3205" s="324">
        <v>73495</v>
      </c>
      <c r="J3205" s="324"/>
      <c r="K3205" s="326">
        <v>46083</v>
      </c>
      <c r="L3205" s="324" t="s">
        <v>364</v>
      </c>
      <c r="M3205" s="324" t="s">
        <v>364</v>
      </c>
      <c r="N3205" s="324" t="s">
        <v>364</v>
      </c>
      <c r="O3205" s="324" t="s">
        <v>364</v>
      </c>
      <c r="P3205" s="528" t="s">
        <v>6446</v>
      </c>
      <c r="Q3205" s="1">
        <f>IF(AND(A3205&lt;&gt;"",A3205&lt;&gt;"SCORTA 10"),1,"")</f>
        <v>1</v>
      </c>
    </row>
    <row r="3206" spans="1:19" s="328" customFormat="1" x14ac:dyDescent="0.25">
      <c r="A3206" s="324" t="s">
        <v>12318</v>
      </c>
      <c r="B3206" s="522" t="s">
        <v>12317</v>
      </c>
      <c r="C3206" s="324" t="s">
        <v>434</v>
      </c>
      <c r="D3206" s="324" t="s">
        <v>8127</v>
      </c>
      <c r="E3206" s="325" t="s">
        <v>10</v>
      </c>
      <c r="F3206" s="324" t="s">
        <v>560</v>
      </c>
      <c r="G3206" s="326"/>
      <c r="H3206" s="324" t="s">
        <v>12315</v>
      </c>
      <c r="I3206" s="327">
        <v>73128</v>
      </c>
      <c r="J3206" s="324" t="s">
        <v>7886</v>
      </c>
      <c r="K3206" s="326" t="s">
        <v>12321</v>
      </c>
      <c r="L3206" s="324" t="s">
        <v>364</v>
      </c>
      <c r="M3206" s="324" t="s">
        <v>364</v>
      </c>
      <c r="N3206" s="324" t="s">
        <v>364</v>
      </c>
      <c r="O3206" s="324" t="s">
        <v>364</v>
      </c>
      <c r="P3206" s="324" t="s">
        <v>12319</v>
      </c>
      <c r="Q3206" s="1">
        <v>1</v>
      </c>
    </row>
    <row r="3207" spans="1:19" s="328" customFormat="1" x14ac:dyDescent="0.25">
      <c r="A3207" s="324" t="s">
        <v>12323</v>
      </c>
      <c r="B3207" s="522" t="s">
        <v>12320</v>
      </c>
      <c r="C3207" s="324" t="s">
        <v>434</v>
      </c>
      <c r="D3207" s="324" t="s">
        <v>8127</v>
      </c>
      <c r="E3207" s="325" t="s">
        <v>10</v>
      </c>
      <c r="F3207" s="324" t="s">
        <v>244</v>
      </c>
      <c r="G3207" s="326"/>
      <c r="H3207" s="324" t="s">
        <v>540</v>
      </c>
      <c r="I3207" s="324">
        <v>72271</v>
      </c>
      <c r="J3207" s="324"/>
      <c r="K3207" s="326"/>
      <c r="L3207" s="324" t="s">
        <v>364</v>
      </c>
      <c r="M3207" s="324" t="s">
        <v>364</v>
      </c>
      <c r="N3207" s="324" t="s">
        <v>364</v>
      </c>
      <c r="O3207" s="324" t="s">
        <v>364</v>
      </c>
      <c r="P3207" s="324" t="s">
        <v>12324</v>
      </c>
      <c r="Q3207" s="1">
        <v>1</v>
      </c>
    </row>
    <row r="3208" spans="1:19" s="328" customFormat="1" x14ac:dyDescent="0.25">
      <c r="A3208" s="324" t="s">
        <v>12333</v>
      </c>
      <c r="B3208" s="522" t="s">
        <v>11635</v>
      </c>
      <c r="C3208" s="324" t="s">
        <v>435</v>
      </c>
      <c r="D3208" s="324" t="s">
        <v>8127</v>
      </c>
      <c r="E3208" s="325" t="s">
        <v>11331</v>
      </c>
      <c r="F3208" s="324" t="s">
        <v>367</v>
      </c>
      <c r="G3208" s="326"/>
      <c r="H3208" s="324" t="s">
        <v>424</v>
      </c>
      <c r="I3208" s="327">
        <v>77446</v>
      </c>
      <c r="J3208" s="324"/>
      <c r="K3208" s="326">
        <v>46097</v>
      </c>
      <c r="L3208" s="324" t="s">
        <v>364</v>
      </c>
      <c r="M3208" s="324" t="s">
        <v>364</v>
      </c>
      <c r="N3208" s="324" t="s">
        <v>364</v>
      </c>
      <c r="O3208" s="324" t="s">
        <v>364</v>
      </c>
      <c r="P3208" s="324"/>
      <c r="Q3208" s="1">
        <v>1</v>
      </c>
    </row>
    <row r="3209" spans="1:19" s="328" customFormat="1" x14ac:dyDescent="0.25">
      <c r="A3209" s="324" t="s">
        <v>12334</v>
      </c>
      <c r="B3209" s="522" t="s">
        <v>12316</v>
      </c>
      <c r="C3209" s="324" t="s">
        <v>435</v>
      </c>
      <c r="D3209" s="324" t="s">
        <v>8127</v>
      </c>
      <c r="E3209" s="325" t="s">
        <v>10</v>
      </c>
      <c r="F3209" s="324" t="s">
        <v>244</v>
      </c>
      <c r="G3209" s="326"/>
      <c r="H3209" s="324" t="s">
        <v>11542</v>
      </c>
      <c r="I3209" s="327">
        <v>77320</v>
      </c>
      <c r="J3209" s="324" t="s">
        <v>12330</v>
      </c>
      <c r="K3209" s="326">
        <v>46097</v>
      </c>
      <c r="L3209" s="324" t="s">
        <v>364</v>
      </c>
      <c r="M3209" s="324" t="s">
        <v>364</v>
      </c>
      <c r="N3209" s="324" t="s">
        <v>364</v>
      </c>
      <c r="O3209" s="324" t="s">
        <v>364</v>
      </c>
      <c r="P3209" s="324" t="s">
        <v>12335</v>
      </c>
      <c r="Q3209" s="1">
        <v>1</v>
      </c>
    </row>
    <row r="3210" spans="1:19" s="328" customFormat="1" x14ac:dyDescent="0.25">
      <c r="A3210" s="324" t="s">
        <v>12327</v>
      </c>
      <c r="B3210" s="522" t="s">
        <v>12326</v>
      </c>
      <c r="C3210" s="324" t="s">
        <v>433</v>
      </c>
      <c r="D3210" s="324" t="s">
        <v>447</v>
      </c>
      <c r="E3210" s="325" t="s">
        <v>11331</v>
      </c>
      <c r="F3210" s="324" t="s">
        <v>12116</v>
      </c>
      <c r="G3210" s="326"/>
      <c r="H3210" s="324" t="s">
        <v>12143</v>
      </c>
      <c r="I3210" s="327">
        <v>78504</v>
      </c>
      <c r="J3210" s="324" t="s">
        <v>12328</v>
      </c>
      <c r="K3210" s="326"/>
      <c r="L3210" s="324" t="s">
        <v>364</v>
      </c>
      <c r="M3210" s="324"/>
      <c r="N3210" s="324"/>
      <c r="O3210" s="324"/>
      <c r="P3210" s="324" t="s">
        <v>12347</v>
      </c>
      <c r="Q3210" s="1">
        <v>1</v>
      </c>
    </row>
    <row r="3211" spans="1:19" s="328" customFormat="1" x14ac:dyDescent="0.25">
      <c r="A3211" s="324" t="s">
        <v>12345</v>
      </c>
      <c r="B3211" s="522" t="s">
        <v>12344</v>
      </c>
      <c r="C3211" s="324" t="s">
        <v>434</v>
      </c>
      <c r="D3211" s="324" t="s">
        <v>12349</v>
      </c>
      <c r="E3211" s="325" t="s">
        <v>10</v>
      </c>
      <c r="F3211" s="324" t="s">
        <v>244</v>
      </c>
      <c r="G3211" s="326"/>
      <c r="H3211" s="324" t="s">
        <v>12270</v>
      </c>
      <c r="I3211" s="324">
        <v>71380</v>
      </c>
      <c r="J3211" s="324"/>
      <c r="K3211" s="326">
        <v>46098</v>
      </c>
      <c r="L3211" s="324" t="s">
        <v>364</v>
      </c>
      <c r="M3211" s="324" t="s">
        <v>364</v>
      </c>
      <c r="N3211" s="324" t="s">
        <v>364</v>
      </c>
      <c r="O3211" s="324" t="s">
        <v>364</v>
      </c>
      <c r="P3211" s="324" t="s">
        <v>12346</v>
      </c>
      <c r="Q3211" s="1">
        <v>1</v>
      </c>
    </row>
    <row r="3212" spans="1:19" s="328" customFormat="1" x14ac:dyDescent="0.25">
      <c r="A3212" s="324" t="s">
        <v>12338</v>
      </c>
      <c r="B3212" s="522" t="s">
        <v>12358</v>
      </c>
      <c r="C3212" s="324" t="s">
        <v>434</v>
      </c>
      <c r="D3212" s="324" t="s">
        <v>8127</v>
      </c>
      <c r="E3212" s="325" t="s">
        <v>10</v>
      </c>
      <c r="F3212" s="324" t="s">
        <v>244</v>
      </c>
      <c r="G3212" s="326"/>
      <c r="H3212" s="324" t="s">
        <v>12337</v>
      </c>
      <c r="I3212" s="327">
        <v>70965</v>
      </c>
      <c r="J3212" s="324" t="s">
        <v>12343</v>
      </c>
      <c r="K3212" s="326"/>
      <c r="L3212" s="324"/>
      <c r="M3212" s="324"/>
      <c r="N3212" s="324"/>
      <c r="O3212" s="324"/>
      <c r="P3212" s="324"/>
      <c r="Q3212" s="1">
        <v>1</v>
      </c>
    </row>
    <row r="3213" spans="1:19" s="328" customFormat="1" x14ac:dyDescent="0.25">
      <c r="A3213" s="324" t="s">
        <v>12356</v>
      </c>
      <c r="B3213" s="522" t="s">
        <v>12354</v>
      </c>
      <c r="C3213" s="324" t="s">
        <v>434</v>
      </c>
      <c r="D3213" s="324" t="s">
        <v>8127</v>
      </c>
      <c r="E3213" s="325" t="s">
        <v>11331</v>
      </c>
      <c r="F3213" s="324" t="s">
        <v>367</v>
      </c>
      <c r="G3213" s="326"/>
      <c r="H3213" s="324" t="s">
        <v>503</v>
      </c>
      <c r="I3213" s="327">
        <v>77586</v>
      </c>
      <c r="J3213" s="324" t="s">
        <v>11430</v>
      </c>
      <c r="K3213" s="326">
        <v>46101</v>
      </c>
      <c r="L3213" s="324" t="s">
        <v>364</v>
      </c>
      <c r="M3213" s="324" t="s">
        <v>364</v>
      </c>
      <c r="N3213" s="324" t="s">
        <v>364</v>
      </c>
      <c r="O3213" s="324" t="s">
        <v>364</v>
      </c>
      <c r="P3213" s="324" t="s">
        <v>12357</v>
      </c>
      <c r="Q3213" s="1">
        <v>1</v>
      </c>
    </row>
    <row r="3214" spans="1:19" s="376" customFormat="1" ht="18.75" customHeight="1" x14ac:dyDescent="0.25">
      <c r="A3214" s="3" t="s">
        <v>12217</v>
      </c>
      <c r="B3214" s="1" t="s">
        <v>12329</v>
      </c>
      <c r="C3214" s="1" t="s">
        <v>435</v>
      </c>
      <c r="D3214" s="1" t="s">
        <v>8127</v>
      </c>
      <c r="E3214" s="1" t="s">
        <v>10</v>
      </c>
      <c r="F3214" s="1" t="s">
        <v>437</v>
      </c>
      <c r="G3214" s="2">
        <v>45901</v>
      </c>
      <c r="H3214" s="1" t="s">
        <v>11698</v>
      </c>
      <c r="I3214" s="1">
        <v>78198</v>
      </c>
      <c r="J3214" s="1" t="s">
        <v>12221</v>
      </c>
      <c r="K3214" s="2">
        <v>46104</v>
      </c>
      <c r="L3214" s="1" t="s">
        <v>364</v>
      </c>
      <c r="M3214" s="1" t="s">
        <v>364</v>
      </c>
      <c r="N3214" s="1" t="s">
        <v>364</v>
      </c>
      <c r="O3214" s="1" t="s">
        <v>364</v>
      </c>
      <c r="P3214" s="1" t="s">
        <v>12348</v>
      </c>
      <c r="Q3214" s="1"/>
      <c r="R3214" s="1">
        <v>1</v>
      </c>
      <c r="S3214" s="1">
        <f>IF(AND(A3214&lt;&gt;"",A3214&lt;&gt;"SCORTA 10"),1,"")</f>
        <v>1</v>
      </c>
    </row>
    <row r="3215" spans="1:19" s="286" customFormat="1" x14ac:dyDescent="0.25">
      <c r="A3215" s="281" t="s">
        <v>12020</v>
      </c>
      <c r="B3215" s="281" t="s">
        <v>12325</v>
      </c>
      <c r="C3215" s="281" t="s">
        <v>435</v>
      </c>
      <c r="D3215" s="281" t="s">
        <v>447</v>
      </c>
      <c r="E3215" s="281" t="s">
        <v>366</v>
      </c>
      <c r="F3215" s="281" t="s">
        <v>367</v>
      </c>
      <c r="G3215" s="2">
        <v>45901</v>
      </c>
      <c r="H3215" s="281" t="s">
        <v>11705</v>
      </c>
      <c r="I3215" s="281">
        <v>78202</v>
      </c>
      <c r="J3215" s="281" t="s">
        <v>12230</v>
      </c>
      <c r="K3215" s="2">
        <v>46104</v>
      </c>
      <c r="L3215" s="281" t="s">
        <v>364</v>
      </c>
      <c r="M3215" s="281" t="s">
        <v>364</v>
      </c>
      <c r="N3215" s="281" t="s">
        <v>364</v>
      </c>
      <c r="O3215" s="281" t="s">
        <v>364</v>
      </c>
      <c r="P3215" s="281" t="s">
        <v>12336</v>
      </c>
      <c r="Q3215" s="281"/>
      <c r="R3215" s="1">
        <v>1</v>
      </c>
      <c r="S3215" s="281">
        <v>1</v>
      </c>
    </row>
    <row r="3216" spans="1:19" s="328" customFormat="1" x14ac:dyDescent="0.25">
      <c r="A3216" s="324" t="s">
        <v>12362</v>
      </c>
      <c r="B3216" s="522" t="s">
        <v>12361</v>
      </c>
      <c r="C3216" s="324" t="s">
        <v>434</v>
      </c>
      <c r="D3216" s="324" t="s">
        <v>8127</v>
      </c>
      <c r="E3216" s="325" t="s">
        <v>11331</v>
      </c>
      <c r="F3216" s="324" t="s">
        <v>367</v>
      </c>
      <c r="G3216" s="326"/>
      <c r="H3216" s="324" t="s">
        <v>11231</v>
      </c>
      <c r="I3216" s="327">
        <v>77403</v>
      </c>
      <c r="J3216" s="324" t="s">
        <v>11232</v>
      </c>
      <c r="K3216" s="326"/>
      <c r="L3216" s="324" t="s">
        <v>364</v>
      </c>
      <c r="M3216" s="324" t="s">
        <v>364</v>
      </c>
      <c r="N3216" s="324" t="s">
        <v>364</v>
      </c>
      <c r="O3216" s="324" t="s">
        <v>364</v>
      </c>
      <c r="P3216" s="324"/>
      <c r="Q3216" s="1">
        <v>1</v>
      </c>
    </row>
    <row r="3217" spans="1:17" s="328" customFormat="1" x14ac:dyDescent="0.25">
      <c r="A3217" s="324" t="s">
        <v>12353</v>
      </c>
      <c r="B3217" s="522" t="s">
        <v>12266</v>
      </c>
      <c r="C3217" s="324" t="s">
        <v>434</v>
      </c>
      <c r="D3217" s="324" t="s">
        <v>8127</v>
      </c>
      <c r="E3217" s="325" t="s">
        <v>10</v>
      </c>
      <c r="F3217" s="324" t="s">
        <v>244</v>
      </c>
      <c r="G3217" s="326"/>
      <c r="H3217" s="324" t="s">
        <v>12322</v>
      </c>
      <c r="I3217" s="324">
        <v>72761</v>
      </c>
      <c r="J3217" s="324"/>
      <c r="K3217" s="326">
        <v>46105</v>
      </c>
      <c r="L3217" s="324" t="s">
        <v>364</v>
      </c>
      <c r="M3217" s="324" t="s">
        <v>364</v>
      </c>
      <c r="N3217" s="324" t="s">
        <v>364</v>
      </c>
      <c r="O3217" s="324" t="s">
        <v>364</v>
      </c>
      <c r="P3217" s="324"/>
      <c r="Q3217" s="1">
        <v>1</v>
      </c>
    </row>
    <row r="3218" spans="1:17" s="328" customFormat="1" x14ac:dyDescent="0.25">
      <c r="A3218" s="324" t="s">
        <v>12372</v>
      </c>
      <c r="B3218" s="522" t="s">
        <v>12359</v>
      </c>
      <c r="C3218" s="324" t="s">
        <v>431</v>
      </c>
      <c r="D3218" s="324" t="s">
        <v>8127</v>
      </c>
      <c r="E3218" s="325" t="s">
        <v>10</v>
      </c>
      <c r="F3218" s="324" t="s">
        <v>12332</v>
      </c>
      <c r="G3218" s="326"/>
      <c r="H3218" s="324" t="s">
        <v>12331</v>
      </c>
      <c r="I3218" s="327">
        <v>72444</v>
      </c>
      <c r="J3218" s="324" t="s">
        <v>7477</v>
      </c>
      <c r="K3218" s="326">
        <v>46111</v>
      </c>
      <c r="L3218" s="324" t="s">
        <v>364</v>
      </c>
      <c r="M3218" s="324" t="s">
        <v>364</v>
      </c>
      <c r="N3218" s="324" t="s">
        <v>364</v>
      </c>
      <c r="O3218" s="324"/>
      <c r="P3218" s="528" t="s">
        <v>12363</v>
      </c>
      <c r="Q3218" s="1">
        <v>1</v>
      </c>
    </row>
    <row r="3219" spans="1:17" s="328" customFormat="1" x14ac:dyDescent="0.25">
      <c r="A3219" s="324" t="s">
        <v>12373</v>
      </c>
      <c r="B3219" s="522" t="s">
        <v>12360</v>
      </c>
      <c r="C3219" s="324" t="s">
        <v>435</v>
      </c>
      <c r="D3219" s="324" t="s">
        <v>8127</v>
      </c>
      <c r="E3219" s="325" t="s">
        <v>10</v>
      </c>
      <c r="F3219" s="324" t="s">
        <v>12370</v>
      </c>
      <c r="G3219" s="326"/>
      <c r="H3219" s="324" t="s">
        <v>12366</v>
      </c>
      <c r="I3219" s="327">
        <v>76184</v>
      </c>
      <c r="J3219" s="324"/>
      <c r="K3219" s="326"/>
      <c r="L3219" s="324"/>
      <c r="M3219" s="324"/>
      <c r="N3219" s="324"/>
      <c r="O3219" s="324"/>
      <c r="P3219" s="324" t="s">
        <v>12374</v>
      </c>
      <c r="Q3219" s="1">
        <v>1</v>
      </c>
    </row>
    <row r="3220" spans="1:17" s="328" customFormat="1" x14ac:dyDescent="0.25">
      <c r="A3220" s="324" t="s">
        <v>12395</v>
      </c>
      <c r="B3220" s="522" t="s">
        <v>12383</v>
      </c>
      <c r="C3220" s="324" t="s">
        <v>376</v>
      </c>
      <c r="D3220" s="324" t="s">
        <v>8127</v>
      </c>
      <c r="E3220" s="325" t="s">
        <v>10</v>
      </c>
      <c r="F3220" s="324" t="s">
        <v>12369</v>
      </c>
      <c r="G3220" s="326"/>
      <c r="H3220" s="324" t="s">
        <v>12367</v>
      </c>
      <c r="I3220" s="327">
        <v>73291</v>
      </c>
      <c r="J3220" s="324"/>
      <c r="K3220" s="326" t="s">
        <v>12386</v>
      </c>
      <c r="L3220" s="324" t="s">
        <v>364</v>
      </c>
      <c r="M3220" s="324" t="s">
        <v>364</v>
      </c>
      <c r="N3220" s="324" t="s">
        <v>364</v>
      </c>
      <c r="O3220" s="324" t="s">
        <v>364</v>
      </c>
      <c r="P3220" s="324" t="s">
        <v>12396</v>
      </c>
      <c r="Q3220" s="1">
        <v>1</v>
      </c>
    </row>
    <row r="3221" spans="1:17" s="328" customFormat="1" x14ac:dyDescent="0.25">
      <c r="A3221" s="324" t="s">
        <v>12397</v>
      </c>
      <c r="B3221" s="522" t="s">
        <v>12371</v>
      </c>
      <c r="C3221" s="324" t="s">
        <v>431</v>
      </c>
      <c r="D3221" s="324" t="s">
        <v>447</v>
      </c>
      <c r="E3221" s="325" t="s">
        <v>10</v>
      </c>
      <c r="F3221" s="324" t="s">
        <v>560</v>
      </c>
      <c r="G3221" s="326"/>
      <c r="H3221" s="324" t="s">
        <v>12393</v>
      </c>
      <c r="I3221" s="327">
        <v>73676</v>
      </c>
      <c r="J3221" s="324"/>
      <c r="K3221" s="326">
        <v>46120</v>
      </c>
      <c r="L3221" s="324" t="s">
        <v>364</v>
      </c>
      <c r="M3221" s="324" t="s">
        <v>364</v>
      </c>
      <c r="N3221" s="324" t="s">
        <v>364</v>
      </c>
      <c r="O3221" s="324" t="s">
        <v>364</v>
      </c>
      <c r="P3221" s="324" t="s">
        <v>12394</v>
      </c>
      <c r="Q3221" s="324">
        <f t="shared" ref="Q3221:Q3228" si="130">IF(AND(A3221&lt;&gt;"",A3221&lt;&gt;"SCORTA 10"),1,"")</f>
        <v>1</v>
      </c>
    </row>
    <row r="3222" spans="1:17" s="328" customFormat="1" x14ac:dyDescent="0.25">
      <c r="A3222" s="324" t="s">
        <v>12402</v>
      </c>
      <c r="B3222" s="522" t="s">
        <v>12388</v>
      </c>
      <c r="C3222" s="324" t="s">
        <v>376</v>
      </c>
      <c r="D3222" s="324" t="s">
        <v>8127</v>
      </c>
      <c r="E3222" s="325" t="s">
        <v>10</v>
      </c>
      <c r="F3222" s="324" t="s">
        <v>12332</v>
      </c>
      <c r="G3222" s="326"/>
      <c r="H3222" s="324" t="s">
        <v>12365</v>
      </c>
      <c r="I3222" s="327">
        <v>72445</v>
      </c>
      <c r="J3222" s="324"/>
      <c r="K3222" s="326" t="s">
        <v>12390</v>
      </c>
      <c r="L3222" s="324" t="s">
        <v>364</v>
      </c>
      <c r="M3222" s="324"/>
      <c r="N3222" s="324"/>
      <c r="O3222" s="324"/>
      <c r="P3222" s="324" t="s">
        <v>12389</v>
      </c>
      <c r="Q3222" s="324">
        <f t="shared" si="130"/>
        <v>1</v>
      </c>
    </row>
    <row r="3223" spans="1:17" s="328" customFormat="1" x14ac:dyDescent="0.25">
      <c r="A3223" s="324" t="s">
        <v>12406</v>
      </c>
      <c r="B3223" s="324" t="s">
        <v>12307</v>
      </c>
      <c r="C3223" s="324" t="s">
        <v>433</v>
      </c>
      <c r="D3223" s="324" t="s">
        <v>8127</v>
      </c>
      <c r="E3223" s="325" t="s">
        <v>10</v>
      </c>
      <c r="F3223" s="324" t="s">
        <v>5835</v>
      </c>
      <c r="G3223" s="326"/>
      <c r="H3223" s="324" t="s">
        <v>12304</v>
      </c>
      <c r="I3223" s="327">
        <v>78409</v>
      </c>
      <c r="J3223" s="324" t="s">
        <v>12378</v>
      </c>
      <c r="K3223" s="326"/>
      <c r="L3223" s="324" t="s">
        <v>364</v>
      </c>
      <c r="M3223" s="324" t="s">
        <v>364</v>
      </c>
      <c r="N3223" s="324" t="s">
        <v>364</v>
      </c>
      <c r="O3223" s="324" t="s">
        <v>364</v>
      </c>
      <c r="P3223" s="324" t="s">
        <v>12398</v>
      </c>
      <c r="Q3223" s="324">
        <f t="shared" si="130"/>
        <v>1</v>
      </c>
    </row>
    <row r="3224" spans="1:17" s="328" customFormat="1" x14ac:dyDescent="0.25">
      <c r="A3224" s="324" t="s">
        <v>12405</v>
      </c>
      <c r="B3224" s="324" t="s">
        <v>12296</v>
      </c>
      <c r="C3224" s="324" t="s">
        <v>433</v>
      </c>
      <c r="D3224" s="324" t="s">
        <v>8127</v>
      </c>
      <c r="E3224" s="325" t="s">
        <v>10</v>
      </c>
      <c r="F3224" s="324" t="s">
        <v>5835</v>
      </c>
      <c r="G3224" s="326"/>
      <c r="H3224" s="324" t="s">
        <v>12303</v>
      </c>
      <c r="I3224" s="327">
        <v>78407</v>
      </c>
      <c r="J3224" s="324" t="s">
        <v>12377</v>
      </c>
      <c r="K3224" s="326"/>
      <c r="L3224" s="324" t="s">
        <v>364</v>
      </c>
      <c r="M3224" s="324" t="s">
        <v>364</v>
      </c>
      <c r="N3224" s="324" t="s">
        <v>364</v>
      </c>
      <c r="O3224" s="324" t="s">
        <v>364</v>
      </c>
      <c r="P3224" s="324" t="s">
        <v>12381</v>
      </c>
      <c r="Q3224" s="324">
        <f t="shared" si="130"/>
        <v>1</v>
      </c>
    </row>
    <row r="3225" spans="1:17" s="328" customFormat="1" x14ac:dyDescent="0.25">
      <c r="A3225" s="324" t="s">
        <v>12340</v>
      </c>
      <c r="B3225" s="522" t="s">
        <v>12355</v>
      </c>
      <c r="C3225" s="324" t="s">
        <v>376</v>
      </c>
      <c r="D3225" s="324" t="s">
        <v>8127</v>
      </c>
      <c r="E3225" s="325" t="s">
        <v>10</v>
      </c>
      <c r="F3225" s="324" t="s">
        <v>12332</v>
      </c>
      <c r="G3225" s="326"/>
      <c r="H3225" s="324" t="s">
        <v>12339</v>
      </c>
      <c r="I3225" s="327">
        <v>72463</v>
      </c>
      <c r="J3225" s="324" t="s">
        <v>7122</v>
      </c>
      <c r="K3225" s="326">
        <v>46121</v>
      </c>
      <c r="L3225" s="324" t="s">
        <v>364</v>
      </c>
      <c r="M3225" s="324"/>
      <c r="N3225" s="324"/>
      <c r="O3225" s="324"/>
      <c r="P3225" s="324"/>
      <c r="Q3225" s="324">
        <f t="shared" si="130"/>
        <v>1</v>
      </c>
    </row>
    <row r="3226" spans="1:17" s="328" customFormat="1" x14ac:dyDescent="0.25">
      <c r="A3226" s="324" t="s">
        <v>12404</v>
      </c>
      <c r="B3226" s="324" t="s">
        <v>12306</v>
      </c>
      <c r="C3226" s="324" t="s">
        <v>433</v>
      </c>
      <c r="D3226" s="324" t="s">
        <v>8127</v>
      </c>
      <c r="E3226" s="325" t="s">
        <v>10</v>
      </c>
      <c r="F3226" s="324" t="s">
        <v>5835</v>
      </c>
      <c r="G3226" s="326"/>
      <c r="H3226" s="324" t="s">
        <v>12302</v>
      </c>
      <c r="I3226" s="327">
        <v>78406</v>
      </c>
      <c r="J3226" s="324" t="s">
        <v>12376</v>
      </c>
      <c r="K3226" s="326"/>
      <c r="L3226" s="324" t="s">
        <v>364</v>
      </c>
      <c r="M3226" s="324" t="s">
        <v>364</v>
      </c>
      <c r="N3226" s="324" t="s">
        <v>364</v>
      </c>
      <c r="O3226" s="324" t="s">
        <v>364</v>
      </c>
      <c r="P3226" s="324" t="s">
        <v>12380</v>
      </c>
      <c r="Q3226" s="324">
        <f t="shared" si="130"/>
        <v>1</v>
      </c>
    </row>
    <row r="3227" spans="1:17" s="328" customFormat="1" x14ac:dyDescent="0.25">
      <c r="A3227" s="324" t="s">
        <v>12410</v>
      </c>
      <c r="B3227" s="522" t="s">
        <v>12403</v>
      </c>
      <c r="C3227" s="324" t="s">
        <v>434</v>
      </c>
      <c r="D3227" s="324" t="s">
        <v>8127</v>
      </c>
      <c r="E3227" s="325" t="s">
        <v>10</v>
      </c>
      <c r="F3227" s="324" t="s">
        <v>244</v>
      </c>
      <c r="G3227" s="326"/>
      <c r="H3227" s="324" t="s">
        <v>12391</v>
      </c>
      <c r="I3227" s="327">
        <v>71778</v>
      </c>
      <c r="J3227" s="324"/>
      <c r="K3227" s="326">
        <v>46122</v>
      </c>
      <c r="L3227" s="324" t="s">
        <v>364</v>
      </c>
      <c r="M3227" s="324" t="s">
        <v>364</v>
      </c>
      <c r="N3227" s="324" t="s">
        <v>364</v>
      </c>
      <c r="O3227" s="324" t="s">
        <v>364</v>
      </c>
      <c r="P3227" s="528" t="s">
        <v>12363</v>
      </c>
      <c r="Q3227" s="324">
        <f t="shared" si="130"/>
        <v>1</v>
      </c>
    </row>
    <row r="3228" spans="1:17" s="328" customFormat="1" x14ac:dyDescent="0.25">
      <c r="A3228" s="324" t="s">
        <v>12409</v>
      </c>
      <c r="B3228" s="522" t="s">
        <v>12375</v>
      </c>
      <c r="C3228" s="324" t="s">
        <v>434</v>
      </c>
      <c r="D3228" s="324" t="s">
        <v>693</v>
      </c>
      <c r="E3228" s="325" t="s">
        <v>10</v>
      </c>
      <c r="F3228" s="324" t="s">
        <v>12332</v>
      </c>
      <c r="G3228" s="326"/>
      <c r="H3228" s="324" t="s">
        <v>12368</v>
      </c>
      <c r="I3228" s="327">
        <v>73490</v>
      </c>
      <c r="J3228" s="324"/>
      <c r="K3228" s="326" t="s">
        <v>12401</v>
      </c>
      <c r="L3228" s="324" t="s">
        <v>364</v>
      </c>
      <c r="M3228" s="324" t="s">
        <v>364</v>
      </c>
      <c r="N3228" s="324" t="s">
        <v>364</v>
      </c>
      <c r="O3228" s="324" t="s">
        <v>364</v>
      </c>
      <c r="P3228" s="528" t="s">
        <v>12400</v>
      </c>
      <c r="Q3228" s="324">
        <f t="shared" si="130"/>
        <v>1</v>
      </c>
    </row>
    <row r="3229" spans="1:17" s="328" customFormat="1" x14ac:dyDescent="0.25">
      <c r="A3229" s="324" t="s">
        <v>12418</v>
      </c>
      <c r="B3229" s="522" t="s">
        <v>12387</v>
      </c>
      <c r="C3229" s="324" t="s">
        <v>431</v>
      </c>
      <c r="D3229" s="324" t="s">
        <v>8127</v>
      </c>
      <c r="E3229" s="325" t="s">
        <v>10</v>
      </c>
      <c r="F3229" s="324" t="s">
        <v>244</v>
      </c>
      <c r="G3229" s="326"/>
      <c r="H3229" s="324" t="s">
        <v>12392</v>
      </c>
      <c r="I3229" s="324">
        <v>72748</v>
      </c>
      <c r="J3229" s="324"/>
      <c r="K3229" s="326">
        <v>46125</v>
      </c>
      <c r="L3229" s="324" t="s">
        <v>364</v>
      </c>
      <c r="M3229" s="324" t="s">
        <v>364</v>
      </c>
      <c r="N3229" s="324" t="s">
        <v>364</v>
      </c>
      <c r="O3229" s="324" t="s">
        <v>364</v>
      </c>
      <c r="P3229" s="324" t="s">
        <v>12416</v>
      </c>
      <c r="Q3229" s="324">
        <v>1</v>
      </c>
    </row>
    <row r="3230" spans="1:17" s="328" customFormat="1" x14ac:dyDescent="0.25">
      <c r="A3230" s="324" t="s">
        <v>12408</v>
      </c>
      <c r="B3230" s="324" t="s">
        <v>12382</v>
      </c>
      <c r="C3230" s="324" t="s">
        <v>376</v>
      </c>
      <c r="D3230" s="324" t="s">
        <v>8127</v>
      </c>
      <c r="E3230" s="324" t="s">
        <v>366</v>
      </c>
      <c r="F3230" s="324" t="s">
        <v>11615</v>
      </c>
      <c r="G3230" s="324"/>
      <c r="H3230" s="324" t="s">
        <v>515</v>
      </c>
      <c r="I3230" s="324">
        <v>77599</v>
      </c>
      <c r="J3230" s="324"/>
      <c r="K3230" s="324" t="s">
        <v>12385</v>
      </c>
      <c r="L3230" s="324" t="s">
        <v>364</v>
      </c>
      <c r="M3230" s="324" t="s">
        <v>364</v>
      </c>
      <c r="N3230" s="324" t="s">
        <v>364</v>
      </c>
      <c r="O3230" s="324" t="s">
        <v>364</v>
      </c>
      <c r="P3230" s="324" t="s">
        <v>12384</v>
      </c>
      <c r="Q3230" s="324">
        <f t="shared" ref="Q3230:Q3236" si="131">IF(AND(A3230&lt;&gt;"",A3230&lt;&gt;"SCORTA 10"),1,"")</f>
        <v>1</v>
      </c>
    </row>
    <row r="3231" spans="1:17" s="328" customFormat="1" x14ac:dyDescent="0.25">
      <c r="A3231" s="324" t="s">
        <v>12419</v>
      </c>
      <c r="B3231" s="522" t="s">
        <v>12411</v>
      </c>
      <c r="C3231" s="324" t="s">
        <v>431</v>
      </c>
      <c r="D3231" s="324" t="s">
        <v>8127</v>
      </c>
      <c r="E3231" s="325" t="s">
        <v>10</v>
      </c>
      <c r="F3231" s="324" t="s">
        <v>12422</v>
      </c>
      <c r="G3231" s="326"/>
      <c r="H3231" s="324" t="s">
        <v>545</v>
      </c>
      <c r="I3231" s="324">
        <v>76173</v>
      </c>
      <c r="J3231" s="324" t="s">
        <v>9302</v>
      </c>
      <c r="K3231" s="326">
        <v>46125</v>
      </c>
      <c r="L3231" s="324" t="s">
        <v>364</v>
      </c>
      <c r="M3231" s="324" t="s">
        <v>364</v>
      </c>
      <c r="N3231" s="324" t="s">
        <v>364</v>
      </c>
      <c r="O3231" s="324" t="s">
        <v>364</v>
      </c>
      <c r="P3231" s="324" t="s">
        <v>12417</v>
      </c>
      <c r="Q3231" s="324">
        <f t="shared" si="131"/>
        <v>1</v>
      </c>
    </row>
    <row r="3232" spans="1:17" s="328" customFormat="1" x14ac:dyDescent="0.25">
      <c r="A3232" s="324" t="s">
        <v>12432</v>
      </c>
      <c r="B3232" s="522" t="s">
        <v>12413</v>
      </c>
      <c r="C3232" s="324" t="s">
        <v>435</v>
      </c>
      <c r="D3232" s="324" t="s">
        <v>8127</v>
      </c>
      <c r="E3232" s="325" t="s">
        <v>10</v>
      </c>
      <c r="F3232" s="324" t="s">
        <v>12350</v>
      </c>
      <c r="G3232" s="326"/>
      <c r="H3232" s="324" t="s">
        <v>12428</v>
      </c>
      <c r="I3232" s="324">
        <v>73456</v>
      </c>
      <c r="J3232" s="324"/>
      <c r="K3232" s="326">
        <v>46132</v>
      </c>
      <c r="L3232" s="324" t="s">
        <v>364</v>
      </c>
      <c r="M3232" s="324"/>
      <c r="N3232" s="324"/>
      <c r="O3232" s="324"/>
      <c r="P3232" s="324" t="s">
        <v>12429</v>
      </c>
      <c r="Q3232" s="324">
        <f t="shared" si="131"/>
        <v>1</v>
      </c>
    </row>
    <row r="3233" spans="1:17" s="328" customFormat="1" x14ac:dyDescent="0.25">
      <c r="A3233" s="324" t="s">
        <v>12433</v>
      </c>
      <c r="B3233" s="522" t="s">
        <v>12412</v>
      </c>
      <c r="C3233" s="324" t="s">
        <v>435</v>
      </c>
      <c r="D3233" s="324" t="s">
        <v>8127</v>
      </c>
      <c r="E3233" s="325" t="s">
        <v>10</v>
      </c>
      <c r="F3233" s="324" t="s">
        <v>12350</v>
      </c>
      <c r="G3233" s="326"/>
      <c r="H3233" s="324" t="s">
        <v>12331</v>
      </c>
      <c r="I3233" s="327">
        <v>72444</v>
      </c>
      <c r="J3233" s="324"/>
      <c r="K3233" s="326">
        <v>46132</v>
      </c>
      <c r="L3233" s="324" t="s">
        <v>364</v>
      </c>
      <c r="M3233" s="324"/>
      <c r="N3233" s="324"/>
      <c r="O3233" s="324"/>
      <c r="P3233" s="324" t="s">
        <v>12429</v>
      </c>
      <c r="Q3233" s="324">
        <f t="shared" si="131"/>
        <v>1</v>
      </c>
    </row>
    <row r="3234" spans="1:17" s="328" customFormat="1" x14ac:dyDescent="0.25">
      <c r="A3234" s="324" t="s">
        <v>12437</v>
      </c>
      <c r="B3234" s="522" t="s">
        <v>12434</v>
      </c>
      <c r="C3234" s="324" t="s">
        <v>434</v>
      </c>
      <c r="D3234" s="324" t="s">
        <v>8127</v>
      </c>
      <c r="E3234" s="325" t="s">
        <v>10</v>
      </c>
      <c r="F3234" s="324" t="s">
        <v>12423</v>
      </c>
      <c r="G3234" s="326"/>
      <c r="H3234" s="324" t="s">
        <v>12364</v>
      </c>
      <c r="I3234" s="327">
        <v>73313</v>
      </c>
      <c r="J3234" s="324"/>
      <c r="K3234" s="326" t="s">
        <v>12435</v>
      </c>
      <c r="L3234" s="324" t="s">
        <v>364</v>
      </c>
      <c r="M3234" s="324"/>
      <c r="N3234" s="324"/>
      <c r="O3234" s="324"/>
      <c r="P3234" s="324" t="s">
        <v>12436</v>
      </c>
      <c r="Q3234" s="324">
        <f t="shared" si="131"/>
        <v>1</v>
      </c>
    </row>
    <row r="3235" spans="1:17" s="328" customFormat="1" x14ac:dyDescent="0.25">
      <c r="A3235" s="324" t="s">
        <v>12438</v>
      </c>
      <c r="B3235" s="324" t="s">
        <v>12445</v>
      </c>
      <c r="C3235" s="324" t="s">
        <v>434</v>
      </c>
      <c r="D3235" s="324" t="s">
        <v>8127</v>
      </c>
      <c r="E3235" s="325" t="s">
        <v>10</v>
      </c>
      <c r="F3235" s="324" t="s">
        <v>10410</v>
      </c>
      <c r="G3235" s="326"/>
      <c r="H3235" s="324" t="s">
        <v>12352</v>
      </c>
      <c r="I3235" s="327">
        <v>76004</v>
      </c>
      <c r="J3235" s="324" t="s">
        <v>12439</v>
      </c>
      <c r="K3235" s="326"/>
      <c r="L3235" s="324" t="s">
        <v>364</v>
      </c>
      <c r="M3235" s="324" t="s">
        <v>364</v>
      </c>
      <c r="N3235" s="324" t="s">
        <v>364</v>
      </c>
      <c r="O3235" s="324" t="s">
        <v>364</v>
      </c>
      <c r="P3235" s="324"/>
      <c r="Q3235" s="324">
        <f t="shared" si="131"/>
        <v>1</v>
      </c>
    </row>
    <row r="3236" spans="1:17" s="328" customFormat="1" x14ac:dyDescent="0.25">
      <c r="A3236" s="324" t="s">
        <v>12447</v>
      </c>
      <c r="B3236" s="324" t="s">
        <v>12446</v>
      </c>
      <c r="C3236" s="324" t="s">
        <v>434</v>
      </c>
      <c r="D3236" s="324" t="s">
        <v>8127</v>
      </c>
      <c r="E3236" s="325" t="s">
        <v>11331</v>
      </c>
      <c r="F3236" s="324" t="s">
        <v>367</v>
      </c>
      <c r="G3236" s="326"/>
      <c r="H3236" s="324" t="s">
        <v>12268</v>
      </c>
      <c r="I3236" s="324">
        <v>76358</v>
      </c>
      <c r="J3236" s="324" t="s">
        <v>12443</v>
      </c>
      <c r="K3236" s="326"/>
      <c r="L3236" s="324"/>
      <c r="M3236" s="324"/>
      <c r="N3236" s="324"/>
      <c r="O3236" s="324"/>
      <c r="P3236" s="324"/>
      <c r="Q3236" s="324">
        <f t="shared" si="131"/>
        <v>1</v>
      </c>
    </row>
    <row r="3237" spans="1:17" s="328" customFormat="1" x14ac:dyDescent="0.25">
      <c r="A3237" s="324" t="s">
        <v>12444</v>
      </c>
      <c r="B3237" s="522" t="s">
        <v>12420</v>
      </c>
      <c r="C3237" s="324" t="s">
        <v>431</v>
      </c>
      <c r="D3237" s="324" t="s">
        <v>8127</v>
      </c>
      <c r="E3237" s="325" t="s">
        <v>10</v>
      </c>
      <c r="F3237" s="324" t="s">
        <v>12425</v>
      </c>
      <c r="G3237" s="326"/>
      <c r="H3237" s="324" t="s">
        <v>11424</v>
      </c>
      <c r="I3237" s="324">
        <v>70953</v>
      </c>
      <c r="J3237" s="324"/>
      <c r="K3237" s="326">
        <v>46139</v>
      </c>
      <c r="L3237" s="324" t="s">
        <v>364</v>
      </c>
      <c r="M3237" s="324"/>
      <c r="N3237" s="324"/>
      <c r="O3237" s="324"/>
      <c r="P3237" s="528" t="s">
        <v>12281</v>
      </c>
      <c r="Q3237" s="324">
        <f>IF(AND(A3237&lt;&gt;"",A3237&lt;&gt;"SCORTA 10"),1,"")</f>
        <v>1</v>
      </c>
    </row>
    <row r="3238" spans="1:17" s="328" customFormat="1" x14ac:dyDescent="0.25">
      <c r="A3238" s="324" t="s">
        <v>12458</v>
      </c>
      <c r="B3238" s="324" t="s">
        <v>12457</v>
      </c>
      <c r="C3238" s="324" t="s">
        <v>434</v>
      </c>
      <c r="D3238" s="324"/>
      <c r="E3238" s="324" t="s">
        <v>11331</v>
      </c>
      <c r="F3238" s="324"/>
      <c r="G3238" s="326"/>
      <c r="H3238" s="324" t="s">
        <v>12041</v>
      </c>
      <c r="I3238" s="327">
        <v>76332</v>
      </c>
      <c r="J3238" s="324" t="s">
        <v>10156</v>
      </c>
      <c r="K3238" s="326"/>
      <c r="L3238" s="324" t="s">
        <v>364</v>
      </c>
      <c r="M3238" s="324"/>
      <c r="N3238" s="324"/>
      <c r="O3238" s="324"/>
      <c r="P3238" s="324" t="s">
        <v>6493</v>
      </c>
      <c r="Q3238" s="324">
        <v>1</v>
      </c>
    </row>
    <row r="3239" spans="1:17" s="328" customFormat="1" x14ac:dyDescent="0.25">
      <c r="A3239" s="324" t="s">
        <v>12455</v>
      </c>
      <c r="B3239" s="522" t="s">
        <v>12456</v>
      </c>
      <c r="C3239" s="324" t="s">
        <v>433</v>
      </c>
      <c r="D3239" s="324"/>
      <c r="E3239" s="325" t="s">
        <v>10</v>
      </c>
      <c r="F3239" s="324" t="s">
        <v>12426</v>
      </c>
      <c r="G3239" s="326"/>
      <c r="H3239" s="324" t="s">
        <v>12427</v>
      </c>
      <c r="I3239" s="324">
        <v>71763</v>
      </c>
      <c r="J3239" s="324"/>
      <c r="K3239" s="326"/>
      <c r="L3239" s="324"/>
      <c r="M3239" s="324"/>
      <c r="N3239" s="324"/>
      <c r="O3239" s="324"/>
      <c r="P3239" s="324"/>
      <c r="Q3239" s="324">
        <f>IF(AND(A3239&lt;&gt;"",A3239&lt;&gt;"SCORTA 10"),1,"")</f>
        <v>1</v>
      </c>
    </row>
    <row r="3240" spans="1:17" s="328" customFormat="1" x14ac:dyDescent="0.25">
      <c r="A3240" s="324" t="s">
        <v>12460</v>
      </c>
      <c r="B3240" s="324" t="s">
        <v>12421</v>
      </c>
      <c r="C3240" s="324" t="s">
        <v>435</v>
      </c>
      <c r="D3240" s="324" t="s">
        <v>8127</v>
      </c>
      <c r="E3240" s="324" t="s">
        <v>11331</v>
      </c>
      <c r="F3240" s="324" t="s">
        <v>367</v>
      </c>
      <c r="G3240" s="326"/>
      <c r="H3240" s="324" t="s">
        <v>427</v>
      </c>
      <c r="I3240" s="327">
        <v>77449</v>
      </c>
      <c r="J3240" s="324"/>
      <c r="K3240" s="326">
        <v>46142</v>
      </c>
      <c r="L3240" s="324" t="s">
        <v>364</v>
      </c>
      <c r="M3240" s="324" t="s">
        <v>364</v>
      </c>
      <c r="N3240" s="324" t="s">
        <v>364</v>
      </c>
      <c r="O3240" s="324"/>
      <c r="P3240" s="324"/>
      <c r="Q3240" s="324">
        <v>1</v>
      </c>
    </row>
    <row r="3241" spans="1:17" s="328" customFormat="1" x14ac:dyDescent="0.25">
      <c r="A3241" s="324" t="s">
        <v>12407</v>
      </c>
      <c r="B3241" s="324" t="s">
        <v>12308</v>
      </c>
      <c r="C3241" s="324" t="s">
        <v>433</v>
      </c>
      <c r="D3241" s="324" t="s">
        <v>8127</v>
      </c>
      <c r="E3241" s="325" t="s">
        <v>10</v>
      </c>
      <c r="F3241" s="324" t="s">
        <v>5835</v>
      </c>
      <c r="G3241" s="326"/>
      <c r="H3241" s="324" t="s">
        <v>12305</v>
      </c>
      <c r="I3241" s="327">
        <v>78410</v>
      </c>
      <c r="J3241" s="324" t="s">
        <v>12379</v>
      </c>
      <c r="K3241" s="326"/>
      <c r="L3241" s="324" t="s">
        <v>364</v>
      </c>
      <c r="M3241" s="324" t="s">
        <v>364</v>
      </c>
      <c r="N3241" s="324" t="s">
        <v>364</v>
      </c>
      <c r="O3241" s="324" t="s">
        <v>364</v>
      </c>
      <c r="P3241" s="324" t="s">
        <v>12399</v>
      </c>
      <c r="Q3241" s="324">
        <f>IF(AND(A3241&lt;&gt;"",A3241&lt;&gt;"SCORTA 10"),1,"")</f>
        <v>1</v>
      </c>
    </row>
    <row r="3242" spans="1:17" s="328" customFormat="1" x14ac:dyDescent="0.25">
      <c r="A3242" s="324" t="s">
        <v>12462</v>
      </c>
      <c r="B3242" s="324" t="s">
        <v>12442</v>
      </c>
      <c r="C3242" s="324" t="s">
        <v>435</v>
      </c>
      <c r="D3242" s="324" t="s">
        <v>8127</v>
      </c>
      <c r="E3242" s="324" t="s">
        <v>10</v>
      </c>
      <c r="F3242" s="324" t="s">
        <v>560</v>
      </c>
      <c r="G3242" s="326"/>
      <c r="H3242" s="324" t="s">
        <v>12452</v>
      </c>
      <c r="I3242" s="327">
        <v>71526</v>
      </c>
      <c r="J3242" s="324"/>
      <c r="K3242" s="326">
        <v>46146</v>
      </c>
      <c r="L3242" s="324"/>
      <c r="M3242" s="324"/>
      <c r="N3242" s="324"/>
      <c r="O3242" s="324"/>
      <c r="P3242" s="528" t="s">
        <v>6493</v>
      </c>
      <c r="Q3242" s="324">
        <f>IF(AND(A3242&lt;&gt;"",A3242&lt;&gt;"SCORTA 10"),1,"")</f>
        <v>1</v>
      </c>
    </row>
    <row r="3243" spans="1:17" s="328" customFormat="1" x14ac:dyDescent="0.25">
      <c r="A3243" s="324" t="s">
        <v>12479</v>
      </c>
      <c r="B3243" s="324" t="s">
        <v>12477</v>
      </c>
      <c r="C3243" s="324" t="s">
        <v>434</v>
      </c>
      <c r="D3243" s="324" t="s">
        <v>8127</v>
      </c>
      <c r="E3243" s="324" t="s">
        <v>10</v>
      </c>
      <c r="F3243" s="324" t="s">
        <v>12478</v>
      </c>
      <c r="G3243" s="326"/>
      <c r="H3243" s="324" t="s">
        <v>12473</v>
      </c>
      <c r="I3243" s="327">
        <v>76560</v>
      </c>
      <c r="J3243" s="324"/>
      <c r="K3243" s="326"/>
      <c r="L3243" s="324" t="s">
        <v>364</v>
      </c>
      <c r="M3243" s="324" t="s">
        <v>364</v>
      </c>
      <c r="N3243" s="324" t="s">
        <v>364</v>
      </c>
      <c r="O3243" s="324" t="s">
        <v>364</v>
      </c>
      <c r="P3243" s="324"/>
      <c r="Q3243" s="324">
        <v>1</v>
      </c>
    </row>
    <row r="3244" spans="1:17" s="328" customFormat="1" x14ac:dyDescent="0.25">
      <c r="A3244" s="324" t="s">
        <v>12480</v>
      </c>
      <c r="B3244" s="324" t="s">
        <v>12474</v>
      </c>
      <c r="C3244" s="324" t="s">
        <v>433</v>
      </c>
      <c r="D3244" s="324"/>
      <c r="E3244" s="324" t="s">
        <v>10</v>
      </c>
      <c r="F3244" s="324" t="s">
        <v>369</v>
      </c>
      <c r="G3244" s="326"/>
      <c r="H3244" s="324" t="s">
        <v>12469</v>
      </c>
      <c r="I3244" s="327">
        <v>73308</v>
      </c>
      <c r="J3244" s="324"/>
      <c r="K3244" s="326"/>
      <c r="L3244" s="324" t="s">
        <v>364</v>
      </c>
      <c r="M3244" s="324" t="s">
        <v>364</v>
      </c>
      <c r="N3244" s="324" t="s">
        <v>364</v>
      </c>
      <c r="O3244" s="324" t="s">
        <v>364</v>
      </c>
      <c r="P3244" s="324"/>
      <c r="Q3244" s="324">
        <v>1</v>
      </c>
    </row>
    <row r="3245" spans="1:17" s="328" customFormat="1" x14ac:dyDescent="0.25">
      <c r="A3245" s="324" t="s">
        <v>12459</v>
      </c>
      <c r="B3245" s="324" t="s">
        <v>12461</v>
      </c>
      <c r="C3245" s="324" t="s">
        <v>433</v>
      </c>
      <c r="D3245" s="324" t="s">
        <v>8127</v>
      </c>
      <c r="E3245" s="324" t="s">
        <v>10</v>
      </c>
      <c r="F3245" s="324" t="s">
        <v>244</v>
      </c>
      <c r="G3245" s="326"/>
      <c r="H3245" s="324" t="s">
        <v>12453</v>
      </c>
      <c r="I3245" s="327">
        <v>70990</v>
      </c>
      <c r="J3245" s="324"/>
      <c r="K3245" s="326"/>
      <c r="L3245" s="324"/>
      <c r="M3245" s="324"/>
      <c r="N3245" s="324"/>
      <c r="O3245" s="324"/>
      <c r="P3245" s="324"/>
      <c r="Q3245" s="324">
        <v>1</v>
      </c>
    </row>
    <row r="3246" spans="1:17" s="328" customFormat="1" x14ac:dyDescent="0.25">
      <c r="A3246" s="324" t="s">
        <v>12464</v>
      </c>
      <c r="B3246" s="324" t="s">
        <v>12440</v>
      </c>
      <c r="C3246" s="324" t="s">
        <v>435</v>
      </c>
      <c r="D3246" s="324" t="s">
        <v>8127</v>
      </c>
      <c r="E3246" s="324" t="s">
        <v>10</v>
      </c>
      <c r="F3246" s="324" t="s">
        <v>560</v>
      </c>
      <c r="G3246" s="326"/>
      <c r="H3246" s="324" t="s">
        <v>12450</v>
      </c>
      <c r="I3246" s="327">
        <v>73470</v>
      </c>
      <c r="J3246" s="324"/>
      <c r="K3246" s="326">
        <v>46146</v>
      </c>
      <c r="L3246" s="324" t="s">
        <v>364</v>
      </c>
      <c r="M3246" s="324" t="s">
        <v>364</v>
      </c>
      <c r="N3246" s="324" t="s">
        <v>364</v>
      </c>
      <c r="O3246" s="324" t="s">
        <v>364</v>
      </c>
      <c r="P3246" s="324" t="s">
        <v>6493</v>
      </c>
      <c r="Q3246" s="324">
        <f>IF(AND(A3246&lt;&gt;"",A3246&lt;&gt;"SCORTA 10"),1,"")</f>
        <v>1</v>
      </c>
    </row>
    <row r="3247" spans="1:17" s="328" customFormat="1" x14ac:dyDescent="0.25">
      <c r="A3247" s="324" t="s">
        <v>12495</v>
      </c>
      <c r="B3247" s="324" t="s">
        <v>12494</v>
      </c>
      <c r="C3247" s="324" t="s">
        <v>434</v>
      </c>
      <c r="D3247" s="324" t="s">
        <v>8127</v>
      </c>
      <c r="E3247" s="324" t="s">
        <v>11331</v>
      </c>
      <c r="F3247" s="324" t="s">
        <v>367</v>
      </c>
      <c r="G3247" s="326"/>
      <c r="H3247" s="324" t="s">
        <v>10822</v>
      </c>
      <c r="I3247" s="327">
        <v>77548</v>
      </c>
      <c r="J3247" s="324"/>
      <c r="K3247" s="326"/>
      <c r="L3247" s="324" t="s">
        <v>364</v>
      </c>
      <c r="M3247" s="324" t="s">
        <v>364</v>
      </c>
      <c r="N3247" s="324" t="s">
        <v>364</v>
      </c>
      <c r="O3247" s="324" t="s">
        <v>364</v>
      </c>
      <c r="P3247" s="324"/>
      <c r="Q3247" s="324">
        <v>1</v>
      </c>
    </row>
    <row r="3248" spans="1:17" s="328" customFormat="1" x14ac:dyDescent="0.25">
      <c r="A3248" s="324" t="s">
        <v>12481</v>
      </c>
      <c r="B3248" s="324" t="s">
        <v>12467</v>
      </c>
      <c r="C3248" s="324" t="s">
        <v>434</v>
      </c>
      <c r="D3248" s="324"/>
      <c r="E3248" s="324" t="s">
        <v>10</v>
      </c>
      <c r="F3248" s="324" t="s">
        <v>11824</v>
      </c>
      <c r="G3248" s="326"/>
      <c r="H3248" s="324" t="s">
        <v>12468</v>
      </c>
      <c r="I3248" s="327">
        <v>71784</v>
      </c>
      <c r="J3248" s="324"/>
      <c r="K3248" s="326" t="s">
        <v>12475</v>
      </c>
      <c r="L3248" s="324" t="s">
        <v>364</v>
      </c>
      <c r="M3248" s="324" t="s">
        <v>364</v>
      </c>
      <c r="N3248" s="324" t="s">
        <v>364</v>
      </c>
      <c r="O3248" s="324" t="s">
        <v>364</v>
      </c>
      <c r="P3248" s="324" t="s">
        <v>12498</v>
      </c>
      <c r="Q3248" s="324">
        <v>1</v>
      </c>
    </row>
    <row r="3249" spans="1:17" s="328" customFormat="1" x14ac:dyDescent="0.25">
      <c r="A3249" s="324" t="s">
        <v>12342</v>
      </c>
      <c r="B3249" s="522" t="s">
        <v>12448</v>
      </c>
      <c r="C3249" s="324" t="s">
        <v>431</v>
      </c>
      <c r="D3249" s="324" t="s">
        <v>8127</v>
      </c>
      <c r="E3249" s="325" t="s">
        <v>10</v>
      </c>
      <c r="F3249" s="324" t="s">
        <v>12425</v>
      </c>
      <c r="G3249" s="326"/>
      <c r="H3249" s="324" t="s">
        <v>12341</v>
      </c>
      <c r="I3249" s="324">
        <v>70963</v>
      </c>
      <c r="J3249" s="324" t="s">
        <v>5265</v>
      </c>
      <c r="K3249" s="326">
        <v>46146</v>
      </c>
      <c r="L3249" s="324" t="s">
        <v>364</v>
      </c>
      <c r="M3249" s="324"/>
      <c r="N3249" s="324"/>
      <c r="O3249" s="324"/>
      <c r="P3249" s="324" t="s">
        <v>12465</v>
      </c>
      <c r="Q3249" s="324">
        <f>IF(AND(A3249&lt;&gt;"",A3249&lt;&gt;"SCORTA 10"),1,"")</f>
        <v>1</v>
      </c>
    </row>
    <row r="3250" spans="1:17" s="328" customFormat="1" x14ac:dyDescent="0.25">
      <c r="A3250" s="324" t="s">
        <v>12507</v>
      </c>
      <c r="B3250" s="522" t="s">
        <v>12472</v>
      </c>
      <c r="C3250" s="324" t="s">
        <v>434</v>
      </c>
      <c r="D3250" s="324" t="s">
        <v>8127</v>
      </c>
      <c r="E3250" s="325" t="s">
        <v>10</v>
      </c>
      <c r="F3250" s="324" t="s">
        <v>12424</v>
      </c>
      <c r="G3250" s="326"/>
      <c r="H3250" s="324" t="s">
        <v>10898</v>
      </c>
      <c r="I3250" s="324">
        <v>72922</v>
      </c>
      <c r="J3250" s="324"/>
      <c r="K3250" s="326" t="s">
        <v>12476</v>
      </c>
      <c r="L3250" s="324" t="s">
        <v>364</v>
      </c>
      <c r="M3250" s="324"/>
      <c r="N3250" s="324"/>
      <c r="O3250" s="324"/>
      <c r="P3250" s="324" t="s">
        <v>12493</v>
      </c>
      <c r="Q3250" s="324">
        <f>IF(AND(A3250&lt;&gt;"",A3250&lt;&gt;"SCORTA 10"),1,"")</f>
        <v>1</v>
      </c>
    </row>
    <row r="3251" spans="1:17" s="328" customFormat="1" x14ac:dyDescent="0.25">
      <c r="A3251" s="324" t="s">
        <v>12463</v>
      </c>
      <c r="B3251" s="324" t="s">
        <v>12441</v>
      </c>
      <c r="C3251" s="324" t="s">
        <v>435</v>
      </c>
      <c r="D3251" s="324" t="s">
        <v>8127</v>
      </c>
      <c r="E3251" s="324" t="s">
        <v>10</v>
      </c>
      <c r="F3251" s="324" t="s">
        <v>560</v>
      </c>
      <c r="G3251" s="326"/>
      <c r="H3251" s="324" t="s">
        <v>12451</v>
      </c>
      <c r="I3251" s="327">
        <v>71215</v>
      </c>
      <c r="J3251" s="324"/>
      <c r="K3251" s="326">
        <v>46146</v>
      </c>
      <c r="L3251" s="324"/>
      <c r="M3251" s="324"/>
      <c r="N3251" s="324"/>
      <c r="O3251" s="324"/>
      <c r="P3251" s="324" t="s">
        <v>12454</v>
      </c>
      <c r="Q3251" s="324">
        <v>1</v>
      </c>
    </row>
    <row r="3252" spans="1:17" s="328" customFormat="1" x14ac:dyDescent="0.25">
      <c r="A3252" s="324" t="s">
        <v>12499</v>
      </c>
      <c r="B3252" s="324" t="s">
        <v>12351</v>
      </c>
      <c r="C3252" s="324" t="s">
        <v>433</v>
      </c>
      <c r="D3252" s="324" t="s">
        <v>8127</v>
      </c>
      <c r="E3252" s="325" t="s">
        <v>10</v>
      </c>
      <c r="F3252" s="324" t="s">
        <v>12482</v>
      </c>
      <c r="G3252" s="326">
        <v>46029</v>
      </c>
      <c r="H3252" s="324" t="s">
        <v>12483</v>
      </c>
      <c r="I3252" s="327">
        <v>78562</v>
      </c>
      <c r="J3252" s="324" t="s">
        <v>12508</v>
      </c>
      <c r="K3252" s="326"/>
      <c r="L3252" s="324" t="s">
        <v>364</v>
      </c>
      <c r="M3252" s="324" t="s">
        <v>364</v>
      </c>
      <c r="N3252" s="324" t="s">
        <v>364</v>
      </c>
      <c r="O3252" s="324" t="s">
        <v>364</v>
      </c>
      <c r="P3252" s="324" t="s">
        <v>12497</v>
      </c>
      <c r="Q3252" s="324">
        <v>1</v>
      </c>
    </row>
    <row r="3253" spans="1:17" s="328" customFormat="1" x14ac:dyDescent="0.25">
      <c r="A3253" s="324" t="s">
        <v>12500</v>
      </c>
      <c r="B3253" s="324" t="s">
        <v>12351</v>
      </c>
      <c r="C3253" s="324" t="s">
        <v>433</v>
      </c>
      <c r="D3253" s="324" t="s">
        <v>8127</v>
      </c>
      <c r="E3253" s="325" t="s">
        <v>10</v>
      </c>
      <c r="F3253" s="324" t="s">
        <v>12482</v>
      </c>
      <c r="G3253" s="326">
        <v>46029</v>
      </c>
      <c r="H3253" s="324" t="s">
        <v>12484</v>
      </c>
      <c r="I3253" s="327">
        <v>78563</v>
      </c>
      <c r="J3253" s="324" t="s">
        <v>12509</v>
      </c>
      <c r="K3253" s="326"/>
      <c r="L3253" s="324" t="s">
        <v>364</v>
      </c>
      <c r="M3253" s="324" t="s">
        <v>364</v>
      </c>
      <c r="N3253" s="324" t="s">
        <v>364</v>
      </c>
      <c r="O3253" s="324" t="s">
        <v>364</v>
      </c>
      <c r="P3253" s="324" t="s">
        <v>12492</v>
      </c>
      <c r="Q3253" s="324">
        <v>1</v>
      </c>
    </row>
    <row r="3254" spans="1:17" s="328" customFormat="1" x14ac:dyDescent="0.25">
      <c r="A3254" s="324" t="s">
        <v>12501</v>
      </c>
      <c r="B3254" s="324" t="s">
        <v>12351</v>
      </c>
      <c r="C3254" s="324" t="s">
        <v>433</v>
      </c>
      <c r="D3254" s="324" t="s">
        <v>8127</v>
      </c>
      <c r="E3254" s="325" t="s">
        <v>10</v>
      </c>
      <c r="F3254" s="324" t="s">
        <v>12485</v>
      </c>
      <c r="G3254" s="326">
        <v>46029</v>
      </c>
      <c r="H3254" s="324" t="s">
        <v>12487</v>
      </c>
      <c r="I3254" s="327">
        <v>78044</v>
      </c>
      <c r="J3254" s="324" t="s">
        <v>12510</v>
      </c>
      <c r="K3254" s="326"/>
      <c r="L3254" s="324" t="s">
        <v>364</v>
      </c>
      <c r="M3254" s="324" t="s">
        <v>364</v>
      </c>
      <c r="N3254" s="324" t="s">
        <v>364</v>
      </c>
      <c r="O3254" s="324" t="s">
        <v>364</v>
      </c>
      <c r="P3254" s="324" t="s">
        <v>12497</v>
      </c>
      <c r="Q3254" s="324">
        <v>1</v>
      </c>
    </row>
    <row r="3255" spans="1:17" s="328" customFormat="1" x14ac:dyDescent="0.25">
      <c r="A3255" s="324" t="s">
        <v>12502</v>
      </c>
      <c r="B3255" s="324" t="s">
        <v>12351</v>
      </c>
      <c r="C3255" s="324" t="s">
        <v>433</v>
      </c>
      <c r="D3255" s="324" t="s">
        <v>8127</v>
      </c>
      <c r="E3255" s="325" t="s">
        <v>10</v>
      </c>
      <c r="F3255" s="324" t="s">
        <v>12485</v>
      </c>
      <c r="G3255" s="326">
        <v>46029</v>
      </c>
      <c r="H3255" s="324" t="s">
        <v>12488</v>
      </c>
      <c r="I3255" s="327">
        <v>78045</v>
      </c>
      <c r="J3255" s="324" t="s">
        <v>12511</v>
      </c>
      <c r="K3255" s="326"/>
      <c r="L3255" s="324" t="s">
        <v>364</v>
      </c>
      <c r="M3255" s="324" t="s">
        <v>364</v>
      </c>
      <c r="N3255" s="324" t="s">
        <v>364</v>
      </c>
      <c r="O3255" s="324" t="s">
        <v>364</v>
      </c>
      <c r="P3255" s="324" t="s">
        <v>12497</v>
      </c>
      <c r="Q3255" s="324">
        <v>1</v>
      </c>
    </row>
    <row r="3256" spans="1:17" s="328" customFormat="1" x14ac:dyDescent="0.25">
      <c r="A3256" s="324" t="s">
        <v>12503</v>
      </c>
      <c r="B3256" s="324" t="s">
        <v>12351</v>
      </c>
      <c r="C3256" s="324" t="s">
        <v>433</v>
      </c>
      <c r="D3256" s="324" t="s">
        <v>8127</v>
      </c>
      <c r="E3256" s="325" t="s">
        <v>10</v>
      </c>
      <c r="F3256" s="324" t="s">
        <v>12486</v>
      </c>
      <c r="G3256" s="326">
        <v>46029</v>
      </c>
      <c r="H3256" s="324" t="s">
        <v>12489</v>
      </c>
      <c r="I3256" s="327">
        <v>78401</v>
      </c>
      <c r="J3256" s="324" t="s">
        <v>12512</v>
      </c>
      <c r="K3256" s="326"/>
      <c r="L3256" s="324" t="s">
        <v>364</v>
      </c>
      <c r="M3256" s="324" t="s">
        <v>364</v>
      </c>
      <c r="N3256" s="324" t="s">
        <v>364</v>
      </c>
      <c r="O3256" s="324" t="s">
        <v>364</v>
      </c>
      <c r="P3256" s="324" t="s">
        <v>7275</v>
      </c>
      <c r="Q3256" s="324">
        <v>1</v>
      </c>
    </row>
    <row r="3257" spans="1:17" s="328" customFormat="1" x14ac:dyDescent="0.25">
      <c r="A3257" s="324" t="s">
        <v>12504</v>
      </c>
      <c r="B3257" s="324" t="s">
        <v>12351</v>
      </c>
      <c r="C3257" s="324" t="s">
        <v>433</v>
      </c>
      <c r="D3257" s="324" t="s">
        <v>8127</v>
      </c>
      <c r="E3257" s="325" t="s">
        <v>10</v>
      </c>
      <c r="F3257" s="324" t="s">
        <v>12486</v>
      </c>
      <c r="G3257" s="326">
        <v>46029</v>
      </c>
      <c r="H3257" s="324" t="s">
        <v>12490</v>
      </c>
      <c r="I3257" s="327">
        <v>78402</v>
      </c>
      <c r="J3257" s="324" t="s">
        <v>12513</v>
      </c>
      <c r="K3257" s="326"/>
      <c r="L3257" s="324" t="s">
        <v>364</v>
      </c>
      <c r="M3257" s="324" t="s">
        <v>364</v>
      </c>
      <c r="N3257" s="324" t="s">
        <v>364</v>
      </c>
      <c r="O3257" s="324" t="s">
        <v>364</v>
      </c>
      <c r="P3257" s="324" t="s">
        <v>12497</v>
      </c>
      <c r="Q3257" s="324">
        <v>1</v>
      </c>
    </row>
    <row r="3258" spans="1:17" s="328" customFormat="1" x14ac:dyDescent="0.25">
      <c r="A3258" s="324" t="s">
        <v>12505</v>
      </c>
      <c r="B3258" s="324" t="s">
        <v>12351</v>
      </c>
      <c r="C3258" s="324" t="s">
        <v>433</v>
      </c>
      <c r="D3258" s="324" t="s">
        <v>8127</v>
      </c>
      <c r="E3258" s="325" t="s">
        <v>10</v>
      </c>
      <c r="F3258" s="324" t="s">
        <v>12486</v>
      </c>
      <c r="G3258" s="326">
        <v>46029</v>
      </c>
      <c r="H3258" s="324" t="s">
        <v>12491</v>
      </c>
      <c r="I3258" s="327">
        <v>78403</v>
      </c>
      <c r="J3258" s="324" t="s">
        <v>12514</v>
      </c>
      <c r="K3258" s="326"/>
      <c r="L3258" s="324" t="s">
        <v>364</v>
      </c>
      <c r="M3258" s="324" t="s">
        <v>364</v>
      </c>
      <c r="N3258" s="324" t="s">
        <v>364</v>
      </c>
      <c r="O3258" s="324" t="s">
        <v>364</v>
      </c>
      <c r="P3258" s="324" t="s">
        <v>12497</v>
      </c>
      <c r="Q3258" s="324">
        <v>1</v>
      </c>
    </row>
    <row r="3259" spans="1:17" s="328" customFormat="1" x14ac:dyDescent="0.25">
      <c r="A3259" s="324" t="s">
        <v>12516</v>
      </c>
      <c r="B3259" s="324" t="s">
        <v>12496</v>
      </c>
      <c r="C3259" s="324" t="s">
        <v>434</v>
      </c>
      <c r="D3259" s="324" t="s">
        <v>8127</v>
      </c>
      <c r="E3259" s="324" t="s">
        <v>10</v>
      </c>
      <c r="F3259" s="324" t="s">
        <v>12431</v>
      </c>
      <c r="G3259" s="326"/>
      <c r="H3259" s="324" t="s">
        <v>12430</v>
      </c>
      <c r="I3259" s="327">
        <v>72916</v>
      </c>
      <c r="J3259" s="324"/>
      <c r="K3259" s="326" t="s">
        <v>12506</v>
      </c>
      <c r="L3259" s="324" t="s">
        <v>364</v>
      </c>
      <c r="M3259" s="324" t="s">
        <v>364</v>
      </c>
      <c r="N3259" s="324" t="s">
        <v>364</v>
      </c>
      <c r="O3259" s="324" t="s">
        <v>364</v>
      </c>
      <c r="P3259" s="324" t="s">
        <v>12515</v>
      </c>
      <c r="Q3259" s="324">
        <f t="shared" ref="Q3259:Q3267" si="132">IF(AND(A3259&lt;&gt;"",A3259&lt;&gt;"SCORTA 10"),1,"")</f>
        <v>1</v>
      </c>
    </row>
    <row r="3260" spans="1:17" s="328" customFormat="1" x14ac:dyDescent="0.25">
      <c r="A3260" s="324" t="s">
        <v>12526</v>
      </c>
      <c r="B3260" s="324" t="s">
        <v>10325</v>
      </c>
      <c r="C3260" s="324" t="s">
        <v>433</v>
      </c>
      <c r="D3260" s="324" t="s">
        <v>8127</v>
      </c>
      <c r="E3260" s="325" t="s">
        <v>10</v>
      </c>
      <c r="F3260" s="324" t="s">
        <v>12482</v>
      </c>
      <c r="G3260" s="326">
        <v>46029</v>
      </c>
      <c r="H3260" s="324" t="s">
        <v>12520</v>
      </c>
      <c r="I3260" s="327">
        <v>78564</v>
      </c>
      <c r="J3260" s="324" t="s">
        <v>12523</v>
      </c>
      <c r="K3260" s="326"/>
      <c r="L3260" s="324" t="s">
        <v>364</v>
      </c>
      <c r="M3260" s="324" t="s">
        <v>570</v>
      </c>
      <c r="N3260" s="324" t="s">
        <v>364</v>
      </c>
      <c r="O3260" s="324" t="s">
        <v>364</v>
      </c>
      <c r="P3260" s="324" t="s">
        <v>12531</v>
      </c>
      <c r="Q3260" s="324">
        <f t="shared" si="132"/>
        <v>1</v>
      </c>
    </row>
    <row r="3261" spans="1:17" s="328" customFormat="1" x14ac:dyDescent="0.25">
      <c r="A3261" s="324" t="s">
        <v>12527</v>
      </c>
      <c r="B3261" s="324" t="s">
        <v>10325</v>
      </c>
      <c r="C3261" s="324" t="s">
        <v>433</v>
      </c>
      <c r="D3261" s="324" t="s">
        <v>8127</v>
      </c>
      <c r="E3261" s="325" t="s">
        <v>10</v>
      </c>
      <c r="F3261" s="324" t="s">
        <v>12482</v>
      </c>
      <c r="G3261" s="326">
        <v>46029</v>
      </c>
      <c r="H3261" s="324" t="s">
        <v>12521</v>
      </c>
      <c r="I3261" s="327">
        <v>78565</v>
      </c>
      <c r="J3261" s="324" t="s">
        <v>12524</v>
      </c>
      <c r="K3261" s="326"/>
      <c r="L3261" s="324" t="s">
        <v>364</v>
      </c>
      <c r="M3261" s="324" t="s">
        <v>364</v>
      </c>
      <c r="N3261" s="324" t="s">
        <v>364</v>
      </c>
      <c r="O3261" s="324" t="s">
        <v>364</v>
      </c>
      <c r="P3261" s="324" t="s">
        <v>12531</v>
      </c>
      <c r="Q3261" s="324">
        <f t="shared" si="132"/>
        <v>1</v>
      </c>
    </row>
    <row r="3262" spans="1:17" s="328" customFormat="1" x14ac:dyDescent="0.25">
      <c r="A3262" s="324" t="s">
        <v>12528</v>
      </c>
      <c r="B3262" s="324" t="s">
        <v>10325</v>
      </c>
      <c r="C3262" s="324" t="s">
        <v>433</v>
      </c>
      <c r="D3262" s="324" t="s">
        <v>8127</v>
      </c>
      <c r="E3262" s="325" t="s">
        <v>10</v>
      </c>
      <c r="F3262" s="324" t="s">
        <v>12482</v>
      </c>
      <c r="G3262" s="326">
        <v>46029</v>
      </c>
      <c r="H3262" s="324" t="s">
        <v>12522</v>
      </c>
      <c r="I3262" s="327">
        <v>78566</v>
      </c>
      <c r="J3262" s="324" t="s">
        <v>12525</v>
      </c>
      <c r="K3262" s="326"/>
      <c r="L3262" s="324" t="s">
        <v>364</v>
      </c>
      <c r="M3262" s="324" t="s">
        <v>364</v>
      </c>
      <c r="N3262" s="324" t="s">
        <v>364</v>
      </c>
      <c r="O3262" s="324" t="s">
        <v>364</v>
      </c>
      <c r="P3262" s="324" t="s">
        <v>12532</v>
      </c>
      <c r="Q3262" s="324">
        <f t="shared" si="132"/>
        <v>1</v>
      </c>
    </row>
    <row r="3263" spans="1:17" s="328" customFormat="1" x14ac:dyDescent="0.25">
      <c r="A3263" s="324" t="s">
        <v>12538</v>
      </c>
      <c r="B3263" s="324" t="s">
        <v>10325</v>
      </c>
      <c r="C3263" s="324" t="s">
        <v>433</v>
      </c>
      <c r="D3263" s="324" t="s">
        <v>8127</v>
      </c>
      <c r="E3263" s="325" t="s">
        <v>10</v>
      </c>
      <c r="F3263" s="324" t="s">
        <v>12166</v>
      </c>
      <c r="G3263" s="326" t="s">
        <v>12537</v>
      </c>
      <c r="H3263" s="324" t="s">
        <v>12535</v>
      </c>
      <c r="I3263" s="327">
        <v>78046</v>
      </c>
      <c r="J3263" s="324" t="s">
        <v>12536</v>
      </c>
      <c r="K3263" s="326"/>
      <c r="L3263" s="324" t="s">
        <v>364</v>
      </c>
      <c r="M3263" s="324" t="s">
        <v>364</v>
      </c>
      <c r="N3263" s="324" t="s">
        <v>364</v>
      </c>
      <c r="O3263" s="324" t="s">
        <v>364</v>
      </c>
      <c r="P3263" s="324" t="s">
        <v>12539</v>
      </c>
      <c r="Q3263" s="324">
        <f t="shared" si="132"/>
        <v>1</v>
      </c>
    </row>
    <row r="3264" spans="1:17" s="328" customFormat="1" x14ac:dyDescent="0.25">
      <c r="A3264" s="324" t="s">
        <v>12534</v>
      </c>
      <c r="B3264" s="324" t="s">
        <v>12533</v>
      </c>
      <c r="C3264" s="324" t="s">
        <v>434</v>
      </c>
      <c r="D3264" s="324" t="s">
        <v>8127</v>
      </c>
      <c r="E3264" s="324" t="s">
        <v>11331</v>
      </c>
      <c r="F3264" s="324" t="s">
        <v>367</v>
      </c>
      <c r="G3264" s="326"/>
      <c r="H3264" s="324" t="s">
        <v>429</v>
      </c>
      <c r="I3264" s="327">
        <v>77541</v>
      </c>
      <c r="J3264" s="324" t="s">
        <v>12540</v>
      </c>
      <c r="K3264" s="326"/>
      <c r="L3264" s="324" t="s">
        <v>364</v>
      </c>
      <c r="M3264" s="324"/>
      <c r="N3264" s="324"/>
      <c r="O3264" s="324"/>
      <c r="P3264" s="324" t="s">
        <v>10848</v>
      </c>
      <c r="Q3264" s="324">
        <f t="shared" si="132"/>
        <v>1</v>
      </c>
    </row>
    <row r="3265" spans="1:20" s="328" customFormat="1" x14ac:dyDescent="0.25">
      <c r="A3265" s="324" t="s">
        <v>12529</v>
      </c>
      <c r="B3265" s="522" t="s">
        <v>12471</v>
      </c>
      <c r="C3265" s="324" t="s">
        <v>431</v>
      </c>
      <c r="D3265" s="324" t="s">
        <v>8127</v>
      </c>
      <c r="E3265" s="325" t="s">
        <v>10</v>
      </c>
      <c r="F3265" s="324" t="s">
        <v>12425</v>
      </c>
      <c r="G3265" s="326"/>
      <c r="H3265" s="324" t="s">
        <v>11307</v>
      </c>
      <c r="I3265" s="324">
        <v>72277</v>
      </c>
      <c r="J3265" s="324"/>
      <c r="K3265" s="326">
        <v>46160</v>
      </c>
      <c r="L3265" s="324" t="s">
        <v>364</v>
      </c>
      <c r="M3265" s="324"/>
      <c r="N3265" s="324"/>
      <c r="O3265" s="324"/>
      <c r="P3265" s="324" t="s">
        <v>12518</v>
      </c>
      <c r="Q3265" s="324">
        <f t="shared" si="132"/>
        <v>1</v>
      </c>
    </row>
    <row r="3266" spans="1:20" s="328" customFormat="1" x14ac:dyDescent="0.25">
      <c r="A3266" s="324" t="s">
        <v>12530</v>
      </c>
      <c r="B3266" s="522" t="s">
        <v>12470</v>
      </c>
      <c r="C3266" s="324" t="s">
        <v>431</v>
      </c>
      <c r="D3266" s="324" t="s">
        <v>8127</v>
      </c>
      <c r="E3266" s="325" t="s">
        <v>10</v>
      </c>
      <c r="F3266" s="324" t="s">
        <v>12425</v>
      </c>
      <c r="G3266" s="326"/>
      <c r="H3266" s="324" t="s">
        <v>12517</v>
      </c>
      <c r="I3266" s="324">
        <v>72769</v>
      </c>
      <c r="J3266" s="324"/>
      <c r="K3266" s="326">
        <v>46160</v>
      </c>
      <c r="L3266" s="324" t="s">
        <v>364</v>
      </c>
      <c r="M3266" s="324"/>
      <c r="N3266" s="324"/>
      <c r="O3266" s="324"/>
      <c r="P3266" s="324" t="s">
        <v>12519</v>
      </c>
      <c r="Q3266" s="324">
        <f t="shared" si="132"/>
        <v>1</v>
      </c>
    </row>
    <row r="3267" spans="1:20" s="328" customFormat="1" x14ac:dyDescent="0.25">
      <c r="A3267" s="324" t="s">
        <v>12466</v>
      </c>
      <c r="B3267" s="324" t="s">
        <v>12414</v>
      </c>
      <c r="C3267" s="324" t="s">
        <v>434</v>
      </c>
      <c r="D3267" s="324" t="s">
        <v>8127</v>
      </c>
      <c r="E3267" s="324" t="s">
        <v>10</v>
      </c>
      <c r="F3267" s="324" t="s">
        <v>12350</v>
      </c>
      <c r="G3267" s="326"/>
      <c r="H3267" s="324" t="s">
        <v>12449</v>
      </c>
      <c r="I3267" s="327">
        <v>71533</v>
      </c>
      <c r="J3267" s="324"/>
      <c r="K3267" s="326"/>
      <c r="L3267" s="324" t="s">
        <v>364</v>
      </c>
      <c r="M3267" s="324"/>
      <c r="N3267" s="324"/>
      <c r="O3267" s="324"/>
      <c r="P3267" s="324" t="s">
        <v>12415</v>
      </c>
      <c r="Q3267" s="324">
        <f t="shared" si="132"/>
        <v>1</v>
      </c>
    </row>
    <row r="3268" spans="1:20" s="328" customFormat="1" x14ac:dyDescent="0.25">
      <c r="A3268" s="329"/>
      <c r="B3268" s="533"/>
      <c r="C3268" s="329"/>
      <c r="D3268" s="329"/>
      <c r="E3268" s="330"/>
      <c r="F3268" s="329"/>
      <c r="G3268" s="331"/>
      <c r="H3268" s="331"/>
      <c r="I3268" s="332"/>
      <c r="J3268" s="329"/>
      <c r="K3268" s="331"/>
      <c r="L3268" s="329"/>
      <c r="M3268" s="329"/>
      <c r="N3268" s="329"/>
      <c r="O3268" s="329"/>
      <c r="P3268" s="329"/>
      <c r="Q3268" s="329"/>
      <c r="R3268" s="329"/>
    </row>
    <row r="3269" spans="1:20" s="328" customFormat="1" x14ac:dyDescent="0.25">
      <c r="A3269" s="329"/>
      <c r="B3269" s="533"/>
      <c r="C3269" s="329"/>
      <c r="D3269" s="329"/>
      <c r="E3269" s="330"/>
      <c r="F3269" s="329"/>
      <c r="G3269" s="331"/>
      <c r="H3269" s="331"/>
      <c r="I3269" s="332"/>
      <c r="J3269" s="329"/>
      <c r="K3269" s="331"/>
      <c r="L3269" s="329"/>
      <c r="M3269" s="329"/>
      <c r="N3269" s="329"/>
      <c r="O3269" s="329"/>
      <c r="P3269" s="329"/>
      <c r="Q3269" s="329"/>
      <c r="R3269" s="329"/>
    </row>
    <row r="3270" spans="1:20" s="328" customFormat="1" x14ac:dyDescent="0.25">
      <c r="A3270" s="329"/>
      <c r="B3270" s="533"/>
      <c r="C3270" s="329"/>
      <c r="D3270" s="329"/>
      <c r="E3270" s="330"/>
      <c r="F3270" s="329"/>
      <c r="G3270" s="331"/>
      <c r="H3270" s="331"/>
      <c r="I3270" s="332"/>
      <c r="J3270" s="329"/>
      <c r="K3270" s="331"/>
      <c r="L3270" s="329"/>
      <c r="M3270" s="329"/>
      <c r="N3270" s="329"/>
      <c r="O3270" s="329"/>
      <c r="P3270" s="329"/>
      <c r="Q3270" s="329"/>
      <c r="R3270" s="329"/>
    </row>
    <row r="3271" spans="1:20" s="328" customFormat="1" x14ac:dyDescent="0.25">
      <c r="A3271" s="329"/>
      <c r="B3271" s="533"/>
      <c r="C3271" s="329"/>
      <c r="D3271" s="329"/>
      <c r="E3271" s="330"/>
      <c r="F3271" s="329"/>
      <c r="G3271" s="331"/>
      <c r="H3271" s="331"/>
      <c r="I3271" s="332"/>
      <c r="J3271" s="329"/>
      <c r="K3271" s="331"/>
      <c r="L3271" s="329"/>
      <c r="M3271" s="329"/>
      <c r="N3271" s="329"/>
      <c r="O3271" s="329"/>
      <c r="P3271" s="329"/>
      <c r="Q3271" s="329"/>
      <c r="R3271" s="329"/>
    </row>
    <row r="3272" spans="1:20" s="328" customFormat="1" x14ac:dyDescent="0.25">
      <c r="A3272" s="329"/>
      <c r="B3272" s="533"/>
      <c r="C3272" s="329"/>
      <c r="D3272" s="329"/>
      <c r="E3272" s="330"/>
      <c r="F3272" s="329"/>
      <c r="G3272" s="331"/>
      <c r="H3272" s="331"/>
      <c r="I3272" s="332"/>
      <c r="J3272" s="329"/>
      <c r="K3272" s="331"/>
      <c r="L3272" s="329"/>
      <c r="M3272" s="329"/>
      <c r="N3272" s="329"/>
      <c r="O3272" s="329"/>
      <c r="P3272" s="329"/>
      <c r="Q3272" s="329"/>
      <c r="R3272" s="329"/>
    </row>
    <row r="3273" spans="1:20" s="328" customFormat="1" x14ac:dyDescent="0.25">
      <c r="A3273" s="329"/>
      <c r="B3273" s="533"/>
      <c r="C3273" s="329"/>
      <c r="D3273" s="329"/>
      <c r="E3273" s="330"/>
      <c r="F3273" s="329"/>
      <c r="G3273" s="331"/>
      <c r="H3273" s="331"/>
      <c r="I3273" s="332"/>
      <c r="J3273" s="329"/>
      <c r="K3273" s="331"/>
      <c r="L3273" s="329"/>
      <c r="M3273" s="329"/>
      <c r="N3273" s="329"/>
      <c r="O3273" s="329"/>
      <c r="P3273" s="329"/>
      <c r="Q3273" s="329"/>
      <c r="R3273" s="329"/>
    </row>
    <row r="3274" spans="1:20" x14ac:dyDescent="0.4">
      <c r="A3274" s="383"/>
      <c r="B3274" s="383" t="s">
        <v>376</v>
      </c>
      <c r="T3274" s="500" t="e">
        <f>_xlfn.XLOOKUP(H3274,#REF!,#REF!,0,0)</f>
        <v>#REF!</v>
      </c>
    </row>
    <row r="3275" spans="1:20" x14ac:dyDescent="0.4">
      <c r="A3275" s="379"/>
      <c r="B3275" s="379" t="s">
        <v>401</v>
      </c>
      <c r="T3275" s="500" t="e">
        <f>_xlfn.XLOOKUP(H3275,#REF!,#REF!,0,0)</f>
        <v>#REF!</v>
      </c>
    </row>
    <row r="3276" spans="1:20" x14ac:dyDescent="0.4">
      <c r="A3276" s="380"/>
      <c r="B3276" s="380" t="s">
        <v>365</v>
      </c>
      <c r="T3276" s="500" t="e">
        <f>_xlfn.XLOOKUP(H3276,#REF!,#REF!,0,0)</f>
        <v>#REF!</v>
      </c>
    </row>
    <row r="3277" spans="1:20" x14ac:dyDescent="0.4">
      <c r="A3277" s="381"/>
      <c r="B3277" s="381" t="s">
        <v>433</v>
      </c>
      <c r="T3277" s="500" t="e">
        <f>_xlfn.XLOOKUP(H3277,#REF!,#REF!,0,0)</f>
        <v>#REF!</v>
      </c>
    </row>
    <row r="3278" spans="1:20" x14ac:dyDescent="0.4">
      <c r="A3278" s="378"/>
      <c r="B3278" s="378" t="s">
        <v>361</v>
      </c>
      <c r="T3278" s="500" t="e">
        <f>_xlfn.XLOOKUP(H3278,#REF!,#REF!,0,0)</f>
        <v>#REF!</v>
      </c>
    </row>
    <row r="3279" spans="1:20" x14ac:dyDescent="0.4">
      <c r="A3279" s="531"/>
      <c r="B3279" s="531" t="s">
        <v>434</v>
      </c>
      <c r="T3279" s="500" t="e">
        <f>_xlfn.XLOOKUP(H3279,#REF!,#REF!,0,0)</f>
        <v>#REF!</v>
      </c>
    </row>
    <row r="3280" spans="1:20" x14ac:dyDescent="0.4">
      <c r="A3280" s="377"/>
      <c r="B3280" s="377" t="s">
        <v>431</v>
      </c>
      <c r="T3280" s="500" t="e">
        <f>_xlfn.XLOOKUP(H3280,#REF!,#REF!,0,0)</f>
        <v>#REF!</v>
      </c>
    </row>
    <row r="3281" spans="1:20" x14ac:dyDescent="0.4">
      <c r="A3281" s="382"/>
      <c r="B3281" s="382" t="s">
        <v>435</v>
      </c>
      <c r="T3281" s="500" t="e">
        <f>_xlfn.XLOOKUP(H3281,#REF!,#REF!,0,0)</f>
        <v>#REF!</v>
      </c>
    </row>
    <row r="3282" spans="1:20" x14ac:dyDescent="0.4">
      <c r="T3282" s="500" t="e">
        <f>_xlfn.XLOOKUP(H3282,#REF!,#REF!,0,0)</f>
        <v>#REF!</v>
      </c>
    </row>
    <row r="3283" spans="1:20" x14ac:dyDescent="0.4">
      <c r="T3283" s="500" t="e">
        <f>_xlfn.XLOOKUP(H3283,#REF!,#REF!,0,0)</f>
        <v>#REF!</v>
      </c>
    </row>
    <row r="3284" spans="1:20" x14ac:dyDescent="0.4">
      <c r="T3284" s="500" t="e">
        <f>_xlfn.XLOOKUP(H3284,#REF!,#REF!,0,0)</f>
        <v>#REF!</v>
      </c>
    </row>
    <row r="3285" spans="1:20" ht="18.75" x14ac:dyDescent="0.4">
      <c r="B3285" s="551" t="s">
        <v>336</v>
      </c>
      <c r="T3285" s="500" t="e">
        <f>_xlfn.XLOOKUP(H3285,#REF!,#REF!,0,0)</f>
        <v>#REF!</v>
      </c>
    </row>
    <row r="3286" spans="1:20" ht="18.75" x14ac:dyDescent="0.4">
      <c r="B3286" s="551" t="s">
        <v>337</v>
      </c>
      <c r="T3286" s="500" t="e">
        <f>_xlfn.XLOOKUP(H3286,#REF!,#REF!,0,0)</f>
        <v>#REF!</v>
      </c>
    </row>
    <row r="3287" spans="1:20" ht="18.75" x14ac:dyDescent="0.4">
      <c r="B3287" s="551" t="s">
        <v>338</v>
      </c>
      <c r="T3287" s="500" t="e">
        <f>_xlfn.XLOOKUP(H3287,#REF!,#REF!,0,0)</f>
        <v>#REF!</v>
      </c>
    </row>
    <row r="3288" spans="1:20" ht="18.75" x14ac:dyDescent="0.4">
      <c r="B3288" s="551" t="s">
        <v>339</v>
      </c>
      <c r="T3288" s="500" t="e">
        <f>_xlfn.XLOOKUP(H3288,#REF!,#REF!,0,0)</f>
        <v>#REF!</v>
      </c>
    </row>
    <row r="3289" spans="1:20" ht="18.75" x14ac:dyDescent="0.4">
      <c r="B3289" s="551" t="s">
        <v>340</v>
      </c>
      <c r="T3289" s="500" t="e">
        <f>_xlfn.XLOOKUP(H3289,#REF!,#REF!,0,0)</f>
        <v>#REF!</v>
      </c>
    </row>
    <row r="3290" spans="1:20" ht="18.75" x14ac:dyDescent="0.4">
      <c r="B3290" s="551" t="s">
        <v>341</v>
      </c>
      <c r="T3290" s="500" t="e">
        <f>_xlfn.XLOOKUP(H3290,#REF!,#REF!,0,0)</f>
        <v>#REF!</v>
      </c>
    </row>
    <row r="3291" spans="1:20" ht="18.75" x14ac:dyDescent="0.4">
      <c r="B3291" s="551" t="s">
        <v>342</v>
      </c>
      <c r="T3291" s="500" t="e">
        <f>_xlfn.XLOOKUP(H3291,#REF!,#REF!,0,0)</f>
        <v>#REF!</v>
      </c>
    </row>
    <row r="3292" spans="1:20" ht="18.75" x14ac:dyDescent="0.4">
      <c r="B3292" s="551" t="s">
        <v>343</v>
      </c>
      <c r="T3292" s="500" t="e">
        <f>_xlfn.XLOOKUP(H3292,#REF!,#REF!,0,0)</f>
        <v>#REF!</v>
      </c>
    </row>
    <row r="3293" spans="1:20" ht="18.75" x14ac:dyDescent="0.4">
      <c r="B3293" s="551" t="s">
        <v>344</v>
      </c>
      <c r="T3293" s="500" t="e">
        <f>_xlfn.XLOOKUP(H3293,#REF!,#REF!,0,0)</f>
        <v>#REF!</v>
      </c>
    </row>
  </sheetData>
  <autoFilter ref="A1:CA3293" xr:uid="{00000000-0001-0000-0500-000000000000}"/>
  <phoneticPr fontId="11" type="noConversion"/>
  <conditionalFormatting sqref="A2269:A2280 C2269:O2280 P2269:R2288 A2281:O2288 A2290:R2294 A2297 C2297:O2297 Q2297:R2298 A2298:P2298 A2300:K2303 P2300:R2306 P2309:R2319 A2316:K2317 A2318:G2319 J2318:K2319 A2324:K2325 P2324:R2325 A2337:R2338 A2343:R2344 A2368:R2369 A2378:Q2378 L2379:O2386 A2382:K2382 P2382:Q2382 A2400:S2400 A2402:S2402 A2404:S2407 A2409:S2411 A2413:Q2420 A2449:Q2449 A2451:Q2452 A2459:C2460 E2459:Q2460 A2465:Q2468 L2469:O2470 A2470:Q2474 L2481:O2485 A2483:K2485 P2483:Q2487 A2486:O2487 A2491:Q2491 A2499:K2508 P2499:S2509 A2580:K2580 P2580:S2583 A2581:C2583 E2581:K2583 D2581:D2588 A2592:K2592 P2592:S2592 D2593:D2595 E2594 G2594:K2594 A2594:C2595 P2594:S2595 A2346:R2352 A2358:O2361 A2370:O2370 P2370:R2371 A2371:K2371 L2371:O2376 A2384:K2384 P2384:Q2384 A2387:Q2388 A2395 C2395:O2395 Q2395:R2395 S2395:S2398 A2396:O2397 P2396:R2398 A2398 C2398:O2398 A2424:Q2426 A2428:Q2447 Q2450 A2455:Q2457 D2458:D2460 A2462:O2462 P2462:Q2463 U2462:XFD2463 A2463:K2463 U2468:XFD2468 U2477:XFD2477 A2477:O2480 P2477:Q2481 U2479:XFD2480 A2481:K2481 U2488:XFD2488 A2488:Q2489 A2493:S2495 A2497:S2497 U2509:XFD2509 A2304:O2306 A2309:O2315 L2316:O2320 E2595:K2595 C3049 A3050:C3050 E3050:J3050 L3050:S3050">
    <cfRule type="expression" dxfId="702" priority="7670">
      <formula>$C2269="Già preso appuntamento"</formula>
    </cfRule>
  </conditionalFormatting>
  <conditionalFormatting sqref="A2269:A2280 C2269:O2280 P2269:R2288 A2281:O2288 A2290:R2294 A2297 C2297:O2297 Q2297:R2298 A2298:P2298 P2300:R2302 P2305 P2317:R2319 A2318:G2319 J2318:K2319 A2324:K2324 P2324:R2324 A2338:R2338 A2344:R2344 A2368:R2369 A2378:Q2378 L2379:O2386 A2382:K2382 P2382:Q2382 A2400:S2400 A2402:S2402 A2405:S2406 A2409:S2410 A2419:Q2420 A2449:Q2449 A2452:Q2452 A2459:C2460 E2459:Q2460 A2465:Q2467 L2469:O2470 A2470:Q2472 A2474:Q2474 L2481:O2485 A2483:K2485 P2483:Q2487 A2486:O2487 A2491:Q2491 A2500:K2507 P2500:S2507 A2300:K2302 A2317:K2317 A2580:K2580 P2580:S2581 A2581:C2581 E2581:K2581 D2581:D2588 D2593:D2595 E2594 G2594:K2594 A2592:K2592 P2592:S2592 A2594:C2594 P2594:S2594">
    <cfRule type="expression" dxfId="701" priority="7669">
      <formula>$C2269="Nuovo assunto"</formula>
    </cfRule>
  </conditionalFormatting>
  <conditionalFormatting sqref="A2269:A2280 C2269:R2280 A2281:O2299 P2281:R2302 L2300:O2303 P2305 A2307:R2308 P2317:R2324 A2318:G2319 J2318:K2319 A2320:K2320 A2321:O2322 A2323:K2324 L2323:O2326 A2326:K2326 P2326:R2327 A2327:O2327 L2328:O2328 A2332:R2333 B2334 A2335:R2336 A2338:R2340 A2342:R2342 A2344:R2345 A2353:R2357 A2363:K2363 P2363:R2363 A2366:R2366 B2367 R2373:R2391 A2375:K2376 M2389:Q2391 A2389:L2394 M2392:R2394 U2638:XFD2638">
    <cfRule type="expression" dxfId="700" priority="7666">
      <formula>$C2269="Consegnato"</formula>
    </cfRule>
    <cfRule type="expression" dxfId="699" priority="7667">
      <formula>$C2269="Priorità/Stagisti/Scorta"</formula>
    </cfRule>
    <cfRule type="expression" dxfId="698" priority="7668">
      <formula>$C2269="PC in lavorazione"</formula>
    </cfRule>
  </conditionalFormatting>
  <conditionalFormatting sqref="A3170 A3185">
    <cfRule type="expression" dxfId="697" priority="7762">
      <formula>#REF!="Priorità/Stagisti/Scorta"</formula>
    </cfRule>
    <cfRule type="expression" dxfId="696" priority="7761">
      <formula>#REF!="Consegnato"</formula>
    </cfRule>
    <cfRule type="expression" dxfId="695" priority="7759">
      <formula>#REF!="Pronto per consegna"</formula>
    </cfRule>
    <cfRule type="expression" dxfId="694" priority="7763">
      <formula>#REF!="PC in lavorazione"</formula>
    </cfRule>
    <cfRule type="expression" dxfId="693" priority="7764">
      <formula>#REF!="Nuovo assunto"</formula>
    </cfRule>
    <cfRule type="expression" dxfId="692" priority="7760">
      <formula>#REF!="Problema/Mancato appuntamento"</formula>
    </cfRule>
    <cfRule type="expression" dxfId="691" priority="7765">
      <formula>#REF!="Già preso appuntamento"</formula>
    </cfRule>
    <cfRule type="expression" dxfId="690" priority="7758">
      <formula>#REF!="Riassegnazione/Extra"</formula>
    </cfRule>
  </conditionalFormatting>
  <conditionalFormatting sqref="A3174">
    <cfRule type="expression" dxfId="689" priority="692">
      <formula>$C3276="Problema/Mancato appuntamento"</formula>
    </cfRule>
    <cfRule type="expression" dxfId="688" priority="691">
      <formula>$C3276="Pronto per consegna"</formula>
    </cfRule>
    <cfRule type="expression" dxfId="687" priority="690">
      <formula>$C3276="Riassegnazione/Extra"</formula>
    </cfRule>
    <cfRule type="expression" dxfId="686" priority="697">
      <formula>$C3276="Già preso appuntamento"</formula>
    </cfRule>
    <cfRule type="expression" dxfId="685" priority="696">
      <formula>$C3276="Nuovo assunto"</formula>
    </cfRule>
    <cfRule type="expression" dxfId="684" priority="695">
      <formula>$C3276="PC in lavorazione"</formula>
    </cfRule>
    <cfRule type="expression" dxfId="683" priority="694">
      <formula>$C3276="Priorità/Stagisti/Scorta"</formula>
    </cfRule>
    <cfRule type="expression" dxfId="682" priority="693">
      <formula>$C3276="Consegnato"</formula>
    </cfRule>
  </conditionalFormatting>
  <conditionalFormatting sqref="A2587:B2587 G2587:K2587 P2587:S2587">
    <cfRule type="expression" dxfId="681" priority="5001">
      <formula>$C2587="Consegnato"</formula>
    </cfRule>
    <cfRule type="expression" dxfId="680" priority="5002">
      <formula>$C2587="Priorità/Stagisti/Scorta"</formula>
    </cfRule>
    <cfRule type="expression" dxfId="679" priority="5003">
      <formula>$C2587="PC in lavorazione"</formula>
    </cfRule>
    <cfRule type="expression" dxfId="678" priority="5004">
      <formula>$C2587="Nuovo assunto"</formula>
    </cfRule>
    <cfRule type="expression" dxfId="677" priority="5005">
      <formula>$C2587="Già preso appuntamento"</formula>
    </cfRule>
    <cfRule type="expression" dxfId="676" priority="4998">
      <formula>$C2587="Già preso appuntamento"</formula>
    </cfRule>
    <cfRule type="expression" dxfId="675" priority="4997">
      <formula>$C2587="Nuovo assunto"</formula>
    </cfRule>
    <cfRule type="expression" dxfId="674" priority="4999">
      <formula>$C2587="Pronto per consegna"</formula>
    </cfRule>
    <cfRule type="expression" dxfId="673" priority="5000">
      <formula>$C2587="Problema/Mancato appuntamento"</formula>
    </cfRule>
  </conditionalFormatting>
  <conditionalFormatting sqref="A3024:B3027 D3026:D3036 E3030 A3043:S3044">
    <cfRule type="expression" dxfId="672" priority="1800">
      <formula>$C3024="PC in lavorazione"</formula>
    </cfRule>
    <cfRule type="expression" dxfId="671" priority="1802">
      <formula>$C3024="Già preso appuntamento"</formula>
    </cfRule>
    <cfRule type="expression" dxfId="670" priority="1801">
      <formula>$C3024="Nuovo assunto"</formula>
    </cfRule>
  </conditionalFormatting>
  <conditionalFormatting sqref="A3024:B3027 D3026:D3036 E3030">
    <cfRule type="expression" dxfId="669" priority="1799">
      <formula>$C3024="Priorità/Stagisti/Scorta"</formula>
    </cfRule>
  </conditionalFormatting>
  <conditionalFormatting sqref="A3049:B3049 D3049:S3049 D3050 K3050 A3055:S3056 A3060:S3061 A3071:S3071">
    <cfRule type="expression" dxfId="668" priority="1560">
      <formula>$C3049="Già preso appuntamento"</formula>
    </cfRule>
  </conditionalFormatting>
  <conditionalFormatting sqref="A3083:B3083 D3083:S3083 A3268:R3273">
    <cfRule type="expression" dxfId="667" priority="1333">
      <formula>$C3083="PC in lavorazione"</formula>
    </cfRule>
    <cfRule type="expression" dxfId="666" priority="1334">
      <formula>$C3083="Nuovo assunto"</formula>
    </cfRule>
    <cfRule type="expression" dxfId="665" priority="1335">
      <formula>$C3083="Già preso appuntamento"</formula>
    </cfRule>
    <cfRule type="expression" dxfId="664" priority="1330">
      <formula>$C3083="Problema/Mancato appuntamento"</formula>
    </cfRule>
    <cfRule type="expression" dxfId="663" priority="1332">
      <formula>$C3083="Priorità/Stagisti/Scorta"</formula>
    </cfRule>
    <cfRule type="expression" dxfId="662" priority="1331">
      <formula>$C3083="Consegnato"</formula>
    </cfRule>
    <cfRule type="expression" dxfId="661" priority="1328">
      <formula>$C3083="Riassegnazione/Extra"</formula>
    </cfRule>
    <cfRule type="expression" dxfId="660" priority="1329">
      <formula>$C3083="Pronto per consegna"</formula>
    </cfRule>
  </conditionalFormatting>
  <conditionalFormatting sqref="A3171:B3172">
    <cfRule type="expression" dxfId="659" priority="707">
      <formula>$C3171="Pronto per consegna"</formula>
    </cfRule>
    <cfRule type="expression" dxfId="658" priority="713">
      <formula>$C3171="Già preso appuntamento"</formula>
    </cfRule>
    <cfRule type="expression" dxfId="657" priority="712">
      <formula>$C3171="Nuovo assunto"</formula>
    </cfRule>
    <cfRule type="expression" dxfId="656" priority="711">
      <formula>$C3171="PC in lavorazione"</formula>
    </cfRule>
    <cfRule type="expression" dxfId="655" priority="710">
      <formula>$C3171="Priorità/Stagisti/Scorta"</formula>
    </cfRule>
    <cfRule type="expression" dxfId="654" priority="706">
      <formula>$C3171="Riassegnazione/Extra"</formula>
    </cfRule>
    <cfRule type="expression" dxfId="653" priority="709">
      <formula>$C3171="Consegnato"</formula>
    </cfRule>
    <cfRule type="expression" dxfId="652" priority="708">
      <formula>$C3171="Problema/Mancato appuntamento"</formula>
    </cfRule>
  </conditionalFormatting>
  <conditionalFormatting sqref="A2590:C2590 A2574:K2576 P2574:S2576 A2604:S2604 A2614:K2614 P2614:S2614 A2622:K2622 P2622:S2622 A2647:S2653 A2526:K2526 P2526:S2526 D2527 A2528:K2530 P2528:S2530 A2534:K2534 P2534:S2534 A2549:S2550 A2556:K2556 P2556:S2556 A2559:E2559 G2559:K2559 P2559:S2559 A2568:K2568 P2568:S2568 A2570:K2571 P2570:S2571 E2590:K2590 P2590:S2590 A2601:S2602 A2617:K2617 P2617:S2617 D2618 A2639:K2639 P2639:Q2639 A2654:Q2669 L2688:O2688 R2688:S2688">
    <cfRule type="expression" dxfId="651" priority="4955">
      <formula>$C2526="Nuovo assunto"</formula>
    </cfRule>
  </conditionalFormatting>
  <conditionalFormatting sqref="A3028:C3041 S3030:S3041 D3037:R3041 A2999:S2999 E3031:R3036 A3020:D3023 C3024:D3025 C3026:C3027 G3030:R3030">
    <cfRule type="expression" dxfId="650" priority="1727">
      <formula>$C2999="Priorità/Stagisti/Scorta"</formula>
    </cfRule>
  </conditionalFormatting>
  <conditionalFormatting sqref="A3020:D3030 E3030 G3030:S3030">
    <cfRule type="expression" dxfId="649" priority="1766">
      <formula>$C3020="Consegnato"</formula>
    </cfRule>
  </conditionalFormatting>
  <conditionalFormatting sqref="A3020:D3030 G3030:S3030 E3030">
    <cfRule type="expression" dxfId="648" priority="1765">
      <formula>$C3020="Problema/Mancato appuntamento"</formula>
    </cfRule>
  </conditionalFormatting>
  <conditionalFormatting sqref="A2300:K2303 P2303:R2306 A2304:O2306 A2309:O2315 P2309:R2316 A2316:K2317 L2316:O2320 A2325:K2325 P2325:R2325 A2328:K2328 P2328:R2331 A2329:O2331 A2334 C2334:R2334 A2337:R2337 A2341:R2341 A2343:R2343 A2346:R2352 A2358:O2361 P2358:R2362 A2362:K2362 L2362:O2364 A2364:K2364 P2364:R2365 A2365:O2365 A2367 C2367:R2367 L2523:O2535 A2526:K2531 P2526:S2531 U2531:XFD2531 A2534:K2535 A2536:O2537 A2556:K2564 P2556:S2565 A2568:K2580 P2568:S2583 A2581:C2583 E2581:K2583 D2581:D2588 A2587:B2587 G2587:K2587 D2593:K2595 A2614:K2618 P2614:S2618 A2622:K2623 P2622:S2623 U2631:XFD2631 R2631:S2639 L2639:Q2639 A2639:K2641 U2640:XFD2640 U2642:XFD2644 A2647:S2653 A2654:Q2669 A2688:S2688">
    <cfRule type="expression" dxfId="647" priority="4994">
      <formula>$C2300="Consegnato"</formula>
    </cfRule>
    <cfRule type="expression" dxfId="646" priority="4995">
      <formula>$C2300="Priorità/Stagisti/Scorta"</formula>
    </cfRule>
    <cfRule type="expression" dxfId="645" priority="4996">
      <formula>$C2300="PC in lavorazione"</formula>
    </cfRule>
  </conditionalFormatting>
  <conditionalFormatting sqref="A2373:K2374 P2373:Q2374 B2580:B2581 A2584:C2587 E2584:K2587 P2584:S2587 A2609:S2611 R2654:R2679 S2654:S2687 P2670:Q2679 A2670:O2680 P2680:R2680 A2681:R2687 A3274:B3281">
    <cfRule type="expression" dxfId="644" priority="3841">
      <formula>$C2373="Già preso appuntamento"</formula>
    </cfRule>
    <cfRule type="expression" dxfId="643" priority="3840">
      <formula>$C2373="Nuovo assunto"</formula>
    </cfRule>
  </conditionalFormatting>
  <conditionalFormatting sqref="A2373:K2374 P2373:Q2374 B2580:B2581 P2584:S2587 A2584:C2588 E2584:K2588 A2609:S2611 R2654:R2679 S2654:S2687 P2670:Q2679 A2670:O2680 P2680:R2680 A2681:R2687 A3274:B3281 S2136:S2371">
    <cfRule type="expression" dxfId="642" priority="3839">
      <formula>$C2136="PC in lavorazione"</formula>
    </cfRule>
  </conditionalFormatting>
  <conditionalFormatting sqref="A2373:K2374 P2373:Q2374 B2580:B2581 P2584:S2587 A2584:C2588 E2584:K2588 A2609:S2611 R2654:R2679 S2654:S2687 P2670:Q2679 A2670:O2680 P2680:R2680 A2681:R2687 A3274:B3281">
    <cfRule type="expression" dxfId="641" priority="3838">
      <formula>$C2373="Priorità/Stagisti/Scorta"</formula>
    </cfRule>
    <cfRule type="expression" dxfId="640" priority="3837">
      <formula>$C2373="Consegnato"</formula>
    </cfRule>
    <cfRule type="expression" dxfId="639" priority="3836">
      <formula>$C2373="Problema/Mancato appuntamento"</formula>
    </cfRule>
  </conditionalFormatting>
  <conditionalFormatting sqref="A2526:K2526 P2526:S2526 D2527 A2528:K2530 P2528:S2530 A2534:K2534 P2534:S2534 A2549:S2550 A2556:K2556 P2556:S2556 A2559:E2559 G2559:K2559 P2559:S2559 A2568:K2568 P2568:S2568 A2570:K2571 P2570:S2571 A2574:K2576 P2574:S2576 A2590:C2590 E2590:K2590 P2590:S2590 A2601:S2602 A2604:S2604 A2614:K2614 P2614:S2614 A2617:K2617 P2617:S2617 D2618 A2622:K2622 P2622:S2622 A2639:K2639 P2639:Q2639 A2647:S2653 A2654:Q2669 L2688:O2688 R2688:S2688">
    <cfRule type="expression" dxfId="638" priority="4956">
      <formula>$C2526="Già preso appuntamento"</formula>
    </cfRule>
  </conditionalFormatting>
  <conditionalFormatting sqref="A2531:K2531 P2531:S2531 U2531:XFD2531 A2569:K2569 P2569:S2569 A2577:K2579 P2577:S2579 E2593:K2593 P2593:S2593 A2618:C2618 E2618:K2618 P2618:S2618 A2623:K2623 P2623:S2623">
    <cfRule type="expression" dxfId="637" priority="4621">
      <formula>$C2531="Nuovo Assunto"</formula>
    </cfRule>
    <cfRule type="expression" dxfId="636" priority="4627">
      <formula>$C2531="Già preso appuntamento"</formula>
    </cfRule>
  </conditionalFormatting>
  <conditionalFormatting sqref="A2568:K2580 E2581:K2583 D2593:K2595 A2639:K2641 A2526:K2531 P2526:S2531 A2534:K2535 A2556:K2564 P2556:S2565 P2568:S2583 A2614:K2618 P2614:S2618 A2622:K2623 P2622:S2623 L2639:Q2639 A2647:S2653 A2654:Q2669 A2688:S2688 U2531:XFD2531 A2309:O2315 A2316:K2317 L2316:O2320 A2581:C2583 A2587:B2587 G2587:K2587 L2523:O2535 A2536:O2537 D2581:D2588 U2631:XFD2631 R2631:S2639 U2640:XFD2640 U2642:XFD2644">
    <cfRule type="expression" dxfId="635" priority="4992">
      <formula>$C2309="Pronto per consegna"</formula>
    </cfRule>
  </conditionalFormatting>
  <conditionalFormatting sqref="A3091:K3092 N3091:N3092 P3091:S3092">
    <cfRule type="expression" dxfId="634" priority="1255">
      <formula>$C3091="Priorità/Stagisti/Scorta"</formula>
    </cfRule>
    <cfRule type="expression" dxfId="633" priority="1254">
      <formula>$C3091="Consegnato"</formula>
    </cfRule>
    <cfRule type="expression" dxfId="632" priority="1253">
      <formula>$C3091="Problema/Mancato appuntamento"</formula>
    </cfRule>
    <cfRule type="expression" dxfId="631" priority="1252">
      <formula>$C3091="Pronto per consegna"</formula>
    </cfRule>
    <cfRule type="expression" dxfId="630" priority="1251">
      <formula>$C3091="Riassegnazione/Extra"</formula>
    </cfRule>
    <cfRule type="expression" dxfId="629" priority="1250">
      <formula>$C3091="Già preso appuntamento"</formula>
    </cfRule>
    <cfRule type="expression" dxfId="628" priority="1256">
      <formula>$C3091="PC in lavorazione"</formula>
    </cfRule>
    <cfRule type="expression" dxfId="627" priority="1257">
      <formula>$C3091="Nuovo assunto"</formula>
    </cfRule>
  </conditionalFormatting>
  <conditionalFormatting sqref="A3093:K3093 N3093 P3093:S3093">
    <cfRule type="expression" dxfId="626" priority="1246">
      <formula>$C3093="Priorità/Stagisti/Scorta"</formula>
    </cfRule>
    <cfRule type="expression" dxfId="625" priority="1245">
      <formula>$C3093="Consegnato"</formula>
    </cfRule>
    <cfRule type="expression" dxfId="624" priority="1247">
      <formula>$C3093="PC in lavorazione"</formula>
    </cfRule>
    <cfRule type="expression" dxfId="623" priority="1248">
      <formula>$C3093="Nuovo assunto"</formula>
    </cfRule>
    <cfRule type="expression" dxfId="622" priority="1249">
      <formula>$C3093="Già preso appuntamento"</formula>
    </cfRule>
    <cfRule type="expression" dxfId="621" priority="1243">
      <formula>$C3093="Pronto per consegna"</formula>
    </cfRule>
    <cfRule type="expression" dxfId="620" priority="1244">
      <formula>$C3093="Problema/Mancato appuntamento"</formula>
    </cfRule>
    <cfRule type="expression" dxfId="619" priority="1242">
      <formula>$C3093="Riassegnazione/Extra"</formula>
    </cfRule>
  </conditionalFormatting>
  <conditionalFormatting sqref="A3186:K3187 P3186:S3187">
    <cfRule type="expression" dxfId="618" priority="576">
      <formula>$C3186="Nuovo assunto"</formula>
    </cfRule>
    <cfRule type="expression" dxfId="617" priority="577">
      <formula>$C3186="Già preso appuntamento"</formula>
    </cfRule>
    <cfRule type="expression" dxfId="616" priority="571">
      <formula>$C3186="Pronto per consegna"</formula>
    </cfRule>
    <cfRule type="expression" dxfId="615" priority="573">
      <formula>$C3186="Consegnato"</formula>
    </cfRule>
    <cfRule type="expression" dxfId="614" priority="575">
      <formula>$C3186="PC in lavorazione"</formula>
    </cfRule>
    <cfRule type="expression" dxfId="613" priority="574">
      <formula>$C3186="Priorità/Stagisti/Scorta"</formula>
    </cfRule>
    <cfRule type="expression" dxfId="612" priority="572">
      <formula>$C3186="Problema/Mancato appuntamento"</formula>
    </cfRule>
    <cfRule type="expression" dxfId="611" priority="570">
      <formula>$C3186="Riassegnazione/Extra"</formula>
    </cfRule>
  </conditionalFormatting>
  <conditionalFormatting sqref="A2281:O2299 P2281:R2302 L2300:O2303 A2307:R2308 P2317:R2324 A2320:K2320 A2321:O2322 A2323:K2324 L2323:O2326 A2326:K2326 P2326:R2327 A2327:O2327 L2328:O2328 A2332:R2333 B2334 A2335:R2336 A2338:R2340 A2342:R2342 A2344:R2345 A2353:R2357 A2363:K2363 P2363:R2363 A2366:R2366 B2367 R2373:R2391 A2375:K2376 M2389:Q2391 A2389:L2394 M2392:R2394 U2638:XFD2638 P2305 A2269:A2280 C2269:R2280 A2318:G2319 J2318:K2319">
    <cfRule type="expression" dxfId="610" priority="7665">
      <formula>$C2269="Problema/Mancato appuntamento"</formula>
    </cfRule>
  </conditionalFormatting>
  <conditionalFormatting sqref="A2309:O2315 A2316:K2317 L2316:O2320 L2523:O2535 A2526:K2531 P2526:S2531 U2531:XFD2531 A2534:K2535 A2536:O2537 A2556:K2564 P2556:S2565 A2568:K2580 P2568:S2583 A2581:C2583 E2581:K2583 D2581:D2588 A2587:B2587 G2587:K2587 D2593:K2595 A2614:K2618 P2614:S2618 A2622:K2623 P2622:S2623 U2631:XFD2631 R2631:S2639 L2639:Q2639 A2639:K2641 U2640:XFD2640 U2642:XFD2644 A2647:S2653 A2654:Q2669 A2688:S2688 A2300:K2303 P2303:R2306 A2304:O2306 P2309:R2316 A2325:K2325 P2325:R2325 A2328:K2328 P2328:R2331 A2329:O2331 A2334 C2334:R2334 A2337:R2337 A2341:R2341 A2343:R2343 A2346:R2352 A2358:O2361 P2358:R2362 A2362:K2362 L2362:O2364 A2364:K2364 P2364:R2365 A2365:O2365 A2367 C2367:R2367">
    <cfRule type="expression" dxfId="609" priority="4993">
      <formula>$C2300="Problema/Mancato appuntamento"</formula>
    </cfRule>
  </conditionalFormatting>
  <conditionalFormatting sqref="A2368:O2370 L2371:O2376 A2387:Q2388 A2395:R2497 U2462:XFD2463 U2468:XFD2468 U2477:XFD2477 U2479:XFD2480 U2488:XFD2488 U2509:XFD2509 P2368:R2372 A2371:K2372 P2375:Q2386 A2377:O2386 A2498:K2508">
    <cfRule type="expression" dxfId="608" priority="6805">
      <formula>$C2368="Problema/Mancato appuntamento"</formula>
    </cfRule>
  </conditionalFormatting>
  <conditionalFormatting sqref="A2368:O2370 P2368:R2372 A2371:K2372 L2371:O2376 P2375:Q2386 A2377:O2386 A2387:Q2388 A2395 C2395:O2395 Q2395:R2395 A2396:O2397 P2396:R2398 A2398 C2398:O2398 A2399:R2497 U2462:XFD2463 U2468:XFD2468 U2477:XFD2477 U2479:XFD2480 U2488:XFD2488 A2498:K2508 U2509:XFD2509 S2372 S2395:S2497">
    <cfRule type="expression" dxfId="607" priority="6808">
      <formula>$C2368="PC in lavorazione"</formula>
    </cfRule>
  </conditionalFormatting>
  <conditionalFormatting sqref="A2368:O2370 P2368:R2372 A2371:K2372 L2371:O2376 P2375:Q2386 A2377:O2386 A2387:Q2388 A2395:R2497 U2462:XFD2463 U2468:XFD2468 U2477:XFD2477 U2479:XFD2480 U2488:XFD2488 A2498:K2508 U2509:XFD2509">
    <cfRule type="expression" dxfId="606" priority="6806">
      <formula>$C2368="Consegnato"</formula>
    </cfRule>
    <cfRule type="expression" dxfId="605" priority="6807">
      <formula>$C2368="Priorità/Stagisti/Scorta"</formula>
    </cfRule>
  </conditionalFormatting>
  <conditionalFormatting sqref="A2565:O2565 A2625:R2626 L2612:O2624">
    <cfRule type="expression" dxfId="604" priority="5770">
      <formula>$C2565="Pronto per consegna"</formula>
    </cfRule>
  </conditionalFormatting>
  <conditionalFormatting sqref="A2565:O2565 L2612:O2624 A2625:R2626 P2498:R2512 A2637:Q2638">
    <cfRule type="expression" dxfId="603" priority="5771">
      <formula>$C2498="Problema/Mancato appuntamento"</formula>
    </cfRule>
  </conditionalFormatting>
  <conditionalFormatting sqref="A3196:P3205">
    <cfRule type="expression" dxfId="602" priority="458">
      <formula>$C3196="Già preso appuntamento"</formula>
    </cfRule>
  </conditionalFormatting>
  <conditionalFormatting sqref="A3206:P3213">
    <cfRule type="expression" dxfId="601" priority="386">
      <formula>$C3206="Già preso appuntamento"</formula>
    </cfRule>
  </conditionalFormatting>
  <conditionalFormatting sqref="A3216:P3220">
    <cfRule type="expression" dxfId="600" priority="325">
      <formula>$C3216="Già preso appuntamento"</formula>
    </cfRule>
  </conditionalFormatting>
  <conditionalFormatting sqref="A2413:Q2420 A2424:Q2426 A2428:Q2447 A2368:O2370 L2371:O2376 A2387:Q2388 U2462:XFD2463 U2468:XFD2468 U2477:XFD2477 U2479:XFD2480 U2488:XFD2488 U2509:XFD2509">
    <cfRule type="expression" dxfId="599" priority="6804">
      <formula>$C2368="Pronto per consegna"</formula>
    </cfRule>
  </conditionalFormatting>
  <conditionalFormatting sqref="A2429:Q2437">
    <cfRule type="expression" dxfId="598" priority="6326">
      <formula>$C3346="Già preso appuntamento"</formula>
    </cfRule>
    <cfRule type="expression" dxfId="597" priority="6331">
      <formula>$C3346="Priorità/Stagisti/Scorta"</formula>
    </cfRule>
    <cfRule type="expression" dxfId="596" priority="6325">
      <formula>$C3346="PC in lavorazione"</formula>
    </cfRule>
    <cfRule type="expression" dxfId="595" priority="6327">
      <formula>$C3346="Nuovo Assunto"</formula>
    </cfRule>
    <cfRule type="expression" dxfId="594" priority="6328">
      <formula>$C3346="Pronto per consegna"</formula>
    </cfRule>
    <cfRule type="expression" dxfId="593" priority="6329">
      <formula>$C3346="Problema/Mancato appuntamento"</formula>
    </cfRule>
    <cfRule type="expression" dxfId="592" priority="6330">
      <formula>$C3346="Consegnato"</formula>
    </cfRule>
  </conditionalFormatting>
  <conditionalFormatting sqref="A2441:Q2446">
    <cfRule type="expression" dxfId="591" priority="6241">
      <formula>$C3347="Consegnato"</formula>
    </cfRule>
    <cfRule type="expression" dxfId="590" priority="6240">
      <formula>$C3347="Problema/Mancato appuntamento"</formula>
    </cfRule>
    <cfRule type="expression" dxfId="589" priority="6239">
      <formula>$C3347="Pronto per consegna"</formula>
    </cfRule>
    <cfRule type="expression" dxfId="588" priority="6238">
      <formula>$C3347="Nuovo Assunto"</formula>
    </cfRule>
    <cfRule type="expression" dxfId="587" priority="6237">
      <formula>$C3347="Già preso appuntamento"</formula>
    </cfRule>
    <cfRule type="expression" dxfId="586" priority="6236">
      <formula>$C3347="PC in lavorazione"</formula>
    </cfRule>
    <cfRule type="expression" dxfId="585" priority="6242">
      <formula>$C3347="Priorità/Stagisti/Scorta"</formula>
    </cfRule>
  </conditionalFormatting>
  <conditionalFormatting sqref="A2637:Q2637 A2628:S2628">
    <cfRule type="expression" dxfId="584" priority="4479">
      <formula>$C2628="Nuovo assunto"</formula>
    </cfRule>
  </conditionalFormatting>
  <conditionalFormatting sqref="A3196:Q3205">
    <cfRule type="expression" dxfId="583" priority="455">
      <formula>$C3196="Priorità/Stagisti/Scorta"</formula>
    </cfRule>
    <cfRule type="expression" dxfId="582" priority="451">
      <formula>$C3196="Riassegnazione/Extra"</formula>
    </cfRule>
    <cfRule type="expression" dxfId="581" priority="457">
      <formula>$C3196="Nuovo assunto"</formula>
    </cfRule>
    <cfRule type="expression" dxfId="580" priority="454">
      <formula>$C3196="Consegnato"</formula>
    </cfRule>
    <cfRule type="expression" dxfId="579" priority="453">
      <formula>$C3196="Problema/Mancato appuntamento"</formula>
    </cfRule>
    <cfRule type="expression" dxfId="578" priority="452">
      <formula>$C3196="Pronto per consegna"</formula>
    </cfRule>
    <cfRule type="expression" dxfId="577" priority="456">
      <formula>$C3196="PC in lavorazione"</formula>
    </cfRule>
  </conditionalFormatting>
  <conditionalFormatting sqref="A3206:Q3213">
    <cfRule type="expression" dxfId="576" priority="383">
      <formula>$C3206="PC in lavorazione"</formula>
    </cfRule>
    <cfRule type="expression" dxfId="575" priority="382">
      <formula>$C3206="Priorità/Stagisti/Scorta"</formula>
    </cfRule>
    <cfRule type="expression" dxfId="574" priority="381">
      <formula>$C3206="Consegnato"</formula>
    </cfRule>
    <cfRule type="expression" dxfId="573" priority="380">
      <formula>$C3206="Problema/Mancato appuntamento"</formula>
    </cfRule>
    <cfRule type="expression" dxfId="572" priority="379">
      <formula>$C3206="Pronto per consegna"</formula>
    </cfRule>
    <cfRule type="expression" dxfId="571" priority="378">
      <formula>$C3206="Riassegnazione/Extra"</formula>
    </cfRule>
    <cfRule type="expression" dxfId="570" priority="384">
      <formula>$C3206="Nuovo assunto"</formula>
    </cfRule>
  </conditionalFormatting>
  <conditionalFormatting sqref="A3216:Q3267">
    <cfRule type="expression" dxfId="569" priority="2">
      <formula>$C3216="Pronto per consegna"</formula>
    </cfRule>
    <cfRule type="expression" dxfId="568" priority="3">
      <formula>$C3216="Problema/Mancato appuntamento"</formula>
    </cfRule>
    <cfRule type="expression" dxfId="567" priority="4">
      <formula>$C3216="Consegnato"</formula>
    </cfRule>
    <cfRule type="expression" dxfId="566" priority="5">
      <formula>$C3216="Priorità/Stagisti/Scorta"</formula>
    </cfRule>
    <cfRule type="expression" dxfId="565" priority="6">
      <formula>$C3216="PC in lavorazione"</formula>
    </cfRule>
    <cfRule type="expression" dxfId="564" priority="7">
      <formula>$C3216="Nuovo assunto"</formula>
    </cfRule>
    <cfRule type="expression" dxfId="563" priority="1">
      <formula>$C3216="Riassegnazione/Extra"</formula>
    </cfRule>
  </conditionalFormatting>
  <conditionalFormatting sqref="A3221:Q3267">
    <cfRule type="expression" dxfId="562" priority="8">
      <formula>$C3221="Già preso appuntamento"</formula>
    </cfRule>
  </conditionalFormatting>
  <conditionalFormatting sqref="A2268:R2268">
    <cfRule type="expression" dxfId="561" priority="7671">
      <formula>$C2268="Pronto per consegna"</formula>
    </cfRule>
    <cfRule type="expression" dxfId="560" priority="7672">
      <formula>$C2268="Problema/Mancato appuntamento"</formula>
    </cfRule>
    <cfRule type="expression" dxfId="559" priority="7677">
      <formula>$C2268="Già preso appuntamento"</formula>
    </cfRule>
    <cfRule type="expression" dxfId="558" priority="7676">
      <formula>$C2268="Nuovo assunto"</formula>
    </cfRule>
    <cfRule type="expression" dxfId="557" priority="7675">
      <formula>$C2268="PC in lavorazione"</formula>
    </cfRule>
    <cfRule type="expression" dxfId="556" priority="7674">
      <formula>$C2268="Priorità/Stagisti/Scorta"</formula>
    </cfRule>
    <cfRule type="expression" dxfId="555" priority="7673">
      <formula>$C2268="Consegnato"</formula>
    </cfRule>
  </conditionalFormatting>
  <conditionalFormatting sqref="A2281:R2308 P2309:R2331 A2321:O2331 A2332:R2367 P2368:R2372 A2371:K2372 P2375:Q2386 A2377:O2386 A2395:R2412 A2448:Q2492 A2493:R2497 A2498:K2508 P2498:R2512 A2637:Q2638 A2269:A2280 C2269:R2280 A2318:G2319 J2318:K2319 A2320:K2320 R2373:R2391 M2389:Q2391 A2389:L2394 M2392:R2394 R2413:R2492 A2421:Q2423 A2427:Q2427 U2638:XFD2638">
    <cfRule type="expression" dxfId="554" priority="4468">
      <formula>$C2269="Pronto per consegna"</formula>
    </cfRule>
  </conditionalFormatting>
  <conditionalFormatting sqref="A3038:R3038 S3038:S3039 P3039:R3039">
    <cfRule type="expression" dxfId="553" priority="1662">
      <formula>$C3038="Consegnato"</formula>
    </cfRule>
    <cfRule type="expression" dxfId="552" priority="1661">
      <formula>$C3038="Problema/Mancato appuntamento"</formula>
    </cfRule>
    <cfRule type="expression" dxfId="551" priority="1659">
      <formula>$C3038="Riassegnazione/Extra"</formula>
    </cfRule>
    <cfRule type="expression" dxfId="550" priority="1660">
      <formula>$C3038="Pronto per consegna"</formula>
    </cfRule>
  </conditionalFormatting>
  <conditionalFormatting sqref="A3097:R3097">
    <cfRule type="expression" dxfId="549" priority="1137">
      <formula>$C3097="Già preso appuntamento"</formula>
    </cfRule>
    <cfRule type="expression" dxfId="548" priority="1136">
      <formula>$C3097="Nuovo assunto"</formula>
    </cfRule>
    <cfRule type="expression" dxfId="547" priority="1135">
      <formula>$C3097="PC in lavorazione"</formula>
    </cfRule>
    <cfRule type="expression" dxfId="546" priority="1134">
      <formula>$C3097="Priorità/Stagisti/Scorta"</formula>
    </cfRule>
    <cfRule type="expression" dxfId="545" priority="1133">
      <formula>$C3097="Consegnato"</formula>
    </cfRule>
    <cfRule type="expression" dxfId="544" priority="1132">
      <formula>$C3097="Problema/Mancato appuntamento"</formula>
    </cfRule>
    <cfRule type="expression" dxfId="543" priority="1130">
      <formula>$C3097="Riassegnazione/Extra"</formula>
    </cfRule>
    <cfRule type="expression" dxfId="542" priority="1131">
      <formula>$C3097="Pronto per consegna"</formula>
    </cfRule>
  </conditionalFormatting>
  <conditionalFormatting sqref="A3099:R3102">
    <cfRule type="expression" dxfId="541" priority="1104">
      <formula>$C3099="Nuovo assunto"</formula>
    </cfRule>
    <cfRule type="expression" dxfId="540" priority="1098">
      <formula>$C3099="Riassegnazione/Extra"</formula>
    </cfRule>
    <cfRule type="expression" dxfId="539" priority="1103">
      <formula>$C3099="PC in lavorazione"</formula>
    </cfRule>
    <cfRule type="expression" dxfId="538" priority="1102">
      <formula>$C3099="Priorità/Stagisti/Scorta"</formula>
    </cfRule>
    <cfRule type="expression" dxfId="537" priority="1099">
      <formula>$C3099="Pronto per consegna"</formula>
    </cfRule>
    <cfRule type="expression" dxfId="536" priority="1105">
      <formula>$C3099="Già preso appuntamento"</formula>
    </cfRule>
    <cfRule type="expression" dxfId="535" priority="1101">
      <formula>$C3099="Consegnato"</formula>
    </cfRule>
    <cfRule type="expression" dxfId="534" priority="1100">
      <formula>$C3099="Problema/Mancato appuntamento"</formula>
    </cfRule>
  </conditionalFormatting>
  <conditionalFormatting sqref="A3104:R3105">
    <cfRule type="expression" dxfId="533" priority="1081">
      <formula>$C3104="Già preso appuntamento"</formula>
    </cfRule>
    <cfRule type="expression" dxfId="532" priority="1074">
      <formula>$C3104="Riassegnazione/Extra"</formula>
    </cfRule>
    <cfRule type="expression" dxfId="531" priority="1075">
      <formula>$C3104="Pronto per consegna"</formula>
    </cfRule>
    <cfRule type="expression" dxfId="530" priority="1076">
      <formula>$C3104="Problema/Mancato appuntamento"</formula>
    </cfRule>
    <cfRule type="expression" dxfId="529" priority="1077">
      <formula>$C3104="Consegnato"</formula>
    </cfRule>
    <cfRule type="expression" dxfId="528" priority="1078">
      <formula>$C3104="Priorità/Stagisti/Scorta"</formula>
    </cfRule>
    <cfRule type="expression" dxfId="527" priority="1079">
      <formula>$C3104="PC in lavorazione"</formula>
    </cfRule>
    <cfRule type="expression" dxfId="526" priority="1080">
      <formula>$C3104="Nuovo assunto"</formula>
    </cfRule>
  </conditionalFormatting>
  <conditionalFormatting sqref="A3107:R3110">
    <cfRule type="expression" dxfId="525" priority="1034">
      <formula>$C3107="Riassegnazione/Extra"</formula>
    </cfRule>
    <cfRule type="expression" dxfId="524" priority="1040">
      <formula>$C3107="Nuovo assunto"</formula>
    </cfRule>
    <cfRule type="expression" dxfId="523" priority="1039">
      <formula>$C3107="PC in lavorazione"</formula>
    </cfRule>
    <cfRule type="expression" dxfId="522" priority="1038">
      <formula>$C3107="Priorità/Stagisti/Scorta"</formula>
    </cfRule>
    <cfRule type="expression" dxfId="521" priority="1037">
      <formula>$C3107="Consegnato"</formula>
    </cfRule>
    <cfRule type="expression" dxfId="520" priority="1036">
      <formula>$C3107="Problema/Mancato appuntamento"</formula>
    </cfRule>
    <cfRule type="expression" dxfId="519" priority="1035">
      <formula>$C3107="Pronto per consegna"</formula>
    </cfRule>
    <cfRule type="expression" dxfId="518" priority="1041">
      <formula>$C3107="Già preso appuntamento"</formula>
    </cfRule>
  </conditionalFormatting>
  <conditionalFormatting sqref="A3113:R3117">
    <cfRule type="expression" dxfId="517" priority="985">
      <formula>$C3113="Già preso appuntamento"</formula>
    </cfRule>
    <cfRule type="expression" dxfId="516" priority="984">
      <formula>$C3113="Nuovo assunto"</formula>
    </cfRule>
    <cfRule type="expression" dxfId="515" priority="983">
      <formula>$C3113="PC in lavorazione"</formula>
    </cfRule>
    <cfRule type="expression" dxfId="514" priority="982">
      <formula>$C3113="Priorità/Stagisti/Scorta"</formula>
    </cfRule>
    <cfRule type="expression" dxfId="513" priority="981">
      <formula>$C3113="Consegnato"</formula>
    </cfRule>
    <cfRule type="expression" dxfId="512" priority="980">
      <formula>$C3113="Problema/Mancato appuntamento"</formula>
    </cfRule>
    <cfRule type="expression" dxfId="511" priority="979">
      <formula>$C3113="Pronto per consegna"</formula>
    </cfRule>
    <cfRule type="expression" dxfId="510" priority="978">
      <formula>$C3113="Riassegnazione/Extra"</formula>
    </cfRule>
  </conditionalFormatting>
  <conditionalFormatting sqref="A3121:R3125">
    <cfRule type="expression" dxfId="509" priority="944">
      <formula>$C3121="Nuovo assunto"</formula>
    </cfRule>
    <cfRule type="expression" dxfId="508" priority="945">
      <formula>$C3121="Già preso appuntamento"</formula>
    </cfRule>
    <cfRule type="expression" dxfId="507" priority="943">
      <formula>$C3121="PC in lavorazione"</formula>
    </cfRule>
    <cfRule type="expression" dxfId="506" priority="942">
      <formula>$C3121="Priorità/Stagisti/Scorta"</formula>
    </cfRule>
    <cfRule type="expression" dxfId="505" priority="941">
      <formula>$C3121="Consegnato"</formula>
    </cfRule>
    <cfRule type="expression" dxfId="504" priority="940">
      <formula>$C3121="Problema/Mancato appuntamento"</formula>
    </cfRule>
    <cfRule type="expression" dxfId="503" priority="939">
      <formula>$C3121="Pronto per consegna"</formula>
    </cfRule>
    <cfRule type="expression" dxfId="502" priority="938">
      <formula>$C3121="Riassegnazione/Extra"</formula>
    </cfRule>
  </conditionalFormatting>
  <conditionalFormatting sqref="A3128:R3134">
    <cfRule type="expression" dxfId="501" priority="902">
      <formula>$C3128="Priorità/Stagisti/Scorta"</formula>
    </cfRule>
    <cfRule type="expression" dxfId="500" priority="901">
      <formula>$C3128="Consegnato"</formula>
    </cfRule>
    <cfRule type="expression" dxfId="499" priority="900">
      <formula>$C3128="Problema/Mancato appuntamento"</formula>
    </cfRule>
    <cfRule type="expression" dxfId="498" priority="898">
      <formula>$C3128="Riassegnazione/Extra"</formula>
    </cfRule>
    <cfRule type="expression" dxfId="497" priority="905">
      <formula>$C3128="Già preso appuntamento"</formula>
    </cfRule>
    <cfRule type="expression" dxfId="496" priority="904">
      <formula>$C3128="Nuovo assunto"</formula>
    </cfRule>
    <cfRule type="expression" dxfId="495" priority="899">
      <formula>$C3128="Pronto per consegna"</formula>
    </cfRule>
    <cfRule type="expression" dxfId="494" priority="903">
      <formula>$C3128="PC in lavorazione"</formula>
    </cfRule>
  </conditionalFormatting>
  <conditionalFormatting sqref="A3136:R3139">
    <cfRule type="expression" dxfId="493" priority="862">
      <formula>$C3136="Priorità/Stagisti/Scorta"</formula>
    </cfRule>
    <cfRule type="expression" dxfId="492" priority="858">
      <formula>$C3136="Riassegnazione/Extra"</formula>
    </cfRule>
    <cfRule type="expression" dxfId="491" priority="859">
      <formula>$C3136="Pronto per consegna"</formula>
    </cfRule>
    <cfRule type="expression" dxfId="490" priority="860">
      <formula>$C3136="Problema/Mancato appuntamento"</formula>
    </cfRule>
    <cfRule type="expression" dxfId="489" priority="861">
      <formula>$C3136="Consegnato"</formula>
    </cfRule>
    <cfRule type="expression" dxfId="488" priority="863">
      <formula>$C3136="PC in lavorazione"</formula>
    </cfRule>
    <cfRule type="expression" dxfId="487" priority="864">
      <formula>$C3136="Nuovo assunto"</formula>
    </cfRule>
    <cfRule type="expression" dxfId="486" priority="865">
      <formula>$C3136="Già preso appuntamento"</formula>
    </cfRule>
  </conditionalFormatting>
  <conditionalFormatting sqref="A3141:R3141">
    <cfRule type="expression" dxfId="485" priority="849">
      <formula>$C3141="Già preso appuntamento"</formula>
    </cfRule>
    <cfRule type="expression" dxfId="484" priority="842">
      <formula>$C3141="Riassegnazione/Extra"</formula>
    </cfRule>
    <cfRule type="expression" dxfId="483" priority="844">
      <formula>$C3141="Problema/Mancato appuntamento"</formula>
    </cfRule>
    <cfRule type="expression" dxfId="482" priority="843">
      <formula>$C3141="Pronto per consegna"</formula>
    </cfRule>
    <cfRule type="expression" dxfId="481" priority="845">
      <formula>$C3141="Consegnato"</formula>
    </cfRule>
    <cfRule type="expression" dxfId="480" priority="846">
      <formula>$C3141="Priorità/Stagisti/Scorta"</formula>
    </cfRule>
    <cfRule type="expression" dxfId="479" priority="847">
      <formula>$C3141="PC in lavorazione"</formula>
    </cfRule>
    <cfRule type="expression" dxfId="478" priority="848">
      <formula>$C3141="Nuovo assunto"</formula>
    </cfRule>
  </conditionalFormatting>
  <conditionalFormatting sqref="A3143:R3155">
    <cfRule type="expression" dxfId="477" priority="801">
      <formula>$C3143="Già preso appuntamento"</formula>
    </cfRule>
    <cfRule type="expression" dxfId="476" priority="795">
      <formula>$C3143="Pronto per consegna"</formula>
    </cfRule>
    <cfRule type="expression" dxfId="475" priority="794">
      <formula>$C3143="Riassegnazione/Extra"</formula>
    </cfRule>
    <cfRule type="expression" dxfId="474" priority="796">
      <formula>$C3143="Problema/Mancato appuntamento"</formula>
    </cfRule>
    <cfRule type="expression" dxfId="473" priority="797">
      <formula>$C3143="Consegnato"</formula>
    </cfRule>
    <cfRule type="expression" dxfId="472" priority="798">
      <formula>$C3143="Priorità/Stagisti/Scorta"</formula>
    </cfRule>
    <cfRule type="expression" dxfId="471" priority="799">
      <formula>$C3143="PC in lavorazione"</formula>
    </cfRule>
    <cfRule type="expression" dxfId="470" priority="800">
      <formula>$C3143="Nuovo assunto"</formula>
    </cfRule>
  </conditionalFormatting>
  <conditionalFormatting sqref="A3159:R3163">
    <cfRule type="expression" dxfId="469" priority="768">
      <formula>$C3159="Nuovo assunto"</formula>
    </cfRule>
    <cfRule type="expression" dxfId="468" priority="769">
      <formula>$C3159="Già preso appuntamento"</formula>
    </cfRule>
    <cfRule type="expression" dxfId="467" priority="767">
      <formula>$C3159="PC in lavorazione"</formula>
    </cfRule>
    <cfRule type="expression" dxfId="466" priority="765">
      <formula>$C3159="Consegnato"</formula>
    </cfRule>
    <cfRule type="expression" dxfId="465" priority="763">
      <formula>$C3159="Pronto per consegna"</formula>
    </cfRule>
    <cfRule type="expression" dxfId="464" priority="762">
      <formula>$C3159="Riassegnazione/Extra"</formula>
    </cfRule>
    <cfRule type="expression" dxfId="463" priority="764">
      <formula>$C3159="Problema/Mancato appuntamento"</formula>
    </cfRule>
    <cfRule type="expression" dxfId="462" priority="766">
      <formula>$C3159="Priorità/Stagisti/Scorta"</formula>
    </cfRule>
  </conditionalFormatting>
  <conditionalFormatting sqref="A3165:R3169">
    <cfRule type="expression" dxfId="461" priority="739">
      <formula>$C3165="Pronto per consegna"</formula>
    </cfRule>
    <cfRule type="expression" dxfId="460" priority="740">
      <formula>$C3165="Problema/Mancato appuntamento"</formula>
    </cfRule>
    <cfRule type="expression" dxfId="459" priority="738">
      <formula>$C3165="Riassegnazione/Extra"</formula>
    </cfRule>
    <cfRule type="expression" dxfId="458" priority="745">
      <formula>$C3165="Già preso appuntamento"</formula>
    </cfRule>
    <cfRule type="expression" dxfId="457" priority="744">
      <formula>$C3165="Nuovo assunto"</formula>
    </cfRule>
    <cfRule type="expression" dxfId="456" priority="743">
      <formula>$C3165="PC in lavorazione"</formula>
    </cfRule>
    <cfRule type="expression" dxfId="455" priority="742">
      <formula>$C3165="Priorità/Stagisti/Scorta"</formula>
    </cfRule>
    <cfRule type="expression" dxfId="454" priority="741">
      <formula>$C3165="Consegnato"</formula>
    </cfRule>
  </conditionalFormatting>
  <conditionalFormatting sqref="A3176:R3177">
    <cfRule type="expression" dxfId="453" priority="658">
      <formula>$C3176="Riassegnazione/Extra"</formula>
    </cfRule>
    <cfRule type="expression" dxfId="452" priority="659">
      <formula>$C3176="Pronto per consegna"</formula>
    </cfRule>
    <cfRule type="expression" dxfId="451" priority="664">
      <formula>$C3176="Nuovo assunto"</formula>
    </cfRule>
    <cfRule type="expression" dxfId="450" priority="662">
      <formula>$C3176="Priorità/Stagisti/Scorta"</formula>
    </cfRule>
    <cfRule type="expression" dxfId="449" priority="660">
      <formula>$C3176="Problema/Mancato appuntamento"</formula>
    </cfRule>
    <cfRule type="expression" dxfId="448" priority="661">
      <formula>$C3176="Consegnato"</formula>
    </cfRule>
    <cfRule type="expression" dxfId="447" priority="663">
      <formula>$C3176="PC in lavorazione"</formula>
    </cfRule>
    <cfRule type="expression" dxfId="446" priority="665">
      <formula>$C3176="Già preso appuntamento"</formula>
    </cfRule>
  </conditionalFormatting>
  <conditionalFormatting sqref="A3179:R3179">
    <cfRule type="expression" dxfId="445" priority="647">
      <formula>$C3179="PC in lavorazione"</formula>
    </cfRule>
    <cfRule type="expression" dxfId="444" priority="646">
      <formula>$C3179="Priorità/Stagisti/Scorta"</formula>
    </cfRule>
    <cfRule type="expression" dxfId="443" priority="644">
      <formula>$C3179="Problema/Mancato appuntamento"</formula>
    </cfRule>
    <cfRule type="expression" dxfId="442" priority="643">
      <formula>$C3179="Pronto per consegna"</formula>
    </cfRule>
    <cfRule type="expression" dxfId="441" priority="642">
      <formula>$C3179="Riassegnazione/Extra"</formula>
    </cfRule>
    <cfRule type="expression" dxfId="440" priority="645">
      <formula>$C3179="Consegnato"</formula>
    </cfRule>
    <cfRule type="expression" dxfId="439" priority="649">
      <formula>$C3179="Già preso appuntamento"</formula>
    </cfRule>
    <cfRule type="expression" dxfId="438" priority="648">
      <formula>$C3179="Nuovo assunto"</formula>
    </cfRule>
  </conditionalFormatting>
  <conditionalFormatting sqref="A3181:R3183">
    <cfRule type="expression" dxfId="437" priority="612">
      <formula>$C3181="Problema/Mancato appuntamento"</formula>
    </cfRule>
    <cfRule type="expression" dxfId="436" priority="611">
      <formula>$C3181="Pronto per consegna"</formula>
    </cfRule>
    <cfRule type="expression" dxfId="435" priority="610">
      <formula>$C3181="Riassegnazione/Extra"</formula>
    </cfRule>
    <cfRule type="expression" dxfId="434" priority="617">
      <formula>$C3181="Già preso appuntamento"</formula>
    </cfRule>
    <cfRule type="expression" dxfId="433" priority="616">
      <formula>$C3181="Nuovo assunto"</formula>
    </cfRule>
    <cfRule type="expression" dxfId="432" priority="615">
      <formula>$C3181="PC in lavorazione"</formula>
    </cfRule>
    <cfRule type="expression" dxfId="431" priority="614">
      <formula>$C3181="Priorità/Stagisti/Scorta"</formula>
    </cfRule>
    <cfRule type="expression" dxfId="430" priority="613">
      <formula>$C3181="Consegnato"</formula>
    </cfRule>
  </conditionalFormatting>
  <conditionalFormatting sqref="A3188:R3195">
    <cfRule type="expression" dxfId="429" priority="529">
      <formula>$C3188="Già preso appuntamento"</formula>
    </cfRule>
    <cfRule type="expression" dxfId="428" priority="528">
      <formula>$C3188="Nuovo assunto"</formula>
    </cfRule>
    <cfRule type="expression" dxfId="427" priority="527">
      <formula>$C3188="PC in lavorazione"</formula>
    </cfRule>
    <cfRule type="expression" dxfId="426" priority="526">
      <formula>$C3188="Priorità/Stagisti/Scorta"</formula>
    </cfRule>
    <cfRule type="expression" dxfId="425" priority="525">
      <formula>$C3188="Consegnato"</formula>
    </cfRule>
    <cfRule type="expression" dxfId="424" priority="524">
      <formula>$C3188="Problema/Mancato appuntamento"</formula>
    </cfRule>
    <cfRule type="expression" dxfId="423" priority="523">
      <formula>$C3188="Pronto per consegna"</formula>
    </cfRule>
    <cfRule type="expression" dxfId="422" priority="522">
      <formula>$C3188="Riassegnazione/Extra"</formula>
    </cfRule>
  </conditionalFormatting>
  <conditionalFormatting sqref="A2516:S2516 A2520:S2521 A2523:K2524 P2523:S2524 U2523:XFD2524 A2533:C2533 E2533:K2533 P2533:R2537 S2533:S2539 A2538:R2539 A2542:S2542 A2544:S2544 A2546:S2554 F2565 F2569 F2577:F2579 F2582:F2583 P2587:R2595 S2587:S2597 A2589:K2592 L2591:O2595 F2593 A2593:C2595 F2595:F2597 A2596:R2597 B2598 K2598:P2598 A2599:S2608 A2612:K2612 P2612:S2612 A2620:K2620 P2620:S2620 F2626 A2627:S2630 A2631:Q2636 F2641 A2643:S2645 L2806:O2806">
    <cfRule type="expression" dxfId="421" priority="4968">
      <formula>$C2516="Priorità/Stagisti/Scorta"</formula>
    </cfRule>
    <cfRule type="expression" dxfId="420" priority="4969">
      <formula>$C2516="PC in lavorazione"</formula>
    </cfRule>
    <cfRule type="expression" dxfId="419" priority="4966">
      <formula>$C2516="Problema/Mancato appuntamento"</formula>
    </cfRule>
    <cfRule type="expression" dxfId="418" priority="4967">
      <formula>$C2516="Consegnato"</formula>
    </cfRule>
  </conditionalFormatting>
  <conditionalFormatting sqref="A2516:S2516 A2520:S2521 A2523:K2524 P2523:S2524 U2523:XFD2524 A2533:C2533 E2533:K2533 P2533:R2537 S2533:S2539 A2538:R2539 A2542:S2542 A2544:S2544 A2546:S2554 F2569 F2577:F2579 P2587:R2595 S2587:S2597 A2589:K2592 L2591:O2595 F2593 A2593:C2595 F2595:F2597 A2596:R2597 B2598 K2598:P2598 A2599:S2608 A2612:K2612 P2612:S2612 A2620:K2620 P2620:S2620 F2626 A2631:Q2636 A2643:S2645 L2806:O2806 A2627:S2630 F2565 F2582:F2583 F2641">
    <cfRule type="expression" dxfId="417" priority="4965">
      <formula>$C2516="Pronto per consegna"</formula>
    </cfRule>
  </conditionalFormatting>
  <conditionalFormatting sqref="A2516:S2516 A2520:S2521 A2523:K2524 P2523:S2524 U2523:XFD2524 A2533:C2533 E2533:K2533 P2533:S2533 A2538:S2539 A2542:S2542 A2544:S2544 A2546:S2548 A2553:S2554 F2565 F2569 F2577:F2579 F2582:F2583 A2589:K2589 P2589:S2589 D2590 L2591:O2595 A2593:C2593 F2593 F2595:F2597 A2596:S2597 B2598 K2598:P2598 A2599:S2600 A2607:S2608 A2612:K2612 P2612:S2612 A2620:K2620 P2620:S2620 F2626 A2627:S2627 A2632:Q2636 F2641 A2645:S2645 L2806:O2806">
    <cfRule type="expression" dxfId="416" priority="4970">
      <formula>$C2516="Già preso appuntamento"</formula>
    </cfRule>
  </conditionalFormatting>
  <conditionalFormatting sqref="A2628:S2628 A2637:Q2637">
    <cfRule type="expression" dxfId="415" priority="4486">
      <formula>$C2628="PC in lavorazione"</formula>
    </cfRule>
    <cfRule type="expression" dxfId="414" priority="4480">
      <formula>$C2628="Già preso appuntamento"</formula>
    </cfRule>
    <cfRule type="expression" dxfId="413" priority="4481">
      <formula>$C2628="Nuovo assunto"</formula>
    </cfRule>
    <cfRule type="expression" dxfId="412" priority="4482">
      <formula>$C2628="Pronto per consegna"</formula>
    </cfRule>
    <cfRule type="expression" dxfId="411" priority="4483">
      <formula>$C2628="Problema/Mancato appuntamento"</formula>
    </cfRule>
    <cfRule type="expression" dxfId="410" priority="4484">
      <formula>$C2628="Consegnato"</formula>
    </cfRule>
    <cfRule type="expression" dxfId="409" priority="4485">
      <formula>$C2628="Priorità/Stagisti/Scorta"</formula>
    </cfRule>
    <cfRule type="expression" dxfId="408" priority="4487">
      <formula>$C2628="Già preso appuntamento"</formula>
    </cfRule>
  </conditionalFormatting>
  <conditionalFormatting sqref="A2689:S2742 A2743:R2805 S2743:S2998 P2806:R2806 A2807:R2998 A3000:R3007 A3008 C3008:R3008 A3042:S3045">
    <cfRule type="expression" dxfId="407" priority="1929">
      <formula>$C2689="Nuovo assunto"</formula>
    </cfRule>
    <cfRule type="expression" dxfId="406" priority="1924">
      <formula>$C2689="Pronto per consegna"</formula>
    </cfRule>
    <cfRule type="expression" dxfId="405" priority="1927">
      <formula>$C2689="Priorità/Stagisti/Scorta"</formula>
    </cfRule>
    <cfRule type="expression" dxfId="404" priority="1925">
      <formula>$C2689="Problema/Mancato appuntamento"</formula>
    </cfRule>
    <cfRule type="expression" dxfId="403" priority="1928">
      <formula>$C2689="PC in lavorazione"</formula>
    </cfRule>
    <cfRule type="expression" dxfId="402" priority="1926">
      <formula>$C2689="Consegnato"</formula>
    </cfRule>
  </conditionalFormatting>
  <conditionalFormatting sqref="A2689:S2742 A2743:R2805 S2743:S2998 P2806:R2806 A2807:R2998 A3000:R3007 A3008 C3008:R3008 A3042:S3048 A3052:S3054 A3057:S3059 A3062:S3070 A3074:S3074">
    <cfRule type="expression" dxfId="401" priority="1930">
      <formula>$C2689="Già preso appuntamento"</formula>
    </cfRule>
  </conditionalFormatting>
  <conditionalFormatting sqref="A2999:S2999 A3020:D3023 C3024:D3025 C3026:C3027 A3028:C3041 G3030:R3030 S3030:S3041 E3031:R3036 D3037:R3041">
    <cfRule type="expression" dxfId="400" priority="1730">
      <formula>$C2999="Già preso appuntamento"</formula>
    </cfRule>
    <cfRule type="expression" dxfId="399" priority="1729">
      <formula>$C2999="Nuovo assunto"</formula>
    </cfRule>
    <cfRule type="expression" dxfId="398" priority="1728">
      <formula>$C2999="PC in lavorazione"</formula>
    </cfRule>
  </conditionalFormatting>
  <conditionalFormatting sqref="A2999:S2999 A3031:S3037 A3039:O3041 P3040:S3041">
    <cfRule type="expression" dxfId="397" priority="1643">
      <formula>$C2999="Riassegnazione/Extra"</formula>
    </cfRule>
    <cfRule type="expression" dxfId="396" priority="1646">
      <formula>$C2999="Consegnato"</formula>
    </cfRule>
    <cfRule type="expression" dxfId="395" priority="1645">
      <formula>$C2999="Problema/Mancato appuntamento"</formula>
    </cfRule>
    <cfRule type="expression" dxfId="394" priority="1644">
      <formula>$C2999="Pronto per consegna"</formula>
    </cfRule>
  </conditionalFormatting>
  <conditionalFormatting sqref="A3042:S3045 A2732:S2733 A2743:R2805 S2743:S2998 P2806:R2806 A2807:R2998 A3000:R3007 A3008 C3008:R3008">
    <cfRule type="expression" dxfId="393" priority="1923">
      <formula>$C2732="Riassegnazione/Extra"</formula>
    </cfRule>
  </conditionalFormatting>
  <conditionalFormatting sqref="A3046:S3068">
    <cfRule type="expression" dxfId="392" priority="1543">
      <formula>$C3046="Nuovo assunto"</formula>
    </cfRule>
    <cfRule type="expression" dxfId="391" priority="1542">
      <formula>$C3046="PC in lavorazione"</formula>
    </cfRule>
    <cfRule type="expression" dxfId="390" priority="1541">
      <formula>$C3046="Priorità/Stagisti/Scorta"</formula>
    </cfRule>
    <cfRule type="expression" dxfId="389" priority="1540">
      <formula>$C3046="Consegnato"</formula>
    </cfRule>
    <cfRule type="expression" dxfId="388" priority="1539">
      <formula>$C3046="Problema/Mancato appuntamento"</formula>
    </cfRule>
    <cfRule type="expression" dxfId="387" priority="1538">
      <formula>$C3046="Pronto per consegna"</formula>
    </cfRule>
    <cfRule type="expression" dxfId="386" priority="1537">
      <formula>$C3046="Riassegnazione/Extra"</formula>
    </cfRule>
  </conditionalFormatting>
  <conditionalFormatting sqref="A3051:S3051">
    <cfRule type="expression" dxfId="385" priority="1536">
      <formula>$C3051="Già preso appuntamento"</formula>
    </cfRule>
  </conditionalFormatting>
  <conditionalFormatting sqref="A3069:S3074">
    <cfRule type="expression" dxfId="384" priority="1405">
      <formula>$C3069="Priorità/Stagisti/Scorta"</formula>
    </cfRule>
    <cfRule type="expression" dxfId="383" priority="1404">
      <formula>$C3069="Consegnato"</formula>
    </cfRule>
    <cfRule type="expression" dxfId="382" priority="1403">
      <formula>$C3069="Problema/Mancato appuntamento"</formula>
    </cfRule>
    <cfRule type="expression" dxfId="381" priority="1406">
      <formula>$C3069="PC in lavorazione"</formula>
    </cfRule>
    <cfRule type="expression" dxfId="380" priority="1407">
      <formula>$C3069="Nuovo assunto"</formula>
    </cfRule>
  </conditionalFormatting>
  <conditionalFormatting sqref="A3069:S3080">
    <cfRule type="expression" dxfId="379" priority="1353">
      <formula>$C3069="Riassegnazione/Extra"</formula>
    </cfRule>
    <cfRule type="expression" dxfId="378" priority="1354">
      <formula>$C3069="Pronto per consegna"</formula>
    </cfRule>
  </conditionalFormatting>
  <conditionalFormatting sqref="A3073:S3073">
    <cfRule type="expression" dxfId="377" priority="1400">
      <formula>$C3073="Già preso appuntamento"</formula>
    </cfRule>
  </conditionalFormatting>
  <conditionalFormatting sqref="A3075:S3076">
    <cfRule type="expression" dxfId="376" priority="1375">
      <formula>$C3075="Già preso appuntamento"</formula>
    </cfRule>
  </conditionalFormatting>
  <conditionalFormatting sqref="A3075:S3080">
    <cfRule type="expression" dxfId="375" priority="1357">
      <formula>$C3075="Priorità/Stagisti/Scorta"</formula>
    </cfRule>
    <cfRule type="expression" dxfId="374" priority="1355">
      <formula>$C3075="Problema/Mancato appuntamento"</formula>
    </cfRule>
    <cfRule type="expression" dxfId="373" priority="1358">
      <formula>$C3075="PC in lavorazione"</formula>
    </cfRule>
    <cfRule type="expression" dxfId="372" priority="1359">
      <formula>$C3075="Nuovo assunto"</formula>
    </cfRule>
    <cfRule type="expression" dxfId="371" priority="1356">
      <formula>$C3075="Consegnato"</formula>
    </cfRule>
  </conditionalFormatting>
  <conditionalFormatting sqref="A3077:S3080">
    <cfRule type="expression" dxfId="370" priority="1352">
      <formula>$C3077="Già preso appuntamento"</formula>
    </cfRule>
  </conditionalFormatting>
  <conditionalFormatting sqref="A3081:S3081">
    <cfRule type="expression" dxfId="369" priority="1351">
      <formula>$C3081="Già preso appuntamento"</formula>
    </cfRule>
  </conditionalFormatting>
  <conditionalFormatting sqref="A3081:S3082 C3083">
    <cfRule type="expression" dxfId="368" priority="1343">
      <formula>$C3081="Nuovo assunto"</formula>
    </cfRule>
    <cfRule type="expression" dxfId="367" priority="1342">
      <formula>$C3081="PC in lavorazione"</formula>
    </cfRule>
    <cfRule type="expression" dxfId="366" priority="1341">
      <formula>$C3081="Priorità/Stagisti/Scorta"</formula>
    </cfRule>
    <cfRule type="expression" dxfId="365" priority="1340">
      <formula>$C3081="Consegnato"</formula>
    </cfRule>
    <cfRule type="expression" dxfId="364" priority="1339">
      <formula>$C3081="Problema/Mancato appuntamento"</formula>
    </cfRule>
    <cfRule type="expression" dxfId="363" priority="1338">
      <formula>$C3081="Pronto per consegna"</formula>
    </cfRule>
    <cfRule type="expression" dxfId="362" priority="1337">
      <formula>$C3081="Riassegnazione/Extra"</formula>
    </cfRule>
  </conditionalFormatting>
  <conditionalFormatting sqref="A3082:S3082 C3083">
    <cfRule type="expression" dxfId="361" priority="1336">
      <formula>$C3082="Già preso appuntamento"</formula>
    </cfRule>
  </conditionalFormatting>
  <conditionalFormatting sqref="A3084:S3086">
    <cfRule type="expression" dxfId="360" priority="1297">
      <formula>$C3084="Già preso appuntamento"</formula>
    </cfRule>
  </conditionalFormatting>
  <conditionalFormatting sqref="A3084:S3087">
    <cfRule type="expression" dxfId="359" priority="1286">
      <formula>$C3084="Consegnato"</formula>
    </cfRule>
    <cfRule type="expression" dxfId="358" priority="1284">
      <formula>$C3084="Pronto per consegna"</formula>
    </cfRule>
    <cfRule type="expression" dxfId="357" priority="1285">
      <formula>$C3084="Problema/Mancato appuntamento"</formula>
    </cfRule>
    <cfRule type="expression" dxfId="356" priority="1287">
      <formula>$C3084="Priorità/Stagisti/Scorta"</formula>
    </cfRule>
    <cfRule type="expression" dxfId="355" priority="1288">
      <formula>$C3084="PC in lavorazione"</formula>
    </cfRule>
    <cfRule type="expression" dxfId="354" priority="1283">
      <formula>$C3084="Riassegnazione/Extra"</formula>
    </cfRule>
    <cfRule type="expression" dxfId="353" priority="1289">
      <formula>$C3084="Nuovo assunto"</formula>
    </cfRule>
  </conditionalFormatting>
  <conditionalFormatting sqref="A3087:S3087">
    <cfRule type="expression" dxfId="352" priority="1282">
      <formula>$C3087="Già preso appuntamento"</formula>
    </cfRule>
  </conditionalFormatting>
  <conditionalFormatting sqref="A3088:S3090">
    <cfRule type="expression" dxfId="351" priority="1147">
      <formula>$C3088="Pronto per consegna"</formula>
    </cfRule>
    <cfRule type="expression" dxfId="350" priority="1148">
      <formula>$C3088="Problema/Mancato appuntamento"</formula>
    </cfRule>
    <cfRule type="expression" dxfId="349" priority="1146">
      <formula>$C3088="Riassegnazione/Extra"</formula>
    </cfRule>
    <cfRule type="expression" dxfId="348" priority="1149">
      <formula>$C3088="Consegnato"</formula>
    </cfRule>
    <cfRule type="expression" dxfId="347" priority="1151">
      <formula>$C3088="PC in lavorazione"</formula>
    </cfRule>
    <cfRule type="expression" dxfId="346" priority="1152">
      <formula>$C3088="Nuovo assunto"</formula>
    </cfRule>
    <cfRule type="expression" dxfId="345" priority="1153">
      <formula>$C3088="Già preso appuntamento"</formula>
    </cfRule>
    <cfRule type="expression" dxfId="344" priority="1150">
      <formula>$C3088="Priorità/Stagisti/Scorta"</formula>
    </cfRule>
  </conditionalFormatting>
  <conditionalFormatting sqref="A3094:S3096">
    <cfRule type="expression" dxfId="343" priority="1145">
      <formula>$C3094="Già preso appuntamento"</formula>
    </cfRule>
    <cfRule type="expression" dxfId="342" priority="1144">
      <formula>$C3094="Nuovo assunto"</formula>
    </cfRule>
    <cfRule type="expression" dxfId="341" priority="1143">
      <formula>$C3094="PC in lavorazione"</formula>
    </cfRule>
    <cfRule type="expression" dxfId="340" priority="1142">
      <formula>$C3094="Priorità/Stagisti/Scorta"</formula>
    </cfRule>
    <cfRule type="expression" dxfId="339" priority="1141">
      <formula>$C3094="Consegnato"</formula>
    </cfRule>
    <cfRule type="expression" dxfId="338" priority="1138">
      <formula>$C3094="Riassegnazione/Extra"</formula>
    </cfRule>
    <cfRule type="expression" dxfId="337" priority="1140">
      <formula>$C3094="Problema/Mancato appuntamento"</formula>
    </cfRule>
    <cfRule type="expression" dxfId="336" priority="1139">
      <formula>$C3094="Pronto per consegna"</formula>
    </cfRule>
  </conditionalFormatting>
  <conditionalFormatting sqref="A3098:S3098">
    <cfRule type="expression" dxfId="335" priority="1129">
      <formula>$C3098="Già preso appuntamento"</formula>
    </cfRule>
    <cfRule type="expression" dxfId="334" priority="1125">
      <formula>$C3098="Consegnato"</formula>
    </cfRule>
    <cfRule type="expression" dxfId="333" priority="1126">
      <formula>$C3098="Priorità/Stagisti/Scorta"</formula>
    </cfRule>
    <cfRule type="expression" dxfId="332" priority="1127">
      <formula>$C3098="PC in lavorazione"</formula>
    </cfRule>
    <cfRule type="expression" dxfId="331" priority="1128">
      <formula>$C3098="Nuovo assunto"</formula>
    </cfRule>
    <cfRule type="expression" dxfId="330" priority="1122">
      <formula>$C3098="Riassegnazione/Extra"</formula>
    </cfRule>
    <cfRule type="expression" dxfId="329" priority="1123">
      <formula>$C3098="Pronto per consegna"</formula>
    </cfRule>
    <cfRule type="expression" dxfId="328" priority="1124">
      <formula>$C3098="Problema/Mancato appuntamento"</formula>
    </cfRule>
  </conditionalFormatting>
  <conditionalFormatting sqref="A3103:S3103">
    <cfRule type="expression" dxfId="327" priority="1091">
      <formula>$C3103="Pronto per consegna"</formula>
    </cfRule>
    <cfRule type="expression" dxfId="326" priority="1092">
      <formula>$C3103="Problema/Mancato appuntamento"</formula>
    </cfRule>
    <cfRule type="expression" dxfId="325" priority="1090">
      <formula>$C3103="Riassegnazione/Extra"</formula>
    </cfRule>
    <cfRule type="expression" dxfId="324" priority="1093">
      <formula>$C3103="Consegnato"</formula>
    </cfRule>
    <cfRule type="expression" dxfId="323" priority="1094">
      <formula>$C3103="Priorità/Stagisti/Scorta"</formula>
    </cfRule>
    <cfRule type="expression" dxfId="322" priority="1095">
      <formula>$C3103="PC in lavorazione"</formula>
    </cfRule>
    <cfRule type="expression" dxfId="321" priority="1097">
      <formula>$C3103="Già preso appuntamento"</formula>
    </cfRule>
    <cfRule type="expression" dxfId="320" priority="1096">
      <formula>$C3103="Nuovo assunto"</formula>
    </cfRule>
  </conditionalFormatting>
  <conditionalFormatting sqref="A3106:S3106">
    <cfRule type="expression" dxfId="319" priority="1070">
      <formula>$C3106="Consegnato"</formula>
    </cfRule>
    <cfRule type="expression" dxfId="318" priority="1069">
      <formula>$C3106="Problema/Mancato appuntamento"</formula>
    </cfRule>
    <cfRule type="expression" dxfId="317" priority="1066">
      <formula>$C3106="Già preso appuntamento"</formula>
    </cfRule>
    <cfRule type="expression" dxfId="316" priority="1067">
      <formula>$C3106="Riassegnazione/Extra"</formula>
    </cfRule>
    <cfRule type="expression" dxfId="315" priority="1068">
      <formula>$C3106="Pronto per consegna"</formula>
    </cfRule>
    <cfRule type="expression" dxfId="314" priority="1073">
      <formula>$C3106="Nuovo assunto"</formula>
    </cfRule>
    <cfRule type="expression" dxfId="313" priority="1072">
      <formula>$C3106="PC in lavorazione"</formula>
    </cfRule>
    <cfRule type="expression" dxfId="312" priority="1071">
      <formula>$C3106="Priorità/Stagisti/Scorta"</formula>
    </cfRule>
  </conditionalFormatting>
  <conditionalFormatting sqref="A3111:S3112">
    <cfRule type="expression" dxfId="311" priority="1024">
      <formula>$C3111="Nuovo assunto"</formula>
    </cfRule>
    <cfRule type="expression" dxfId="310" priority="1022">
      <formula>$C3111="Priorità/Stagisti/Scorta"</formula>
    </cfRule>
    <cfRule type="expression" dxfId="309" priority="1019">
      <formula>$C3111="Pronto per consegna"</formula>
    </cfRule>
    <cfRule type="expression" dxfId="308" priority="1023">
      <formula>$C3111="PC in lavorazione"</formula>
    </cfRule>
    <cfRule type="expression" dxfId="307" priority="1018">
      <formula>$C3111="Riassegnazione/Extra"</formula>
    </cfRule>
    <cfRule type="expression" dxfId="306" priority="1020">
      <formula>$C3111="Problema/Mancato appuntamento"</formula>
    </cfRule>
    <cfRule type="expression" dxfId="305" priority="1021">
      <formula>$C3111="Consegnato"</formula>
    </cfRule>
    <cfRule type="expression" dxfId="304" priority="1025">
      <formula>$C3111="Già preso appuntamento"</formula>
    </cfRule>
  </conditionalFormatting>
  <conditionalFormatting sqref="A3118:S3120">
    <cfRule type="expression" dxfId="303" priority="972">
      <formula>$C3118="Pronto per consegna"</formula>
    </cfRule>
    <cfRule type="expression" dxfId="302" priority="971">
      <formula>$C3118="Riassegnazione/Extra"</formula>
    </cfRule>
    <cfRule type="expression" dxfId="301" priority="970">
      <formula>$C3118="Già preso appuntamento"</formula>
    </cfRule>
    <cfRule type="expression" dxfId="300" priority="977">
      <formula>$C3118="Nuovo assunto"</formula>
    </cfRule>
    <cfRule type="expression" dxfId="299" priority="976">
      <formula>$C3118="PC in lavorazione"</formula>
    </cfRule>
    <cfRule type="expression" dxfId="298" priority="975">
      <formula>$C3118="Priorità/Stagisti/Scorta"</formula>
    </cfRule>
    <cfRule type="expression" dxfId="297" priority="974">
      <formula>$C3118="Consegnato"</formula>
    </cfRule>
    <cfRule type="expression" dxfId="296" priority="973">
      <formula>$C3118="Problema/Mancato appuntamento"</formula>
    </cfRule>
  </conditionalFormatting>
  <conditionalFormatting sqref="A3126:S3126">
    <cfRule type="expression" dxfId="295" priority="933">
      <formula>$C3126="Problema/Mancato appuntamento"</formula>
    </cfRule>
    <cfRule type="expression" dxfId="294" priority="935">
      <formula>$C3126="Priorità/Stagisti/Scorta"</formula>
    </cfRule>
    <cfRule type="expression" dxfId="293" priority="937">
      <formula>$C3126="Nuovo assunto"</formula>
    </cfRule>
    <cfRule type="expression" dxfId="292" priority="936">
      <formula>$C3126="PC in lavorazione"</formula>
    </cfRule>
    <cfRule type="expression" dxfId="291" priority="934">
      <formula>$C3126="Consegnato"</formula>
    </cfRule>
    <cfRule type="expression" dxfId="290" priority="930">
      <formula>$C3126="Già preso appuntamento"</formula>
    </cfRule>
    <cfRule type="expression" dxfId="289" priority="931">
      <formula>$C3126="Riassegnazione/Extra"</formula>
    </cfRule>
    <cfRule type="expression" dxfId="288" priority="932">
      <formula>$C3126="Pronto per consegna"</formula>
    </cfRule>
  </conditionalFormatting>
  <conditionalFormatting sqref="A3127:S3127">
    <cfRule type="expression" dxfId="287" priority="929">
      <formula>$C3127="Già preso appuntamento"</formula>
    </cfRule>
    <cfRule type="expression" dxfId="286" priority="928">
      <formula>$C3127="Nuovo assunto"</formula>
    </cfRule>
    <cfRule type="expression" dxfId="285" priority="927">
      <formula>$C3127="PC in lavorazione"</formula>
    </cfRule>
    <cfRule type="expression" dxfId="284" priority="923">
      <formula>$C3127="Pronto per consegna"</formula>
    </cfRule>
    <cfRule type="expression" dxfId="283" priority="926">
      <formula>$C3127="Priorità/Stagisti/Scorta"</formula>
    </cfRule>
    <cfRule type="expression" dxfId="282" priority="925">
      <formula>$C3127="Consegnato"</formula>
    </cfRule>
    <cfRule type="expression" dxfId="281" priority="924">
      <formula>$C3127="Problema/Mancato appuntamento"</formula>
    </cfRule>
    <cfRule type="expression" dxfId="280" priority="922">
      <formula>$C3127="Riassegnazione/Extra"</formula>
    </cfRule>
  </conditionalFormatting>
  <conditionalFormatting sqref="A3135:S3135">
    <cfRule type="expression" dxfId="279" priority="894">
      <formula>$C3135="Priorità/Stagisti/Scorta"</formula>
    </cfRule>
    <cfRule type="expression" dxfId="278" priority="893">
      <formula>$C3135="Consegnato"</formula>
    </cfRule>
    <cfRule type="expression" dxfId="277" priority="892">
      <formula>$C3135="Problema/Mancato appuntamento"</formula>
    </cfRule>
    <cfRule type="expression" dxfId="276" priority="891">
      <formula>$C3135="Pronto per consegna"</formula>
    </cfRule>
    <cfRule type="expression" dxfId="275" priority="896">
      <formula>$C3135="Nuovo assunto"</formula>
    </cfRule>
    <cfRule type="expression" dxfId="274" priority="895">
      <formula>$C3135="PC in lavorazione"</formula>
    </cfRule>
    <cfRule type="expression" dxfId="273" priority="890">
      <formula>$C3135="Riassegnazione/Extra"</formula>
    </cfRule>
    <cfRule type="expression" dxfId="272" priority="897">
      <formula>$C3135="Già preso appuntamento"</formula>
    </cfRule>
  </conditionalFormatting>
  <conditionalFormatting sqref="A3140:S3140">
    <cfRule type="expression" dxfId="271" priority="850">
      <formula>$C3140="Già preso appuntamento"</formula>
    </cfRule>
    <cfRule type="expression" dxfId="270" priority="852">
      <formula>$C3140="Pronto per consegna"</formula>
    </cfRule>
    <cfRule type="expression" dxfId="269" priority="853">
      <formula>$C3140="Problema/Mancato appuntamento"</formula>
    </cfRule>
    <cfRule type="expression" dxfId="268" priority="854">
      <formula>$C3140="Consegnato"</formula>
    </cfRule>
    <cfRule type="expression" dxfId="267" priority="851">
      <formula>$C3140="Riassegnazione/Extra"</formula>
    </cfRule>
    <cfRule type="expression" dxfId="266" priority="855">
      <formula>$C3140="Priorità/Stagisti/Scorta"</formula>
    </cfRule>
    <cfRule type="expression" dxfId="265" priority="856">
      <formula>$C3140="PC in lavorazione"</formula>
    </cfRule>
    <cfRule type="expression" dxfId="264" priority="857">
      <formula>$C3140="Nuovo assunto"</formula>
    </cfRule>
  </conditionalFormatting>
  <conditionalFormatting sqref="A3142:S3142">
    <cfRule type="expression" dxfId="263" priority="841">
      <formula>$C3142="Già preso appuntamento"</formula>
    </cfRule>
    <cfRule type="expression" dxfId="262" priority="840">
      <formula>$C3142="Nuovo assunto"</formula>
    </cfRule>
    <cfRule type="expression" dxfId="261" priority="839">
      <formula>$C3142="PC in lavorazione"</formula>
    </cfRule>
    <cfRule type="expression" dxfId="260" priority="838">
      <formula>$C3142="Priorità/Stagisti/Scorta"</formula>
    </cfRule>
    <cfRule type="expression" dxfId="259" priority="837">
      <formula>$C3142="Consegnato"</formula>
    </cfRule>
    <cfRule type="expression" dxfId="258" priority="836">
      <formula>$C3142="Problema/Mancato appuntamento"</formula>
    </cfRule>
    <cfRule type="expression" dxfId="257" priority="835">
      <formula>$C3142="Pronto per consegna"</formula>
    </cfRule>
    <cfRule type="expression" dxfId="256" priority="834">
      <formula>$C3142="Riassegnazione/Extra"</formula>
    </cfRule>
  </conditionalFormatting>
  <conditionalFormatting sqref="A3156:S3158">
    <cfRule type="expression" dxfId="255" priority="773">
      <formula>$C3156="Consegnato"</formula>
    </cfRule>
    <cfRule type="expression" dxfId="254" priority="777">
      <formula>$C3156="Già preso appuntamento"</formula>
    </cfRule>
    <cfRule type="expression" dxfId="253" priority="776">
      <formula>$C3156="Nuovo assunto"</formula>
    </cfRule>
    <cfRule type="expression" dxfId="252" priority="775">
      <formula>$C3156="PC in lavorazione"</formula>
    </cfRule>
    <cfRule type="expression" dxfId="251" priority="774">
      <formula>$C3156="Priorità/Stagisti/Scorta"</formula>
    </cfRule>
    <cfRule type="expression" dxfId="250" priority="772">
      <formula>$C3156="Problema/Mancato appuntamento"</formula>
    </cfRule>
    <cfRule type="expression" dxfId="249" priority="771">
      <formula>$C3156="Pronto per consegna"</formula>
    </cfRule>
    <cfRule type="expression" dxfId="248" priority="770">
      <formula>$C3156="Riassegnazione/Extra"</formula>
    </cfRule>
  </conditionalFormatting>
  <conditionalFormatting sqref="A3164:S3164">
    <cfRule type="expression" dxfId="247" priority="761">
      <formula>$C3164="Già preso appuntamento"</formula>
    </cfRule>
    <cfRule type="expression" dxfId="246" priority="760">
      <formula>$C3164="Nuovo assunto"</formula>
    </cfRule>
    <cfRule type="expression" dxfId="245" priority="759">
      <formula>$C3164="PC in lavorazione"</formula>
    </cfRule>
    <cfRule type="expression" dxfId="244" priority="758">
      <formula>$C3164="Priorità/Stagisti/Scorta"</formula>
    </cfRule>
    <cfRule type="expression" dxfId="243" priority="757">
      <formula>$C3164="Consegnato"</formula>
    </cfRule>
    <cfRule type="expression" dxfId="242" priority="756">
      <formula>$C3164="Problema/Mancato appuntamento"</formula>
    </cfRule>
    <cfRule type="expression" dxfId="241" priority="755">
      <formula>$C3164="Pronto per consegna"</formula>
    </cfRule>
    <cfRule type="expression" dxfId="240" priority="754">
      <formula>$C3164="Riassegnazione/Extra"</formula>
    </cfRule>
  </conditionalFormatting>
  <conditionalFormatting sqref="A3170:S3170 C3171:C3172 D3172">
    <cfRule type="expression" dxfId="239" priority="729">
      <formula>$C3170="Nuovo assunto"</formula>
    </cfRule>
    <cfRule type="expression" dxfId="238" priority="728">
      <formula>$C3170="PC in lavorazione"</formula>
    </cfRule>
    <cfRule type="expression" dxfId="237" priority="727">
      <formula>$C3170="Priorità/Stagisti/Scorta"</formula>
    </cfRule>
    <cfRule type="expression" dxfId="236" priority="726">
      <formula>$C3170="Consegnato"</formula>
    </cfRule>
    <cfRule type="expression" dxfId="235" priority="725">
      <formula>$C3170="Problema/Mancato appuntamento"</formula>
    </cfRule>
    <cfRule type="expression" dxfId="234" priority="724">
      <formula>$C3170="Pronto per consegna"</formula>
    </cfRule>
    <cfRule type="expression" dxfId="233" priority="723">
      <formula>$C3170="Riassegnazione/Extra"</formula>
    </cfRule>
    <cfRule type="expression" dxfId="232" priority="722">
      <formula>$C3170="Già preso appuntamento"</formula>
    </cfRule>
  </conditionalFormatting>
  <conditionalFormatting sqref="A3174:S3175">
    <cfRule type="expression" dxfId="231" priority="676">
      <formula>$C3174="Pronto per consegna"</formula>
    </cfRule>
    <cfRule type="expression" dxfId="230" priority="677">
      <formula>$C3174="Problema/Mancato appuntamento"</formula>
    </cfRule>
    <cfRule type="expression" dxfId="229" priority="678">
      <formula>$C3174="Consegnato"</formula>
    </cfRule>
    <cfRule type="expression" dxfId="228" priority="679">
      <formula>$C3174="Priorità/Stagisti/Scorta"</formula>
    </cfRule>
    <cfRule type="expression" dxfId="227" priority="680">
      <formula>$C3174="PC in lavorazione"</formula>
    </cfRule>
    <cfRule type="expression" dxfId="226" priority="681">
      <formula>$C3174="Nuovo assunto"</formula>
    </cfRule>
    <cfRule type="expression" dxfId="225" priority="674">
      <formula>$C3174="Già preso appuntamento"</formula>
    </cfRule>
    <cfRule type="expression" dxfId="224" priority="675">
      <formula>$C3174="Riassegnazione/Extra"</formula>
    </cfRule>
  </conditionalFormatting>
  <conditionalFormatting sqref="A3178:S3178">
    <cfRule type="expression" dxfId="223" priority="654">
      <formula>$C3178="Consegnato"</formula>
    </cfRule>
    <cfRule type="expression" dxfId="222" priority="655">
      <formula>$C3178="Priorità/Stagisti/Scorta"</formula>
    </cfRule>
    <cfRule type="expression" dxfId="221" priority="656">
      <formula>$C3178="PC in lavorazione"</formula>
    </cfRule>
    <cfRule type="expression" dxfId="220" priority="657">
      <formula>$C3178="Nuovo assunto"</formula>
    </cfRule>
    <cfRule type="expression" dxfId="219" priority="650">
      <formula>$C3178="Già preso appuntamento"</formula>
    </cfRule>
    <cfRule type="expression" dxfId="218" priority="651">
      <formula>$C3178="Riassegnazione/Extra"</formula>
    </cfRule>
    <cfRule type="expression" dxfId="217" priority="652">
      <formula>$C3178="Pronto per consegna"</formula>
    </cfRule>
    <cfRule type="expression" dxfId="216" priority="653">
      <formula>$C3178="Problema/Mancato appuntamento"</formula>
    </cfRule>
  </conditionalFormatting>
  <conditionalFormatting sqref="A3180:S3180">
    <cfRule type="expression" dxfId="215" priority="639">
      <formula>$C3180="PC in lavorazione"</formula>
    </cfRule>
    <cfRule type="expression" dxfId="214" priority="638">
      <formula>$C3180="Priorità/Stagisti/Scorta"</formula>
    </cfRule>
    <cfRule type="expression" dxfId="213" priority="637">
      <formula>$C3180="Consegnato"</formula>
    </cfRule>
    <cfRule type="expression" dxfId="212" priority="636">
      <formula>$C3180="Problema/Mancato appuntamento"</formula>
    </cfRule>
    <cfRule type="expression" dxfId="211" priority="635">
      <formula>$C3180="Pronto per consegna"</formula>
    </cfRule>
    <cfRule type="expression" dxfId="210" priority="634">
      <formula>$C3180="Riassegnazione/Extra"</formula>
    </cfRule>
    <cfRule type="expression" dxfId="209" priority="640">
      <formula>$C3180="Nuovo assunto"</formula>
    </cfRule>
    <cfRule type="expression" dxfId="208" priority="641">
      <formula>$C3180="Già preso appuntamento"</formula>
    </cfRule>
  </conditionalFormatting>
  <conditionalFormatting sqref="A3184:S3184">
    <cfRule type="expression" dxfId="207" priority="609">
      <formula>$C3184="Già preso appuntamento"</formula>
    </cfRule>
  </conditionalFormatting>
  <conditionalFormatting sqref="A3184:S3185 L3186:O3187">
    <cfRule type="expression" dxfId="206" priority="593">
      <formula>$C3184="Nuovo assunto"</formula>
    </cfRule>
    <cfRule type="expression" dxfId="205" priority="592">
      <formula>$C3184="PC in lavorazione"</formula>
    </cfRule>
    <cfRule type="expression" dxfId="204" priority="591">
      <formula>$C3184="Priorità/Stagisti/Scorta"</formula>
    </cfRule>
    <cfRule type="expression" dxfId="203" priority="590">
      <formula>$C3184="Consegnato"</formula>
    </cfRule>
    <cfRule type="expression" dxfId="202" priority="589">
      <formula>$C3184="Problema/Mancato appuntamento"</formula>
    </cfRule>
    <cfRule type="expression" dxfId="201" priority="587">
      <formula>$C3184="Riassegnazione/Extra"</formula>
    </cfRule>
    <cfRule type="expression" dxfId="200" priority="588">
      <formula>$C3184="Pronto per consegna"</formula>
    </cfRule>
  </conditionalFormatting>
  <conditionalFormatting sqref="A3185:S3185 L3186:O3187">
    <cfRule type="expression" dxfId="199" priority="586">
      <formula>$C3185="Già preso appuntamento"</formula>
    </cfRule>
  </conditionalFormatting>
  <conditionalFormatting sqref="A3214:S3214">
    <cfRule type="expression" dxfId="198" priority="373">
      <formula>$C3214="Problema/Mancato appuntamento"</formula>
    </cfRule>
    <cfRule type="expression" dxfId="197" priority="374">
      <formula>$C3214="Consegnato"</formula>
    </cfRule>
    <cfRule type="expression" dxfId="196" priority="377">
      <formula>$C3214="Nuovo assunto"</formula>
    </cfRule>
    <cfRule type="expression" dxfId="195" priority="376">
      <formula>$C3214="PC in lavorazione"</formula>
    </cfRule>
    <cfRule type="expression" dxfId="194" priority="375">
      <formula>$C3214="Priorità/Stagisti/Scorta"</formula>
    </cfRule>
    <cfRule type="expression" dxfId="193" priority="370">
      <formula>$C3214="Già preso appuntamento"</formula>
    </cfRule>
    <cfRule type="expression" dxfId="192" priority="371">
      <formula>$C3214="Riassegnazione/Extra"</formula>
    </cfRule>
    <cfRule type="expression" dxfId="191" priority="372">
      <formula>$C3214="Pronto per consegna"</formula>
    </cfRule>
  </conditionalFormatting>
  <conditionalFormatting sqref="A3215:S3215">
    <cfRule type="expression" dxfId="190" priority="363">
      <formula>$C3215="Pronto per consegna"</formula>
    </cfRule>
    <cfRule type="expression" dxfId="189" priority="369">
      <formula>$C3215="Già preso appuntamento"</formula>
    </cfRule>
    <cfRule type="expression" dxfId="188" priority="364">
      <formula>$C3215="Problema/Mancato appuntamento"</formula>
    </cfRule>
    <cfRule type="expression" dxfId="187" priority="365">
      <formula>$C3215="Consegnato"</formula>
    </cfRule>
    <cfRule type="expression" dxfId="186" priority="366">
      <formula>$C3215="Priorità/Stagisti/Scorta"</formula>
    </cfRule>
    <cfRule type="expression" dxfId="185" priority="367">
      <formula>$C3215="PC in lavorazione"</formula>
    </cfRule>
    <cfRule type="expression" dxfId="184" priority="368">
      <formula>$C3215="Nuovo assunto"</formula>
    </cfRule>
    <cfRule type="expression" dxfId="183" priority="362">
      <formula>$C3215="Riassegnazione/Extra"</formula>
    </cfRule>
  </conditionalFormatting>
  <conditionalFormatting sqref="B2359">
    <cfRule type="expression" dxfId="182" priority="6925">
      <formula>$C2346="Consegnato"</formula>
    </cfRule>
    <cfRule type="expression" dxfId="181" priority="6926">
      <formula>$C2346="Priorità/Stagisti/Scorta"</formula>
    </cfRule>
    <cfRule type="expression" dxfId="180" priority="6927">
      <formula>$C2346="PC in lavorazione"</formula>
    </cfRule>
    <cfRule type="expression" dxfId="179" priority="6928">
      <formula>$C2346="Già preso appuntamento"</formula>
    </cfRule>
    <cfRule type="expression" dxfId="178" priority="6924">
      <formula>$C2346="Problema/Mancato appuntamento"</formula>
    </cfRule>
    <cfRule type="expression" dxfId="177" priority="6922">
      <formula>$C2346="Nuovo Assunto"</formula>
    </cfRule>
    <cfRule type="expression" dxfId="176" priority="6923">
      <formula>$C2346="Pronto per consegna"</formula>
    </cfRule>
  </conditionalFormatting>
  <conditionalFormatting sqref="B2418">
    <cfRule type="expression" dxfId="175" priority="6381">
      <formula>$C3305="PC in lavorazione"</formula>
    </cfRule>
    <cfRule type="expression" dxfId="174" priority="6387">
      <formula>$C3305="Priorità/Stagisti/Scorta"</formula>
    </cfRule>
    <cfRule type="expression" dxfId="173" priority="6382">
      <formula>$C3305="Già preso appuntamento"</formula>
    </cfRule>
    <cfRule type="expression" dxfId="172" priority="6383">
      <formula>$C3305="Nuovo Assunto"</formula>
    </cfRule>
    <cfRule type="expression" dxfId="171" priority="6384">
      <formula>$C3305="Pronto per consegna"</formula>
    </cfRule>
    <cfRule type="expression" dxfId="170" priority="6385">
      <formula>$C3305="Problema/Mancato appuntamento"</formula>
    </cfRule>
    <cfRule type="expression" dxfId="169" priority="6386">
      <formula>$C3305="Consegnato"</formula>
    </cfRule>
  </conditionalFormatting>
  <conditionalFormatting sqref="B2424">
    <cfRule type="expression" dxfId="168" priority="6374">
      <formula>$C3314="PC in lavorazione"</formula>
    </cfRule>
    <cfRule type="expression" dxfId="167" priority="6375">
      <formula>$C3314="Già preso appuntamento"</formula>
    </cfRule>
    <cfRule type="expression" dxfId="166" priority="6376">
      <formula>$C3314="Nuovo Assunto"</formula>
    </cfRule>
    <cfRule type="expression" dxfId="165" priority="6379">
      <formula>$C3314="Consegnato"</formula>
    </cfRule>
    <cfRule type="expression" dxfId="164" priority="6377">
      <formula>$C3314="Pronto per consegna"</formula>
    </cfRule>
    <cfRule type="expression" dxfId="163" priority="6380">
      <formula>$C3314="Priorità/Stagisti/Scorta"</formula>
    </cfRule>
    <cfRule type="expression" dxfId="162" priority="6378">
      <formula>$C3314="Problema/Mancato appuntamento"</formula>
    </cfRule>
  </conditionalFormatting>
  <conditionalFormatting sqref="B2434">
    <cfRule type="expression" dxfId="161" priority="6310">
      <formula>$C3351="Già preso appuntamento"</formula>
    </cfRule>
    <cfRule type="expression" dxfId="160" priority="6316">
      <formula>$C3338="Nuovo assunto"</formula>
    </cfRule>
    <cfRule type="expression" dxfId="159" priority="6315">
      <formula>$C3338="PC in lavorazione"</formula>
    </cfRule>
    <cfRule type="expression" dxfId="158" priority="6314">
      <formula>$C3338="Priorità/Stagisti/Scorta"</formula>
    </cfRule>
    <cfRule type="expression" dxfId="157" priority="6311">
      <formula>$C3338="Pronto per consegna"</formula>
    </cfRule>
    <cfRule type="expression" dxfId="156" priority="6317">
      <formula>$C3338="Già preso appuntamento"</formula>
    </cfRule>
    <cfRule type="expression" dxfId="155" priority="6312">
      <formula>$C3338="Problema/Mancato appuntamento"</formula>
    </cfRule>
    <cfRule type="expression" dxfId="154" priority="6309">
      <formula>$C3351="PC in lavorazione"</formula>
    </cfRule>
    <cfRule type="expression" dxfId="153" priority="6308">
      <formula>$C3351="Priorità/Stagisti/Scorta"</formula>
    </cfRule>
    <cfRule type="expression" dxfId="152" priority="6307">
      <formula>$C3351="Consegnato"</formula>
    </cfRule>
    <cfRule type="expression" dxfId="151" priority="6306">
      <formula>$C3351="Problema/Mancato appuntamento"</formula>
    </cfRule>
    <cfRule type="expression" dxfId="150" priority="6304">
      <formula>$C3351="Nuovo assunto"</formula>
    </cfRule>
    <cfRule type="expression" dxfId="149" priority="6313">
      <formula>$C3338="Consegnato"</formula>
    </cfRule>
    <cfRule type="expression" dxfId="148" priority="6305">
      <formula>$C3351="Pronto per consegna"</formula>
    </cfRule>
  </conditionalFormatting>
  <conditionalFormatting sqref="B2438">
    <cfRule type="expression" dxfId="147" priority="6279">
      <formula>$C3342="Già preso appuntamento"</formula>
    </cfRule>
    <cfRule type="expression" dxfId="146" priority="6280">
      <formula>$C3342="Nuovo Assunto"</formula>
    </cfRule>
    <cfRule type="expression" dxfId="145" priority="6281">
      <formula>$C3342="Pronto per consegna"</formula>
    </cfRule>
    <cfRule type="expression" dxfId="144" priority="6282">
      <formula>$C3342="Problema/Mancato appuntamento"</formula>
    </cfRule>
    <cfRule type="expression" dxfId="143" priority="6278">
      <formula>$C3342="PC in lavorazione"</formula>
    </cfRule>
    <cfRule type="expression" dxfId="142" priority="6284">
      <formula>$C3342="Priorità/Stagisti/Scorta"</formula>
    </cfRule>
    <cfRule type="expression" dxfId="141" priority="6283">
      <formula>$C3342="Consegnato"</formula>
    </cfRule>
  </conditionalFormatting>
  <conditionalFormatting sqref="B2439">
    <cfRule type="expression" dxfId="140" priority="6277">
      <formula>$C3347="Priorità/Stagisti/Scorta"</formula>
    </cfRule>
    <cfRule type="expression" dxfId="139" priority="6272">
      <formula>$C3347="Già preso appuntamento"</formula>
    </cfRule>
    <cfRule type="expression" dxfId="138" priority="6273">
      <formula>$C3347="Nuovo Assunto"</formula>
    </cfRule>
    <cfRule type="expression" dxfId="137" priority="6271">
      <formula>$C3347="PC in lavorazione"</formula>
    </cfRule>
    <cfRule type="expression" dxfId="136" priority="6274">
      <formula>$C3347="Pronto per consegna"</formula>
    </cfRule>
    <cfRule type="expression" dxfId="135" priority="6275">
      <formula>$C3347="Problema/Mancato appuntamento"</formula>
    </cfRule>
    <cfRule type="expression" dxfId="134" priority="6276">
      <formula>$C3347="Consegnato"</formula>
    </cfRule>
  </conditionalFormatting>
  <conditionalFormatting sqref="B2447">
    <cfRule type="expression" dxfId="133" priority="6222">
      <formula>$C3339="PC in lavorazione"</formula>
    </cfRule>
    <cfRule type="expression" dxfId="132" priority="6227">
      <formula>$C3339="Consegnato"</formula>
    </cfRule>
    <cfRule type="expression" dxfId="131" priority="6228">
      <formula>$C3339="Priorità/Stagisti/Scorta"</formula>
    </cfRule>
    <cfRule type="expression" dxfId="130" priority="6223">
      <formula>$C3339="Già preso appuntamento"</formula>
    </cfRule>
    <cfRule type="expression" dxfId="129" priority="6224">
      <formula>$C3339="Nuovo Assunto"</formula>
    </cfRule>
    <cfRule type="expression" dxfId="128" priority="6225">
      <formula>$C3339="Pronto per consegna"</formula>
    </cfRule>
    <cfRule type="expression" dxfId="127" priority="6226">
      <formula>$C3339="Problema/Mancato appuntamento"</formula>
    </cfRule>
  </conditionalFormatting>
  <conditionalFormatting sqref="B2590">
    <cfRule type="expression" dxfId="126" priority="4942">
      <formula>$C2590="Già preso appuntamento"</formula>
    </cfRule>
    <cfRule type="expression" dxfId="125" priority="4943">
      <formula>$C2590="Pronto per consegna"</formula>
    </cfRule>
    <cfRule type="expression" dxfId="124" priority="4944">
      <formula>$C2590="Problema/Mancato appuntamento"</formula>
    </cfRule>
    <cfRule type="expression" dxfId="123" priority="4945">
      <formula>$C2590="Consegnato"</formula>
    </cfRule>
    <cfRule type="expression" dxfId="122" priority="4946">
      <formula>$C2590="Priorità/Stagisti/Scorta"</formula>
    </cfRule>
    <cfRule type="expression" dxfId="121" priority="4948">
      <formula>$C2590="Nuovo assunto"</formula>
    </cfRule>
    <cfRule type="expression" dxfId="120" priority="4949">
      <formula>$C2590="Già preso appuntamento"</formula>
    </cfRule>
    <cfRule type="expression" dxfId="119" priority="4947">
      <formula>$C2590="PC in lavorazione"</formula>
    </cfRule>
    <cfRule type="expression" dxfId="118" priority="4936">
      <formula>$C2590="Pronto per consegna"</formula>
    </cfRule>
    <cfRule type="expression" dxfId="117" priority="4937">
      <formula>$C2590="Problema/Mancato appuntamento"</formula>
    </cfRule>
    <cfRule type="expression" dxfId="116" priority="4938">
      <formula>$C2590="Consegnato"</formula>
    </cfRule>
    <cfRule type="expression" dxfId="115" priority="4939">
      <formula>$C2590="Priorità/Stagisti/Scorta"</formula>
    </cfRule>
    <cfRule type="expression" dxfId="114" priority="4940">
      <formula>$C2590="PC in lavorazione"</formula>
    </cfRule>
    <cfRule type="expression" dxfId="113" priority="4941">
      <formula>$C2590="Nuovo assunto"</formula>
    </cfRule>
  </conditionalFormatting>
  <conditionalFormatting sqref="B3285">
    <cfRule type="expression" dxfId="112" priority="1702">
      <formula>#REF!="Consegnato"</formula>
    </cfRule>
    <cfRule type="expression" dxfId="111" priority="1703">
      <formula>#REF!="Priorità/Stagisti/Scorta"</formula>
    </cfRule>
    <cfRule type="expression" dxfId="110" priority="1704">
      <formula>#REF!="PC in lavorazione"</formula>
    </cfRule>
    <cfRule type="expression" dxfId="109" priority="1705">
      <formula>#REF!="Nuovo assunto"</formula>
    </cfRule>
    <cfRule type="expression" dxfId="108" priority="1700">
      <formula>#REF!="Pronto per consegna"</formula>
    </cfRule>
    <cfRule type="expression" dxfId="107" priority="1706">
      <formula>#REF!="Già preso appuntamento"</formula>
    </cfRule>
    <cfRule type="expression" dxfId="106" priority="1701">
      <formula>#REF!="Problema/Mancato appuntamento"</formula>
    </cfRule>
    <cfRule type="expression" dxfId="105" priority="1699">
      <formula>#REF!="Riassegnazione/Extra"</formula>
    </cfRule>
  </conditionalFormatting>
  <conditionalFormatting sqref="B3285:B3293">
    <cfRule type="expression" dxfId="104" priority="1683">
      <formula>#REF!="Riassegnazione/Extra"</formula>
    </cfRule>
    <cfRule type="expression" dxfId="103" priority="1690">
      <formula>#REF!="Già preso appuntamento"</formula>
    </cfRule>
    <cfRule type="expression" dxfId="102" priority="1684">
      <formula>#REF!="Pronto per consegna"</formula>
    </cfRule>
    <cfRule type="expression" dxfId="101" priority="1685">
      <formula>#REF!="Problema/Mancato appuntamento"</formula>
    </cfRule>
    <cfRule type="expression" dxfId="100" priority="1686">
      <formula>#REF!="Consegnato"</formula>
    </cfRule>
    <cfRule type="expression" dxfId="99" priority="1687">
      <formula>#REF!="Priorità/Stagisti/Scorta"</formula>
    </cfRule>
    <cfRule type="expression" dxfId="98" priority="1689">
      <formula>#REF!="Nuovo assunto"</formula>
    </cfRule>
    <cfRule type="expression" dxfId="97" priority="1688">
      <formula>#REF!="PC in lavorazione"</formula>
    </cfRule>
  </conditionalFormatting>
  <conditionalFormatting sqref="B3286">
    <cfRule type="expression" dxfId="96" priority="1693">
      <formula>$C3286="Problema/Mancato appuntamento"</formula>
    </cfRule>
    <cfRule type="expression" dxfId="95" priority="1698">
      <formula>$C3286="Già preso appuntamento"</formula>
    </cfRule>
    <cfRule type="expression" dxfId="94" priority="1697">
      <formula>$C3286="Nuovo assunto"</formula>
    </cfRule>
    <cfRule type="expression" dxfId="93" priority="1696">
      <formula>$C3286="PC in lavorazione"</formula>
    </cfRule>
    <cfRule type="expression" dxfId="92" priority="1695">
      <formula>$C3286="Priorità/Stagisti/Scorta"</formula>
    </cfRule>
    <cfRule type="expression" dxfId="91" priority="1694">
      <formula>$C3286="Consegnato"</formula>
    </cfRule>
    <cfRule type="expression" dxfId="90" priority="1692">
      <formula>$C3286="Pronto per consegna"</formula>
    </cfRule>
    <cfRule type="expression" dxfId="89" priority="1691">
      <formula>$C3286="Riassegnazione/Extra"</formula>
    </cfRule>
  </conditionalFormatting>
  <conditionalFormatting sqref="D3171:S3171">
    <cfRule type="expression" dxfId="88" priority="715">
      <formula>$C3171="Pronto per consegna"</formula>
    </cfRule>
    <cfRule type="expression" dxfId="87" priority="716">
      <formula>$C3171="Problema/Mancato appuntamento"</formula>
    </cfRule>
    <cfRule type="expression" dxfId="86" priority="717">
      <formula>$C3171="Consegnato"</formula>
    </cfRule>
    <cfRule type="expression" dxfId="85" priority="720">
      <formula>$C3171="Nuovo assunto"</formula>
    </cfRule>
    <cfRule type="expression" dxfId="84" priority="721">
      <formula>$C3171="Già preso appuntamento"</formula>
    </cfRule>
    <cfRule type="expression" dxfId="83" priority="718">
      <formula>$C3171="Priorità/Stagisti/Scorta"</formula>
    </cfRule>
    <cfRule type="expression" dxfId="82" priority="719">
      <formula>$C3171="PC in lavorazione"</formula>
    </cfRule>
    <cfRule type="expression" dxfId="81" priority="714">
      <formula>$C3171="Riassegnazione/Extra"</formula>
    </cfRule>
  </conditionalFormatting>
  <conditionalFormatting sqref="E3172:R3173 A3173:D3173">
    <cfRule type="expression" dxfId="80" priority="702">
      <formula>$C3172="Priorità/Stagisti/Scorta"</formula>
    </cfRule>
    <cfRule type="expression" dxfId="79" priority="699">
      <formula>$C3172="Pronto per consegna"</formula>
    </cfRule>
    <cfRule type="expression" dxfId="78" priority="698">
      <formula>$C3172="Riassegnazione/Extra"</formula>
    </cfRule>
    <cfRule type="expression" dxfId="77" priority="700">
      <formula>$C3172="Problema/Mancato appuntamento"</formula>
    </cfRule>
    <cfRule type="expression" dxfId="76" priority="701">
      <formula>$C3172="Consegnato"</formula>
    </cfRule>
    <cfRule type="expression" dxfId="75" priority="703">
      <formula>$C3172="PC in lavorazione"</formula>
    </cfRule>
    <cfRule type="expression" dxfId="74" priority="704">
      <formula>$C3172="Nuovo assunto"</formula>
    </cfRule>
    <cfRule type="expression" dxfId="73" priority="705">
      <formula>$C3172="Già preso appuntamento"</formula>
    </cfRule>
  </conditionalFormatting>
  <conditionalFormatting sqref="F2569 F2577:F2579 F2593 A2516:S2516 A2520:S2521 A2523:K2524 P2523:S2524 U2523:XFD2524 A2533:C2533 E2533:K2533 P2533:S2533 A2538:S2539 A2542:S2542 A2544:S2544 A2546:S2548 A2553:S2554 A2589:K2589 P2589:S2589 D2590 L2591:O2595 A2593:C2593 F2595:F2597 A2596:S2597 B2598 K2598:P2598 A2599:S2600 A2607:S2608 A2612:K2612 P2612:S2612 A2620:K2620 P2620:S2620 F2626 A2632:Q2636 A2645:S2645 L2806:O2806">
    <cfRule type="expression" dxfId="72" priority="4964">
      <formula>$C2516="Nuovo Assunto"</formula>
    </cfRule>
  </conditionalFormatting>
  <conditionalFormatting sqref="H2318:I2318">
    <cfRule type="expression" dxfId="71" priority="7324">
      <formula>$C2319="Priorità/Stagisti/Scorta"</formula>
    </cfRule>
    <cfRule type="expression" dxfId="70" priority="7323">
      <formula>$C2319="Consegnato"</formula>
    </cfRule>
    <cfRule type="expression" dxfId="69" priority="7322">
      <formula>$C2319="Problema/Mancato appuntamento"</formula>
    </cfRule>
    <cfRule type="expression" dxfId="68" priority="7321">
      <formula>$C2319="Pronto per consegna"</formula>
    </cfRule>
    <cfRule type="expression" dxfId="67" priority="7327">
      <formula>$C2319="Già preso appuntamento"</formula>
    </cfRule>
    <cfRule type="expression" dxfId="66" priority="7326">
      <formula>$C2319="Nuovo assunto"</formula>
    </cfRule>
    <cfRule type="expression" dxfId="65" priority="7325">
      <formula>$C2319="PC in lavorazione"</formula>
    </cfRule>
  </conditionalFormatting>
  <conditionalFormatting sqref="H2319:I2319">
    <cfRule type="expression" dxfId="64" priority="7319">
      <formula>$C2318="Nuovo assunto"</formula>
    </cfRule>
    <cfRule type="expression" dxfId="63" priority="7320">
      <formula>$C2318="Già preso appuntamento"</formula>
    </cfRule>
    <cfRule type="expression" dxfId="62" priority="7314">
      <formula>$C2318="Pronto per consegna"</formula>
    </cfRule>
    <cfRule type="expression" dxfId="61" priority="7315">
      <formula>$C2318="Problema/Mancato appuntamento"</formula>
    </cfRule>
    <cfRule type="expression" dxfId="60" priority="7316">
      <formula>$C2318="Consegnato"</formula>
    </cfRule>
    <cfRule type="expression" dxfId="59" priority="7317">
      <formula>$C2318="Priorità/Stagisti/Scorta"</formula>
    </cfRule>
    <cfRule type="expression" dxfId="58" priority="7318">
      <formula>$C2318="PC in lavorazione"</formula>
    </cfRule>
  </conditionalFormatting>
  <conditionalFormatting sqref="L3091:M3093">
    <cfRule type="expression" dxfId="57" priority="1195">
      <formula>$C3091="Pronto per consegna"</formula>
    </cfRule>
    <cfRule type="expression" dxfId="56" priority="1194">
      <formula>$C3091="Riassegnazione/Extra"</formula>
    </cfRule>
    <cfRule type="expression" dxfId="55" priority="1201">
      <formula>$C3091="Già preso appuntamento"</formula>
    </cfRule>
    <cfRule type="expression" dxfId="54" priority="1200">
      <formula>$C3091="Nuovo assunto"</formula>
    </cfRule>
    <cfRule type="expression" dxfId="53" priority="1199">
      <formula>$C3091="PC in lavorazione"</formula>
    </cfRule>
    <cfRule type="expression" dxfId="52" priority="1198">
      <formula>$C3091="Priorità/Stagisti/Scorta"</formula>
    </cfRule>
    <cfRule type="expression" dxfId="51" priority="1197">
      <formula>$C3091="Consegnato"</formula>
    </cfRule>
    <cfRule type="expression" dxfId="50" priority="1196">
      <formula>$C3091="Problema/Mancato appuntamento"</formula>
    </cfRule>
  </conditionalFormatting>
  <conditionalFormatting sqref="L2498:O2508 A2509:O2512 A2513:S2515 A2517:S2519 A2522:S2522 A2525:K2525 P2525:S2525 A2532:K2532 P2532:S2532 D2533 A2540:S2541 A2543:S2543 A2545:S2545 A2555:S2555 L2556:O2564 A2566:S2567 L2568:O2590 A2575:K2575 P2575:Q2575 A2598 C2598:J2598 Q2598:S2598 A2604:Q2604 P2613:S2613 A2613:K2614 P2614:Q2614 U2616:XFD2616 A2619:K2619 P2619:S2619 P2621:S2621 U2621:XFD2621 A2621:K2622 P2622:Q2622 A2624:K2624 P2624:S2624 U2624:XFD2624 U2629:XFD2629 A2642:K2642 P2642:S2642 U2646:XFD2646 A2646:S2647 A2806:K2806">
    <cfRule type="expression" dxfId="49" priority="4823">
      <formula>$C2498="Già preso appuntamento"</formula>
    </cfRule>
  </conditionalFormatting>
  <conditionalFormatting sqref="L2498:O2508 A2509:O2512 A2513:S2515 A2517:S2519 A2522:S2522 A2525:K2525 P2525:S2525 A2532:K2532 P2532:S2532 D2533 A2540:S2541 A2543:S2543 A2545:S2545 A2555:S2555 L2556:O2564 A2566:S2567 L2568:O2590 A2575:K2575 P2575:Q2575 A2598 C2598:J2598 Q2598:S2598 A2604:Q2604 P2613:S2613 A2613:K2614 P2614:Q2614 U2616:XFD2616 A2619:K2619 P2619:S2619 P2621:S2621 U2621:XFD2621 A2621:K2622 P2622:Q2622 A2624:K2624 P2624:S2624 U2624:XFD2624 U2629:XFD2629 L2640:S2642 A2642:K2642 U2646:XFD2646 A2646:S2647 A2806:K2806">
    <cfRule type="expression" dxfId="48" priority="4818">
      <formula>$C2498="Pronto per consegna"</formula>
    </cfRule>
    <cfRule type="expression" dxfId="47" priority="4819">
      <formula>$C2498="Problema/Mancato appuntamento"</formula>
    </cfRule>
    <cfRule type="expression" dxfId="46" priority="4820">
      <formula>$C2498="Consegnato"</formula>
    </cfRule>
    <cfRule type="expression" dxfId="45" priority="4821">
      <formula>$C2498="Priorità/Stagisti/Scorta"</formula>
    </cfRule>
    <cfRule type="expression" dxfId="44" priority="4822">
      <formula>$C2498="PC in lavorazione"</formula>
    </cfRule>
  </conditionalFormatting>
  <conditionalFormatting sqref="L2498:O2508 L2510:O2512 A2513:S2515 A2517:S2519 A2522:S2522 A2525:K2525 P2525:S2525 A2532:K2532 P2532:S2532 D2533 A2540:S2541 A2543:S2543 A2545:S2545 A2555:S2555 L2556:O2564 A2566:S2567 L2568:O2590 A2575:K2575 P2575:Q2575 A2598 C2598:J2598 Q2598:S2598 A2604:Q2604 P2613:S2613 A2613:K2614 P2614:Q2614 U2616:XFD2616 A2619:K2619 P2619:S2619 P2621:S2621 U2621:XFD2621 A2621:K2622 P2622:Q2622 A2624:K2624 P2624:S2624 U2624:XFD2624 U2629:XFD2629 A2642:C2642 E2642:K2642 P2642:S2642 U2646:XFD2646 A2646:S2647 A2806:K2806">
    <cfRule type="expression" dxfId="43" priority="4817">
      <formula>$C2498="Nuovo assunto"</formula>
    </cfRule>
  </conditionalFormatting>
  <conditionalFormatting sqref="L2523:O2535 A2527:C2527 E2527:K2527 P2527:S2527 A2535:K2535 A2536:O2537 A2557:K2558 P2557:S2558 F2559 A2560:K2561 P2560:S2561 A2572:K2573 P2572:S2573 F2594 A2615:K2617 P2615:S2617 D2618 S2629:S2640 U2631:XFD2631 R2631:R2639 L2639:O2639 A2640:K2640 U2640:XFD2640 U2642:XFD2644 A2688:K2688 M2688:Q2688 P2535:S2537 A2551:S2552 P2588:S2588 A2591:K2591 P2591:S2591 A2603:S2603 A2605:S2606 A2629:R2630 A2631:Q2631 A2643:S2644 P2640:R2640 L2641:O2641 A2289:R2289 A2295:R2296 B2297 P2297 A2299:R2299 L2300:O2303 A2307:R2308 A2320:K2320 P2320:R2323 A2321:O2322 A2323:K2323 L2323:O2326 A2326:K2326 P2326:R2327 A2327:O2327 L2328:O2328 A2332:R2333 B2334 A2335:R2336 A2339:R2340 A2342:R2342 A2345:R2345 A2353:R2357 A2363:K2363 P2363:R2363 A2366:R2366 B2367 A2372:K2372 P2372:R2372 R2373:R2391 P2375:Q2377 A2377:O2377 A2379:K2381 P2379:Q2381 A2383:K2383 P2383:Q2383 A2385:K2386 P2385:Q2386 M2389:Q2391 A2389:L2394 M2392:R2394 A2399:S2399 A2401:S2401 A2403:S2403 A2408:S2408 A2412:R2412 R2413:R2492 A2421:Q2423 A2427:Q2427 A2448:Q2448 A2450:P2450 A2453:Q2454 A2458:C2458 E2458:Q2458 A2461:Q2461 L2463:O2463 A2464:Q2464 A2469:Q2469 A2475:Q2476 A2482:K2482 P2482:Q2482 A2490:Q2490 A2492:Q2492 A2496:S2496 A2498:K2498 P2498:S2498 A2638:K2638 P2638:Q2638 U2638:XFD2638 S2136:S2394 A2588:C2588 E2588:K2588 A2375:K2376 S2412:S2492">
    <cfRule type="expression" dxfId="42" priority="5552">
      <formula>$C2136="Nuovo assunto"</formula>
    </cfRule>
  </conditionalFormatting>
  <conditionalFormatting sqref="O3091:O3093">
    <cfRule type="expression" dxfId="41" priority="1172">
      <formula>$C3091="Problema/Mancato appuntamento"</formula>
    </cfRule>
    <cfRule type="expression" dxfId="40" priority="1177">
      <formula>$C3091="Già preso appuntamento"</formula>
    </cfRule>
    <cfRule type="expression" dxfId="39" priority="1173">
      <formula>$C3091="Consegnato"</formula>
    </cfRule>
    <cfRule type="expression" dxfId="38" priority="1174">
      <formula>$C3091="Priorità/Stagisti/Scorta"</formula>
    </cfRule>
    <cfRule type="expression" dxfId="37" priority="1175">
      <formula>$C3091="PC in lavorazione"</formula>
    </cfRule>
    <cfRule type="expression" dxfId="36" priority="1176">
      <formula>$C3091="Nuovo assunto"</formula>
    </cfRule>
    <cfRule type="expression" dxfId="35" priority="1171">
      <formula>$C3091="Pronto per consegna"</formula>
    </cfRule>
    <cfRule type="expression" dxfId="34" priority="1170">
      <formula>$C3091="Riassegnazione/Extra"</formula>
    </cfRule>
  </conditionalFormatting>
  <conditionalFormatting sqref="P2350">
    <cfRule type="expression" dxfId="33" priority="7007">
      <formula>$C2338="Pronto per consegna"</formula>
    </cfRule>
    <cfRule type="expression" dxfId="32" priority="7006">
      <formula>$C2338="Nuovo Assunto"</formula>
    </cfRule>
    <cfRule type="expression" dxfId="31" priority="7012">
      <formula>$C2338="Già preso appuntamento"</formula>
    </cfRule>
    <cfRule type="expression" dxfId="30" priority="7008">
      <formula>$C2338="Problema/Mancato appuntamento"</formula>
    </cfRule>
    <cfRule type="expression" dxfId="29" priority="7009">
      <formula>$C2338="Consegnato"</formula>
    </cfRule>
    <cfRule type="expression" dxfId="28" priority="7010">
      <formula>$C2338="Priorità/Stagisti/Scorta"</formula>
    </cfRule>
    <cfRule type="expression" dxfId="27" priority="7011">
      <formula>$C2338="PC in lavorazione"</formula>
    </cfRule>
  </conditionalFormatting>
  <conditionalFormatting sqref="P2373:Q2374 A2373:K2376 B2580:B2581 P2584:S2587 A2584:C2588 E2584:K2588 A2609:S2611 R2654:R2679 S2654:S2687 P2670:Q2679 A2670:O2680 P2680:R2680 A2681:R2687 A3274:B3281">
    <cfRule type="expression" dxfId="26" priority="3835">
      <formula>$C2373="Pronto per consegna"</formula>
    </cfRule>
  </conditionalFormatting>
  <conditionalFormatting sqref="P2498:R2512 A2565:O2565 L2612:O2624 A2625:R2626 A2637:Q2638">
    <cfRule type="expression" dxfId="25" priority="5773">
      <formula>$C2498="Priorità/Stagisti/Scorta"</formula>
    </cfRule>
    <cfRule type="expression" dxfId="24" priority="5774">
      <formula>$C2498="PC in lavorazione"</formula>
    </cfRule>
    <cfRule type="expression" dxfId="23" priority="5772">
      <formula>$C2498="Consegnato"</formula>
    </cfRule>
  </conditionalFormatting>
  <conditionalFormatting sqref="P2510:R2512 A2565:O2565 L2612:O2624 A2625:R2626 L2638:O2638">
    <cfRule type="expression" dxfId="22" priority="5775">
      <formula>$C2510="Già preso appuntamento"</formula>
    </cfRule>
  </conditionalFormatting>
  <conditionalFormatting sqref="P2508:S2512 A2625:S2627 P2499:S2499 A2395:S2398 A2404:S2404 A2407:S2407 A2411:S2411 A2493:S2495 A2497:S2497 A2303:K2303 P2303:R2306 A2304:O2306 A2309:O2315 P2309:R2316 A2316:K2316 L2316:O2320 A2325:K2325 P2325:R2325 A2328:K2328 P2328:R2331 A2329:O2331 A2334 C2334:R2334 A2337:R2337 A2341:R2341 A2343:R2343 A2346:R2352 A2358:O2361 P2358:R2362 A2362:K2362 L2362:O2364 A2364:K2364 P2364:R2365 A2365:O2365 A2367 C2367:R2367 A2370:O2370 P2370:R2371 A2371:K2371 L2371:O2376 A2384:K2384 P2384:Q2384 A2387:Q2388 A2413:Q2418 A2424:Q2426 A2428:Q2447 Q2450 A2451:Q2451 A2455:Q2457 D2458:D2460 A2462:O2462 P2462:Q2463 U2462:XFD2463 A2463:K2463 A2468:Q2468 U2468:XFD2468 A2473:Q2473 U2477:XFD2477 A2477:O2480 P2477:Q2481 U2479:XFD2480 A2481:K2481 U2488:XFD2488 A2488:Q2489 A2499:K2499 A2508:K2508 A2509:O2509 U2509:XFD2509 A2510:K2512 A2562:K2564 P2562:S2565 A2565:O2565 A2582:C2583 E2582:K2583 P2582:S2583 A2595:C2595 E2595:K2595 P2595:S2595 L2612:O2624 L2638:O2638 L2640:O2640 A2641:K2641 P2641:S2641 D2642 L2642:O2642">
    <cfRule type="expression" dxfId="21" priority="4446">
      <formula>$C2303="Nuovo Assunto"</formula>
    </cfRule>
  </conditionalFormatting>
  <conditionalFormatting sqref="Q3196:Q3213">
    <cfRule type="expression" dxfId="20" priority="385">
      <formula>$C3196="Già preso appuntamento"</formula>
    </cfRule>
  </conditionalFormatting>
  <conditionalFormatting sqref="Q3216:Q3220">
    <cfRule type="expression" dxfId="19" priority="324">
      <formula>$C3216="Già preso appuntamento"</formula>
    </cfRule>
  </conditionalFormatting>
  <conditionalFormatting sqref="S2136:S2394 A2289:R2289 A2295:R2296 B2297 P2297 A2299:R2299 L2300:O2303 A2307:R2308 A2320:K2320 P2320:R2323 A2321:O2322 A2323:K2323 L2323:O2326 A2326:K2326 P2326:R2331 A2327:O2331 A2332:R2336 A2339:R2342 A2345:R2345 A2353:R2357 P2358:R2365 A2362:O2365 A2366:R2367 A2372:K2372 P2372:R2372 R2373:R2391 A2375:K2376 P2375:Q2377 A2377:O2377 A2379:K2381 P2379:Q2381 A2383:K2383 P2383:Q2383 A2385:K2386 P2385:Q2386 M2389:Q2391 A2389:L2394 M2392:R2394 A2399:S2399 A2401:S2401 A2403:S2403 A2408:S2408 A2412:R2412 S2412:S2492 R2413:R2492 A2421:Q2423 A2427:Q2427 A2448:Q2448 A2450:P2450 A2453:Q2454 A2458:C2458 E2458:Q2458 A2461:Q2461 L2463:O2463 A2464:Q2464 A2469:Q2469 A2475:Q2476 A2482:K2482 P2482:Q2482 A2490:Q2490 A2492:Q2492 A2496:S2496 A2498:K2498 P2498:S2498 L2523:O2535 A2527:C2527 E2527:K2527 P2527:S2527 A2535:K2535 P2535:S2537 A2536:O2537 A2551:S2552 A2557:K2558 P2557:S2558 F2559 A2560:K2564 P2560:S2565 A2572:K2573 P2572:S2573 A2588:C2588 E2588:K2588 P2588:S2588 A2591:K2591 P2591:S2591 F2594 A2603:S2603 A2605:S2606 A2615:K2617 P2615:S2617 D2618 A2629:R2630 S2629:S2641 A2631:Q2631 U2631:XFD2631 R2631:R2639 A2638:K2638 P2638:Q2638 U2638:XFD2638 L2639:O2642 U2640:XFD2640 A2640:K2641 P2640:R2641 U2642:XFD2644 A2643:S2644 A2688:K2688 M2688:Q2688">
    <cfRule type="expression" dxfId="18" priority="5558">
      <formula>$C2136="Già preso appuntamento"</formula>
    </cfRule>
  </conditionalFormatting>
  <conditionalFormatting sqref="S2136:S2512 S2625:S2626">
    <cfRule type="expression" dxfId="17" priority="1318">
      <formula>$C2136="Priorità/Stagisti/Scorta"</formula>
    </cfRule>
    <cfRule type="expression" dxfId="16" priority="1317">
      <formula>$C2136="Consegnato"</formula>
    </cfRule>
  </conditionalFormatting>
  <conditionalFormatting sqref="S2136:S2512">
    <cfRule type="expression" dxfId="15" priority="1314">
      <formula>$C2136="Pronto per consegna"</formula>
    </cfRule>
  </conditionalFormatting>
  <conditionalFormatting sqref="S2373:S2394">
    <cfRule type="expression" dxfId="14" priority="1327">
      <formula>$C2373="PC in lavorazione"</formula>
    </cfRule>
  </conditionalFormatting>
  <conditionalFormatting sqref="S2498:S2512 S2625:S2626">
    <cfRule type="expression" dxfId="13" priority="1319">
      <formula>$C2498="PC in lavorazione"</formula>
    </cfRule>
  </conditionalFormatting>
  <conditionalFormatting sqref="S2510:S2512 S2625:S2626">
    <cfRule type="expression" dxfId="12" priority="1320">
      <formula>$C2510="Già preso appuntamento"</formula>
    </cfRule>
  </conditionalFormatting>
  <conditionalFormatting sqref="S2625:S2626 S2136:S2512">
    <cfRule type="expression" dxfId="11" priority="1316">
      <formula>$C2136="Problema/Mancato appuntamento"</formula>
    </cfRule>
  </conditionalFormatting>
  <conditionalFormatting sqref="S2625:S2626">
    <cfRule type="expression" dxfId="10" priority="1315">
      <formula>$C2625="Pronto per consegna"</formula>
    </cfRule>
  </conditionalFormatting>
  <conditionalFormatting sqref="S3000:S3029 A3009:R3019 M3020:R3020 E3020:O3022 P3021:R3022 E3023:R3029 A3072:S3072">
    <cfRule type="expression" dxfId="9" priority="1866">
      <formula>$C3000="Già preso appuntamento"</formula>
    </cfRule>
  </conditionalFormatting>
  <conditionalFormatting sqref="S3000:S3029 A3009:R3019 M3020:R3020 E3020:O3022 P3021:R3022 E3023:R3029">
    <cfRule type="expression" dxfId="8" priority="1865">
      <formula>$C3000="Nuovo assunto"</formula>
    </cfRule>
    <cfRule type="expression" dxfId="7" priority="1861">
      <formula>$C3000="Problema/Mancato appuntamento"</formula>
    </cfRule>
    <cfRule type="expression" dxfId="6" priority="1862">
      <formula>$C3000="Consegnato"</formula>
    </cfRule>
    <cfRule type="expression" dxfId="5" priority="1864">
      <formula>$C3000="PC in lavorazione"</formula>
    </cfRule>
    <cfRule type="expression" dxfId="4" priority="1863">
      <formula>$C3000="Priorità/Stagisti/Scorta"</formula>
    </cfRule>
  </conditionalFormatting>
  <conditionalFormatting sqref="S3000:S3030 A3009:R3029 A3030:E3030 G3030:R3030">
    <cfRule type="expression" dxfId="3" priority="1385">
      <formula>$C3000="Pronto per consegna"</formula>
    </cfRule>
    <cfRule type="expression" dxfId="2" priority="1384">
      <formula>$C3000="Riassegnazione/Extra"</formula>
    </cfRule>
  </conditionalFormatting>
  <conditionalFormatting sqref="U2562:XFD2562">
    <cfRule type="expression" dxfId="1" priority="5256">
      <formula>$C2562="PC in lavorazione"</formula>
    </cfRule>
    <cfRule type="expression" dxfId="0" priority="5257">
      <formula>$C2562="Già preso appuntamento"</formula>
    </cfRule>
  </conditionalFormatting>
  <hyperlinks>
    <hyperlink ref="A1577" r:id="rId1" xr:uid="{AE78F9E2-E91C-43A0-9849-035C9D7FF8A5}"/>
    <hyperlink ref="A1578" r:id="rId2" xr:uid="{ACF7997D-172E-414E-AADF-EBC745EDA29E}"/>
    <hyperlink ref="A1584" r:id="rId3" xr:uid="{86D4A642-D31E-452B-BDE7-6A82A01764F5}"/>
    <hyperlink ref="A1590" r:id="rId4" xr:uid="{00000000-0004-0000-0100-000000000000}"/>
    <hyperlink ref="A1599" r:id="rId5" xr:uid="{645FBDAE-B3EC-4EBE-A645-BBD2C0E0E6B1}"/>
    <hyperlink ref="A1602" r:id="rId6" xr:uid="{F32D9BF8-270B-4980-AC01-4673846B7CA1}"/>
    <hyperlink ref="H1923" r:id="rId7" display="\\" xr:uid="{8FB5BC73-2F83-4756-9A41-E77E0FB55DEA}"/>
    <hyperlink ref="A12" r:id="rId8" display="https://helpdesk.idg.audi.vwg/ServiceRequest/Edit/SR971925/" xr:uid="{765688F7-463B-43FD-A633-C82413226E68}"/>
    <hyperlink ref="A3" r:id="rId9" display="https://helpdesk.idg.audi.vwg/ServiceRequest/Edit/SR974804/" xr:uid="{F354FF2D-9DB3-43CE-9D7B-F6B20042B502}"/>
    <hyperlink ref="A4" r:id="rId10" display="https://helpdesk.idg.audi.vwg/ServiceRequest/Edit/SR977729/" xr:uid="{01C59C7B-97BB-4478-8676-3466AB066664}"/>
    <hyperlink ref="A5" r:id="rId11" display="https://helpdesk.idg.audi.vwg/ServiceRequest/Edit/SR977729/" xr:uid="{8BE9AB9A-A195-4A66-944F-F789EF9DC3B0}"/>
    <hyperlink ref="A30" r:id="rId12" display="https://helpdesk.idg.audi.vwg/ServiceRequest/Edit/SR922054/" xr:uid="{1D61B213-A4BE-44A4-9922-30000737A858}"/>
    <hyperlink ref="A34" r:id="rId13" display="https://helpdesk.idg.audi.vwg/ServiceRequest/Edit/SR977720/" xr:uid="{510F3448-0E62-4A76-B7E9-C04FD0493767}"/>
    <hyperlink ref="A61" r:id="rId14" display="https://helpdesk.idg.audi.vwg/ServiceRequest/Edit/SR994506/" xr:uid="{38E73637-2F96-4E25-BD2E-326A4DC15C5F}"/>
    <hyperlink ref="A53" r:id="rId15" display="https://helpdesk.idg.audi.vwg/ServiceRequest/Edit/SR996135/" xr:uid="{A3321506-5061-4468-BA29-5C8B7CAD87D8}"/>
    <hyperlink ref="A55" r:id="rId16" display="https://helpdesk.idg.audi.vwg/ServiceRequest/Edit/SR996157/" xr:uid="{A87ED047-746C-41AA-A44D-7816CB654F7B}"/>
    <hyperlink ref="A62" r:id="rId17" display="https://helpdesk.idg.audi.vwg/ServiceRequest/Edit/SR996181/" xr:uid="{1B2E1907-9F55-470E-92D6-A8505E5684FF}"/>
    <hyperlink ref="A66" r:id="rId18" display="https://helpdesk.idg.audi.vwg/ServiceRequest/Edit/SR922054/" xr:uid="{E660A649-BFCE-411B-B801-4A1A2725457F}"/>
    <hyperlink ref="A69" r:id="rId19" display="https://helpdesk.idg.audi.vwg/ServiceRequest/Edit/SR977720/" xr:uid="{425E52A0-615D-4491-AF92-62E5350FD7C1}"/>
    <hyperlink ref="A68" r:id="rId20" display="https://helpdesk.idg.audi.vwg/ServiceRequest/Edit/SR977720/" xr:uid="{E1D49096-7080-4AC1-8B44-831C64A04091}"/>
    <hyperlink ref="A123" r:id="rId21" display="https://helpdesk.idg.audi.vwg/ServiceRequest/Edit/SR959157/" xr:uid="{B65F1151-8FAE-4146-AE0C-F7D7866CCE26}"/>
    <hyperlink ref="A129" r:id="rId22" display="https://helpdesk.idg.audi.vwg/ServiceRequest/Edit/SR971932/" xr:uid="{0658AC9D-5A98-4BF6-B614-3C213D3FCE49}"/>
    <hyperlink ref="A134" r:id="rId23" display="https://helpdesk.idg.audi.vwg/ServiceRequest/Edit/SR977735/" xr:uid="{558B660C-0D47-4FFE-9E10-52E9D39A183D}"/>
    <hyperlink ref="A138" r:id="rId24" display="https://helpdesk.idg.audi.vwg/ServiceRequest/Edit/SR977729/" xr:uid="{BA1FFCE3-2C0C-441E-A65F-C10F7BFCDAB9}"/>
    <hyperlink ref="A141" r:id="rId25" display="https://helpdesk.idg.audi.vwg/ServiceRequest/Edit/SR977729/" xr:uid="{307E8860-1DBF-495A-91B1-A044777A69AB}"/>
    <hyperlink ref="A142" r:id="rId26" display="https://helpdesk.idg.audi.vwg/ServiceRequest/Edit/SR977729/" xr:uid="{2F15DD69-8DFB-4F15-97E5-86CC75457529}"/>
    <hyperlink ref="A146" r:id="rId27" display="https://helpdesk.idg.audi.vwg/ServiceRequest/Edit/SR987850/" xr:uid="{1119F8DB-0DC1-41DA-95FB-8F1EAEC253BF}"/>
    <hyperlink ref="A147" r:id="rId28" display="https://helpdesk.idg.audi.vwg/ServiceRequest/Edit/SR987856/" xr:uid="{410A313A-5920-45C4-967F-C6B193AC71E6}"/>
    <hyperlink ref="A148" r:id="rId29" display="https://helpdesk.idg.audi.vwg/ServiceRequest/Edit/SR989916/" xr:uid="{D4CEB557-CF52-4833-AA8C-E9477C471469}"/>
    <hyperlink ref="A150" r:id="rId30" display="https://helpdesk.idg.audi.vwg/ServiceRequest/Edit/SR971925/" xr:uid="{E3136788-6FB0-4515-AB64-86D967EA7259}"/>
    <hyperlink ref="A154" r:id="rId31" display="https://helpdesk.idg.audi.vwg/ServiceRequest/Edit/SR974804/" xr:uid="{8924EA10-6714-4AC6-B087-B8DEB253266B}"/>
    <hyperlink ref="A158" r:id="rId32" display="https://helpdesk.idg.audi.vwg/ServiceRequest/Edit/SR996181/" xr:uid="{771795AC-6D60-4270-97C4-ACEC0616B5A0}"/>
    <hyperlink ref="A159" r:id="rId33" display="https://helpdesk.idg.audi.vwg/ServiceRequest/Edit/SR994506/" xr:uid="{1EE4B159-3BF7-4D2B-A102-51C9B9F8AE29}"/>
    <hyperlink ref="A160" r:id="rId34" display="https://helpdesk.idg.audi.vwg/ServiceRequest/Edit/SR996157/" xr:uid="{5D2DB791-3E0D-414A-964B-C2B5FD9CD2A5}"/>
    <hyperlink ref="A161" r:id="rId35" display="https://helpdesk.idg.audi.vwg/ServiceRequest/Edit/SR996135/" xr:uid="{CCF27713-B02D-4DB1-832D-B5D7F57111BB}"/>
    <hyperlink ref="A175" r:id="rId36" display="https://helpdesk.idg.audi.vwg/ServiceRequest/Edit/SR1009047/" xr:uid="{03705C47-1A5E-4EAC-A88F-DC8185D54F5C}"/>
    <hyperlink ref="A188" r:id="rId37" display="https://helpdesk.idg.audi.vwg/ServiceRequest/Edit/SR1017539/" xr:uid="{41672F73-B9CC-4A49-A9FF-7C00990C3E8D}"/>
    <hyperlink ref="A189" r:id="rId38" display="https://helpdesk.idg.audi.vwg/ServiceRequest/Edit/SR1017551/" xr:uid="{1647D9FF-F370-48FA-97A2-308345F7D3F7}"/>
    <hyperlink ref="A192" r:id="rId39" display="https://helpdesk.idg.audi.vwg/ServiceRequest/Edit/SR1018533/" xr:uid="{46057987-0315-46BA-A8BC-63B27CB8737C}"/>
    <hyperlink ref="A196" r:id="rId40" display="https://helpdesk.idg.audi.vwg/ServiceRequest/Edit/SR1015797/" xr:uid="{07A4E0C1-8C60-4D51-9133-717E26459969}"/>
    <hyperlink ref="A197" r:id="rId41" display="https://helpdesk.idg.audi.vwg/ServiceRequest/Edit/SR1015803/" xr:uid="{98077083-2886-46FE-8445-2108068CD031}"/>
    <hyperlink ref="A203" r:id="rId42" display="https://helpdesk.idg.audi.vwg/ServiceRequest/Edit/SR1017387/" xr:uid="{38A13132-E4CA-486E-BCCC-F48C60639295}"/>
    <hyperlink ref="A204" r:id="rId43" display="https://helpdesk.idg.audi.vwg/ServiceRequest/Edit/SR1017375/" xr:uid="{68796328-DB9D-4F8D-B2C0-680E1B77E28F}"/>
    <hyperlink ref="A212" r:id="rId44" display="https://helpdesk.idg.audi.vwg/ServiceRequest/Edit/SR1017557/" xr:uid="{6AB5D230-5786-4815-8134-4970C4306F4D}"/>
    <hyperlink ref="A846" r:id="rId45" display="https://helpdesk.idg.audi.vwg/ServiceRequest/Edit/SR902109/" xr:uid="{6829C6D6-0BFE-4187-BEFF-4C92406018E9}"/>
    <hyperlink ref="A847" r:id="rId46" display="https://helpdesk.idg.audi.vwg/ServiceRequest/Edit/SR904787/" xr:uid="{252F4005-7418-49CB-9151-BD6A2B21BE0F}"/>
    <hyperlink ref="A850" r:id="rId47" display="https://helpdesk.idg.audi.vwg/ServiceRequest/Edit/SR914550/" xr:uid="{D7B835D2-98A4-4A7E-AB58-D9958CBB6FD3}"/>
    <hyperlink ref="A854" r:id="rId48" display="https://helpdesk.idg.audi.vwg/ServiceRequest/Edit/SR919842/" xr:uid="{708F0AE9-28C6-4490-818B-B34174CFA776}"/>
    <hyperlink ref="A855" r:id="rId49" display="https://helpdesk.idg.audi.vwg/ServiceRequest/Edit/SR897860/" xr:uid="{119E1DE3-09E4-45E7-8B1A-1968C7106340}"/>
    <hyperlink ref="A858" r:id="rId50" display="https://helpdesk.idg.audi.vwg/ServiceRequest/Edit/SR932691/" xr:uid="{0983DDA9-8FB4-42C2-A2B9-90A279F9DB2D}"/>
    <hyperlink ref="A860" r:id="rId51" display="https://helpdesk.idg.audi.vwg/ServiceRequest/Edit/SR932679/" xr:uid="{FF40AF37-CD5E-4845-8E5C-EF77D66F8B39}"/>
    <hyperlink ref="A865" r:id="rId52" display="https://helpdesk.idg.audi.vwg/ServiceRequest/Edit/SR932679/" xr:uid="{2258B5D3-5E0C-46C5-AF07-9C7A1370C80F}"/>
    <hyperlink ref="A867" r:id="rId53" display="https://helpdesk.idg.audi.vwg/ServiceRequest/Edit/SR922060/" xr:uid="{B9B5B2F0-25E7-4DD3-9C38-05A8EE1E073E}"/>
    <hyperlink ref="A870" r:id="rId54" display="https://helpdesk.idg.audi.vwg/ServiceRequest/Edit/SR939169/" xr:uid="{10D42870-C575-41A0-BEB3-BE8206D74731}"/>
    <hyperlink ref="A871" r:id="rId55" display="https://helpdesk.idg.audi.vwg/ServiceRequest/Edit/SR939169/" xr:uid="{333AE86E-F582-4CBC-B56B-B2622E1BF99C}"/>
    <hyperlink ref="A873" r:id="rId56" display="https://helpdesk.idg.audi.vwg/ServiceRequest/Edit/SR939169/" xr:uid="{B3C12AC6-6BD1-4B0D-9639-885698AB3953}"/>
    <hyperlink ref="A874" r:id="rId57" display="https://helpdesk.idg.audi.vwg/ServiceRequest/Edit/SR939169/" xr:uid="{E52B7AAB-2029-44F5-A1ED-CFFE0B48ED87}"/>
    <hyperlink ref="A875" r:id="rId58" display="https://helpdesk.idg.audi.vwg/ServiceRequest/Edit/SR939169/" xr:uid="{287D84F0-948D-4377-9E0F-E93CE7C64CC6}"/>
    <hyperlink ref="A877" r:id="rId59" display="https://helpdesk.idg.audi.vwg/ServiceRequest/Edit/SR916531/" xr:uid="{39D66C3A-44A9-42A8-AC87-F2FE3C0D4E0E}"/>
    <hyperlink ref="A878" r:id="rId60" display="https://helpdesk.idg.audi.vwg/ServiceRequest/Edit/SR937951/" xr:uid="{460E4214-966E-4FE5-8C83-C2ABF220EACD}"/>
    <hyperlink ref="A879" r:id="rId61" display="https://helpdesk.idg.audi.vwg/ServiceRequest/Edit/SR939049/" xr:uid="{FA342ACD-F8F6-48CA-99D9-A10E682FC9AA}"/>
    <hyperlink ref="A880" r:id="rId62" display="https://helpdesk.idg.audi.vwg/ServiceRequest/Edit/SR946855/" xr:uid="{DC0025A0-B734-4B57-A6E7-81D6E2297FC3}"/>
    <hyperlink ref="A881" r:id="rId63" display="https://helpdesk.idg.audi.vwg/ServiceRequest/Edit/SR945957/" xr:uid="{CE8DE751-46E3-41FD-B53C-E477D2A43A0E}"/>
    <hyperlink ref="A1129" r:id="rId64" display="https://helpdesk.idg.audi.vwg/ServiceRequest/Edit/SR1247994/" xr:uid="{A3C2B3C1-C0AE-4562-B7CB-9FB668C190F7}"/>
    <hyperlink ref="J2303" r:id="rId65" xr:uid="{20FBE00D-91D4-47FB-9BC0-086C01546B06}"/>
    <hyperlink ref="J2424" r:id="rId66" xr:uid="{1B1D0A1D-E752-4BA9-91BC-142176AF7FF2}"/>
    <hyperlink ref="A35:A36" r:id="rId67" display="https://helpdesk.idg.audi.vwg/ServiceRequest/Edit/SR977720/" xr:uid="{A928C8B4-BFAA-402C-BB89-99B1E9787A3F}"/>
    <hyperlink ref="J2847" r:id="rId68" xr:uid="{E10947FC-3614-42A4-A53E-B97A7F5EF3D1}"/>
    <hyperlink ref="J2896" r:id="rId69" xr:uid="{67ED2332-F8C2-4D58-B31C-FF2B1B40DA7F}"/>
    <hyperlink ref="B3285" r:id="rId70" xr:uid="{C7DD65F1-234E-4A94-9FA0-E71B533D75B3}"/>
    <hyperlink ref="B3287" r:id="rId71" xr:uid="{5163D4D0-A46C-471F-863B-A7B91919B0B6}"/>
    <hyperlink ref="B3288" r:id="rId72" xr:uid="{C8A746CD-13CE-4C25-95F3-F6D2A3E3032D}"/>
    <hyperlink ref="B3289" r:id="rId73" xr:uid="{0949870B-670B-47DA-A721-32C27CE254C6}"/>
    <hyperlink ref="B3290" r:id="rId74" xr:uid="{B5FE2336-4F3D-424D-9099-74320EA91DFE}"/>
    <hyperlink ref="B3286" r:id="rId75" xr:uid="{2569A995-DF71-4DF7-912F-0400A560FE22}"/>
    <hyperlink ref="B3291" r:id="rId76" xr:uid="{32955E27-65C1-499C-8820-1C1728D0479D}"/>
    <hyperlink ref="B3292" r:id="rId77" xr:uid="{029A4BE3-F9C0-4DFA-B76A-88B2439B340E}"/>
    <hyperlink ref="B3293" r:id="rId78" xr:uid="{9010E6A1-8726-41E6-91C3-32144AAD1551}"/>
    <hyperlink ref="J3096" r:id="rId79" xr:uid="{ED8399B7-F6CF-427F-A5FF-A41EA4AA83A3}"/>
    <hyperlink ref="J3095" r:id="rId80" xr:uid="{13EB96A0-55B2-42A9-B925-CBE450D0CC28}"/>
    <hyperlink ref="J3157" r:id="rId81" display="Italdesign73304@!" xr:uid="{FA1D0CAC-FFCC-4E91-9534-55C9D1FA2149}"/>
  </hyperlinks>
  <pageMargins left="0.7" right="0.7" top="0.75" bottom="0.75" header="0.3" footer="0.3"/>
  <pageSetup paperSize="8" orientation="landscape" r:id="rId82"/>
  <headerFooter>
    <oddHeader>&amp;L&amp;"Arial"&amp;8&amp;K000000 INTERNAL&amp;1#_x000D_</oddHeader>
  </headerFooter>
  <legacyDrawing r:id="rId8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C89981-E98E-4DC8-98D9-22FD355D5E71}">
          <x14:formula1>
            <xm:f>#REF!</xm:f>
          </x14:formula1>
          <xm:sqref>C2268 C2272:C2280 C2282 C2288 C2290:C2292 C2298 C2302:C2306 C2309:C2316 C2325 C2327:C2331 C2334 C2337 C2341 C2343 C2346:C2352 C2358:C2362 C2364:C2365 C2367 C2370:C2371 C2384 C2387:C2388 C2395:C2398 C2404 C2407 C2411 C2413:C2418 C2424:C2426 C2428:C2447 C2451 C2455:C2457 C2462:C2463 C2468 C2473 C2477:C2481 C2488:C2489 C2493:C2495 C2497 C2499 C2508:C2512 C2516 C2520:C2521 C2523:C2524 C2531 C2533 C2538:C2539 C2542 C2544 C2546:C2548 C2553:C2554 C2562:C2565 C2569 C2577:C2579 C2582:C2583 C2589 C2593 C2595:C2597 C2599:C2600 C2607:C2608 C2612 C2618 C2620 C2623 C2625:C2627 C2632:C2636 C2641 C2645 C2650:C2651 C2654:C2655 C2660:C2661 C2671:C2674 C2676 C2678:C2679 C2681 C2684 C2687 C2689 C2691 C2695:C2699 C2705:C2706 C2708 C2722:C2723 C2725 C2727 C2736:C2742 C2744:C2745 C2748:C2749 C2756:C2757 C2763 C2767:C2771 C2774 C2791 C2793:C2795 C2797:C2799 C2801:C2802 C2804 C2809:C2810 C2812 C2815:C2818 C2820:C2822 C2824:C2832 C2834:C2835 C2837:C2839 C2841 C2843:C2846 C2851:C2852 C2856:C2857 C2862:C2863 C2865:C2868 C2877:C2880 C2891 C2897:C2898 C2904:C2905 C2907:C2913 C2915 C2919 C2927:C2929 C2931:C2934 C2938:C2939 C2941:C2942 C2944 C2946:C2947 C2950 C2954 C2961:C2962 C2964 C2971:C2972 C2974:C2975 C2986:C2987 C2989:C2990 C2992:C2993 C2995:C2996 C2998 C3001 C3003 C3007 C3009:C3011 C3020:C3041 C3043:C3044 C3046:C3050 C3054 C3059 C3064:C3067 C3069:C3070 C3072 C3074:C3075 C3085 C3088 C3098 C3103 C3111:C3112 C3116 C3127 C3135 C3142 C3156:C3158 C3164 C3180 C3184 C3186:C3187 C3215</xm:sqref>
        </x14:dataValidation>
        <x14:dataValidation type="list" allowBlank="1" showInputMessage="1" showErrorMessage="1" xr:uid="{7784646D-2384-4CF4-9E07-A81F5D6F020B}">
          <x14:formula1>
            <xm:f>#REF!</xm:f>
          </x14:formula1>
          <xm:sqref>C2269:C2271 C2281 C2283:C2287 C2289 C2293:C2297 C2299:C2301 C2307:C2308 C2317:C2324 C2326 C2332:C2333 C2335:C2336 C2338:C2340 C2342 C2344:C2345 C2353:C2357 C2363 C2366 C2368:C2369 C2372:C2383 C2385:C2386 C2389:C2394 C2399:C2403 C2405:C2406 C2408:C2410 C2412 C2419:C2423 C2427 C2448:C2450 C2452:C2454 C2458:C2461 C2464:C2467 C2469:C2472 C2474:C2476 C2482:C2487 C2490:C2492 C2496 C2498 C2500:C2507 C2513:C2515 C2517:C2519 C2522 C2525:C2530 C2532 C2534:C2537 C2540:C2541 C2543 C2545 C2549:C2552 C2555:C2561 C2566:C2568 C2570:C2576 C2580:C2581 C2584:C2588 C2590:C2592 C2594 C2598 C2601:C2606 C2609:C2611 C2613:C2617 C2619 C2621:C2622 C2624 C2628:C2631 C2637:C2640 C2642:C2644 C2646:C2649 C2652:C2653 C2656:C2659 C2662:C2670 C2675 C2677 C2680 C2682:C2683 C2685:C2686 C2688 C2690 C2692:C2694 C2700:C2704 C2707 C2709:C2721 C2724 C2726 C2728:C2735 C2743 C2746:C2747 C2750:C2755 C2758:C2762 C2764:C2766 C2772:C2773 C2775:C2790 C2792 C2796 C2800 C2803 C2805:C2808 C2811 C2813:C2814 C2819 C2823 C2833 C2836 C2840 C2842 C2847:C2850 C2853:C2855 C2858:C2861 C2864 C2869:C2876 C2881:C2890 C2892:C2896 C2899:C2903 C2906 C2914 C2916:C2918 C2920:C2926 C2930 C2935:C2937 C2940 C2943 C2945 C2948:C2949 C2951:C2953 C2955:C2960 C2963 C2965:C2970 C2973 C2976:C2985 C2988 C2991 C2994 C2997 C2999:C3000 C3002 C3004:C3006 C3008 C3012:C3019 C3042 C3045 C3051:C3053 C3055:C3058 C3060:C3063 C3068 C3071 C3073 C3076:C3084 C3086:C3087 C3089:C3097 C3099:C3102 C3104:C3110 C3113:C3115 C3117:C3126 C3128:C3134 C3136:C3141 C3143:C3155 C3159:C3163 C3165:C3179 C3181:C3183 C3185 C3188:C3214 C3216:C3273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df9804db0624063b63fada0008f9370 xmlns="fc37cad5-0a0e-4c6a-bee5-292c41d65260">
      <Terms xmlns="http://schemas.microsoft.com/office/infopath/2007/PartnerControls"/>
    </pdf9804db0624063b63fada0008f9370>
    <TaxCatchAll xmlns="fc37cad5-0a0e-4c6a-bee5-292c41d65260">
      <Value>3</Value>
    </TaxCatchAll>
    <RevIMDocumentOwner xmlns="fc37cad5-0a0e-4c6a-bee5-292c41d65260">
      <UserInfo>
        <DisplayName/>
        <AccountId xsi:nil="true"/>
        <AccountType/>
      </UserInfo>
    </RevIMDocumentOwner>
    <i0f84bba906045b4af568ee102a52dcb xmlns="fc37cad5-0a0e-4c6a-bee5-292c41d65260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0.3 Dynamic Business Information (last modified)</TermName>
          <TermId xmlns="http://schemas.microsoft.com/office/infopath/2007/PartnerControls">9a754fea-0917-4531-8837-b34b43a53c8c</TermId>
        </TermInfo>
      </Terms>
    </i0f84bba906045b4af568ee102a52dcb>
    <RevIMComments xmlns="fc37cad5-0a0e-4c6a-bee5-292c41d65260" xsi:nil="true"/>
    <RevIMDeletionDate xmlns="fc37cad5-0a0e-4c6a-bee5-292c41d65260" xsi:nil="true"/>
    <RevIMExtends xmlns="fc37cad5-0a0e-4c6a-bee5-292c41d65260">{"KSUClass":"9a754fea-0917-4531-8837-b34b43a53c8c","Reclassified":"2025-05-05T14:21:21.967Z","ReclassifiedBy":"jackson.linhares.cruz@partner.italdesign.it"}</RevIMExtends>
    <RevIMEventDate xmlns="fc37cad5-0a0e-4c6a-bee5-292c41d6526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C585D640A66A43910382C39AFC9BBD" ma:contentTypeVersion="22" ma:contentTypeDescription="Create a new document." ma:contentTypeScope="" ma:versionID="3d41b00734b87e4a4b48c5b3996511e6">
  <xsd:schema xmlns:xsd="http://www.w3.org/2001/XMLSchema" xmlns:xs="http://www.w3.org/2001/XMLSchema" xmlns:p="http://schemas.microsoft.com/office/2006/metadata/properties" xmlns:ns1="http://schemas.microsoft.com/sharepoint/v3" xmlns:ns2="fc37cad5-0a0e-4c6a-bee5-292c41d65260" xmlns:ns3="11c7d55e-d2d1-49ab-ab75-121c6bc89478" targetNamespace="http://schemas.microsoft.com/office/2006/metadata/properties" ma:root="true" ma:fieldsID="304fdfa8c7dc8692175dbb3adeeabdc6" ns1:_="" ns2:_="" ns3:_="">
    <xsd:import namespace="http://schemas.microsoft.com/sharepoint/v3"/>
    <xsd:import namespace="fc37cad5-0a0e-4c6a-bee5-292c41d65260"/>
    <xsd:import namespace="11c7d55e-d2d1-49ab-ab75-121c6bc89478"/>
    <xsd:element name="properties">
      <xsd:complexType>
        <xsd:sequence>
          <xsd:element name="documentManagement">
            <xsd:complexType>
              <xsd:all>
                <xsd:element ref="ns2:pdf9804db0624063b63fada0008f9370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RevIMDateOfModified2Creation" minOccurs="0"/>
                <xsd:element ref="ns2:RevIMDeclar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7cad5-0a0e-4c6a-bee5-292c41d65260" elementFormDefault="qualified">
    <xsd:import namespace="http://schemas.microsoft.com/office/2006/documentManagement/types"/>
    <xsd:import namespace="http://schemas.microsoft.com/office/infopath/2007/PartnerControls"/>
    <xsd:element name="pdf9804db0624063b63fada0008f9370" ma:index="8" nillable="true" ma:taxonomy="true" ma:internalName="pdf9804db0624063b63fada0008f9370" ma:taxonomyFieldName="LegalHoldTag" ma:displayName="LegalHold" ma:fieldId="{9df9804d-b062-4063-b63f-ada0008f9370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0e71b75f-ac61-479f-8f76-83ab32dc0f29}" ma:internalName="TaxCatchAll" ma:showField="CatchAllData" ma:web="fc37cad5-0a0e-4c6a-bee5-292c41d652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e71b75f-ac61-479f-8f76-83ab32dc0f29}" ma:internalName="TaxCatchAllLabel" ma:readOnly="true" ma:showField="CatchAllDataLabel" ma:web="fc37cad5-0a0e-4c6a-bee5-292c41d652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SD Class" ma:readOnly="true" ma:default="5;#3.1 Vehicle-related systems/IT|f2d91e82-9e20-49fd-ad1b-0ac601919540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RevIMDateOfModified2Creation" ma:index="31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  <xsd:element name="RevIMDeclareTime" ma:index="32" nillable="true" ma:displayName="CSD Record Declaration Time" ma:description="CSD Record Declaration Time" ma:format="DateTime" ma:indexed="true" ma:internalName="RevIMDeclare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c7d55e-d2d1-49ab-ab75-121c6bc894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74E2E422-2D40-4EBA-85D2-459258E12659}">
  <ds:schemaRefs>
    <ds:schemaRef ds:uri="http://purl.org/dc/terms/"/>
    <ds:schemaRef ds:uri="fc37cad5-0a0e-4c6a-bee5-292c41d65260"/>
    <ds:schemaRef ds:uri="http://schemas.microsoft.com/office/2006/documentManagement/types"/>
    <ds:schemaRef ds:uri="11c7d55e-d2d1-49ab-ab75-121c6bc89478"/>
    <ds:schemaRef ds:uri="http://purl.org/dc/elements/1.1/"/>
    <ds:schemaRef ds:uri="http://schemas.microsoft.com/office/infopath/2007/PartnerControls"/>
    <ds:schemaRef ds:uri="http://schemas.microsoft.com/sharepoint/v3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6A8CA0-B6D2-46AC-9906-A9BE667FEF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8FBC7A-BBFC-4AC4-A957-C06C7AAB3A71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743BD4F8-AF4E-4D7A-9974-18336ECE86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c37cad5-0a0e-4c6a-bee5-292c41d65260"/>
    <ds:schemaRef ds:uri="11c7d55e-d2d1-49ab-ab75-121c6bc894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AD38EC8B-E031-43CE-A647-C116A990E83A}">
  <ds:schemaRefs>
    <ds:schemaRef ds:uri="http://www.w3.org/2001/XMLSchema"/>
    <ds:schemaRef ds:uri="http://microsoft.data.visualization.Client.Excel/1.0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Privilege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Completati dal 2014</vt:lpstr>
    </vt:vector>
  </TitlesOfParts>
  <Manager/>
  <Company>Italdesign Giugiaro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Cananzi Luca</dc:creator>
  <cp:keywords/>
  <dc:description/>
  <cp:lastModifiedBy>Balbi, Giovanni (IG/S-31, extern)</cp:lastModifiedBy>
  <cp:revision/>
  <cp:lastPrinted>2026-05-27T13:46:40Z</cp:lastPrinted>
  <dcterms:created xsi:type="dcterms:W3CDTF">2012-04-10T10:47:49Z</dcterms:created>
  <dcterms:modified xsi:type="dcterms:W3CDTF">2026-05-27T14:15:15Z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c9b508-7c6e-42bd-bedf-808292653d6c_Enabled">
    <vt:lpwstr>True</vt:lpwstr>
  </property>
  <property fmtid="{D5CDD505-2E9C-101B-9397-08002B2CF9AE}" pid="3" name="MSIP_Label_b1c9b508-7c6e-42bd-bedf-808292653d6c_SiteId">
    <vt:lpwstr>2882be50-2012-4d88-ac86-544124e120c8</vt:lpwstr>
  </property>
  <property fmtid="{D5CDD505-2E9C-101B-9397-08002B2CF9AE}" pid="4" name="MSIP_Label_b1c9b508-7c6e-42bd-bedf-808292653d6c_Owner">
    <vt:lpwstr>emanuele.nicolosi@partner.italdesign.it</vt:lpwstr>
  </property>
  <property fmtid="{D5CDD505-2E9C-101B-9397-08002B2CF9AE}" pid="5" name="MSIP_Label_b1c9b508-7c6e-42bd-bedf-808292653d6c_SetDate">
    <vt:lpwstr>2021-01-29T13:20:10.3304901Z</vt:lpwstr>
  </property>
  <property fmtid="{D5CDD505-2E9C-101B-9397-08002B2CF9AE}" pid="6" name="MSIP_Label_b1c9b508-7c6e-42bd-bedf-808292653d6c_Name">
    <vt:lpwstr>Internal</vt:lpwstr>
  </property>
  <property fmtid="{D5CDD505-2E9C-101B-9397-08002B2CF9AE}" pid="7" name="MSIP_Label_b1c9b508-7c6e-42bd-bedf-808292653d6c_Application">
    <vt:lpwstr>Microsoft Azure Information Protection</vt:lpwstr>
  </property>
  <property fmtid="{D5CDD505-2E9C-101B-9397-08002B2CF9AE}" pid="8" name="MSIP_Label_b1c9b508-7c6e-42bd-bedf-808292653d6c_ActionId">
    <vt:lpwstr>766095d3-8854-4f5b-b9b5-587bb1ace511</vt:lpwstr>
  </property>
  <property fmtid="{D5CDD505-2E9C-101B-9397-08002B2CF9AE}" pid="9" name="MSIP_Label_b1c9b508-7c6e-42bd-bedf-808292653d6c_Extended_MSFT_Method">
    <vt:lpwstr>Automatic</vt:lpwstr>
  </property>
  <property fmtid="{D5CDD505-2E9C-101B-9397-08002B2CF9AE}" pid="10" name="Sensitivity">
    <vt:lpwstr>Internal</vt:lpwstr>
  </property>
  <property fmtid="{D5CDD505-2E9C-101B-9397-08002B2CF9AE}" pid="11" name="ContentTypeId">
    <vt:lpwstr>0x01010066C585D640A66A43910382C39AFC9BBD</vt:lpwstr>
  </property>
  <property fmtid="{D5CDD505-2E9C-101B-9397-08002B2CF9AE}" pid="12" name="RevIMBCS">
    <vt:lpwstr>3;#0.3 Dynamic Business Information (last modified)|9a754fea-0917-4531-8837-b34b43a53c8c</vt:lpwstr>
  </property>
  <property fmtid="{D5CDD505-2E9C-101B-9397-08002B2CF9AE}" pid="13" name="LegalHoldTag">
    <vt:lpwstr/>
  </property>
</Properties>
</file>